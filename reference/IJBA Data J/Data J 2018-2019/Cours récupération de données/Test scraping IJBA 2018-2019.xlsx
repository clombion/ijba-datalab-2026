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e 5" sheetId="1" r:id="rId4"/>
    <sheet state="visible" name="I &lt;3 Angèle" sheetId="2" r:id="rId5"/>
    <sheet state="visible" name="Hippo" sheetId="3" r:id="rId6"/>
    <sheet state="visible" name="alix" sheetId="4" r:id="rId7"/>
    <sheet state="visible" name="Laura" sheetId="5" r:id="rId8"/>
    <sheet state="visible" name="Nam" sheetId="6" r:id="rId9"/>
    <sheet state="visible" name="Félicie" sheetId="7" r:id="rId10"/>
    <sheet state="visible" name="Toinounours" sheetId="8" r:id="rId11"/>
    <sheet state="visible" name="lgp" sheetId="9" r:id="rId12"/>
    <sheet state="visible" name="Rahma!" sheetId="10" r:id="rId13"/>
    <sheet state="visible" name="C²" sheetId="11" r:id="rId14"/>
    <sheet state="visible" name="Romain B" sheetId="12" r:id="rId15"/>
    <sheet state="visible" name="Philippine K" sheetId="13" r:id="rId16"/>
    <sheet state="visible" name="François" sheetId="14" r:id="rId17"/>
    <sheet state="visible" name="Alice" sheetId="15" r:id="rId18"/>
    <sheet state="visible" name="Julie" sheetId="16" r:id="rId19"/>
    <sheet state="visible" name="JB" sheetId="17" r:id="rId20"/>
    <sheet state="visible" name="philippine R" sheetId="18" r:id="rId21"/>
    <sheet state="visible" name="CÉDRIC" sheetId="19" r:id="rId22"/>
    <sheet state="visible" name="Camille" sheetId="20" r:id="rId23"/>
    <sheet state="visible" name="Lauriane" sheetId="21" r:id="rId24"/>
    <sheet state="visible" name="Matthieu" sheetId="22" r:id="rId25"/>
    <sheet state="visible" name="Alexandra" sheetId="23" r:id="rId26"/>
    <sheet state="visible" name="Romain D" sheetId="24" r:id="rId27"/>
    <sheet state="visible" name="Eve" sheetId="25" r:id="rId28"/>
    <sheet state="visible" name="Nicolas" sheetId="26" r:id="rId29"/>
  </sheets>
  <definedNames/>
  <calcPr/>
</workbook>
</file>

<file path=xl/sharedStrings.xml><?xml version="1.0" encoding="utf-8"?>
<sst xmlns="http://schemas.openxmlformats.org/spreadsheetml/2006/main" count="910" uniqueCount="490">
  <si>
    <t>qui est buffle ?</t>
  </si>
  <si>
    <t>Moi buffle d'eau : 1997 si si signe chinois</t>
  </si>
  <si>
    <t>Les signes astrologiques c'est de la merde</t>
  </si>
  <si>
    <t xml:space="preserve">Qui ecrit ca ? qui ne lit pas dans les astres ? </t>
  </si>
  <si>
    <t>La croyance c'est une des chaînes qui empêche le prolétariat de se libérer des affres du capitalisme</t>
  </si>
  <si>
    <t>Hello</t>
  </si>
  <si>
    <t>It's me</t>
  </si>
  <si>
    <t>sava</t>
  </si>
  <si>
    <t xml:space="preserve">La hyène ! </t>
  </si>
  <si>
    <t xml:space="preserve">GUILLAUME </t>
  </si>
  <si>
    <t>nope nope nope</t>
  </si>
  <si>
    <t>C'était un test pour savoir s'il était bien catégorisé</t>
  </si>
  <si>
    <t>Il est bien catégorisé</t>
  </si>
  <si>
    <t>anticonstitutionnellement</t>
  </si>
  <si>
    <t>Je suis en bleu hihi</t>
  </si>
  <si>
    <t xml:space="preserve">coucou </t>
  </si>
  <si>
    <t xml:space="preserve">Bonjour tous </t>
  </si>
  <si>
    <t>Ici Nam</t>
  </si>
  <si>
    <t>Catch Me if you can</t>
  </si>
  <si>
    <t>choucram</t>
  </si>
  <si>
    <t>salut toi</t>
  </si>
  <si>
    <t>bijour</t>
  </si>
  <si>
    <t>PROCRASTINATEURS DE TOUS LES PAYS, SOULEVEZ-VOUS... DEMAIN</t>
  </si>
  <si>
    <t>Y</t>
  </si>
  <si>
    <t>M</t>
  </si>
  <si>
    <t xml:space="preserve">C </t>
  </si>
  <si>
    <t>A</t>
  </si>
  <si>
    <t>concomittant</t>
  </si>
  <si>
    <t>:D</t>
  </si>
  <si>
    <t>concomitamment plus précisément</t>
  </si>
  <si>
    <t>ça veut dire "en même temps" quand tu veux faire le mec qui a de la culturation</t>
  </si>
  <si>
    <t xml:space="preserve">Loupé ! </t>
  </si>
  <si>
    <t xml:space="preserve">On veut des NUDES ! </t>
  </si>
  <si>
    <t>kikou</t>
  </si>
  <si>
    <t>lémurien c toi !!!</t>
  </si>
  <si>
    <t>j'aime bien scraper</t>
  </si>
  <si>
    <t xml:space="preserve">eah </t>
  </si>
  <si>
    <t>yeah</t>
  </si>
  <si>
    <t>N°</t>
  </si>
  <si>
    <t>Nom</t>
  </si>
  <si>
    <t>Portrait</t>
  </si>
  <si>
    <t>Début de mandat</t>
  </si>
  <si>
    <t>Fin de mandat</t>
  </si>
  <si>
    <t>Durée du mandat</t>
  </si>
  <si>
    <t>Raison départ</t>
  </si>
  <si>
    <t>Parti</t>
  </si>
  <si>
    <t>Notes</t>
  </si>
  <si>
    <t>*1*</t>
  </si>
  <si>
    <t>*George Washington*</t>
  </si>
  <si>
    <t>7 ans, 10 mois et 2 jours</t>
  </si>
  <si>
    <t>Indépendant</t>
  </si>
  <si>
    <t>Premier président des États-Unis, est le *général* vainqueur des 
Britanniques et héros de l'Indépendance. Très populaire, il est le seul 
président ayant été élu deux fois à l'unanimité (il n'avait pas 
d'opposant), en 1789 et 1792. Sous son mandat, un *Bill of rights* 
comprenant dix amendements à la Constitution est ratifié, garantissant un 
certain nombre de droits individuels comme la liberté du culte, 
d'expression, de la presse, de port d'armes (amendements interprétables de 
différentes façons) ou encore un certain nombre de protections judiciaires. 
Cependant, l'esclavage reste permis (il possédait lui-même des esclaves 
dans sa propriété de Mount Vernon en Virginie). La banque des États-Unis 
est créée sous l'impulsion de son secrétaire du Trésor, Alexander Hamilton, 
afin de faire jouer un rôle central à l'État fédéral en matière économique. 
Alors qu'il ne souhaitait pas se représenter, il effectue un second mandat 
pour éviter que les tensions vives entre Alexander Hamilton et Thomas 
Jefferson ne débouchent sur un éclatement de la nation. Il refuse de se 
présenter à nouveau pour un troisième mandat.</t>
  </si>
  <si>
    <t>*2*</t>
  </si>
  <si>
    <t>*John Adams*</t>
  </si>
  <si>
    <t>4 ans</t>
  </si>
  <si>
    <t>Fédéraliste</t>
  </si>
  <si>
    <t>Vice-président de George Washington, il est élu par 72 voix contre 68 face 
à Thomas Jefferson qui devient son vice-président[note 1]. Sa présidence 
est notamment marquée par l'opposition entre les fédéralistes (John Adams) 
et les républicains-démocrates (Thomas Jefferson). Premier président à 
résider, en 1800, à la Maison-Blanche à Washington, devenue capitale 
fédérale. Candidat à un second mandat, il arrive derrière Thomas Jefferson 
et Aaron Burr.</t>
  </si>
  <si>
    <t>*3*</t>
  </si>
  <si>
    <t>*Thomas Jefferson*</t>
  </si>
  <si>
    <t>8 ans</t>
  </si>
  <si>
    <t>Républicain-
démocrate</t>
  </si>
  <si>
    <t>C'est l'un des Pères de l'indépendance et le principal rédacteur de la Déclaration 
d'indépendance. Il fut pendant plusieurs années ambassadeur des États-Unis 
auprès de la France. Membre du Parti républicain-démocrate, vice-président 
de John Adams, il est élu contre Aaron Burr au 36e tour de scrutin à la Chambre 
des représentants, réalisant la première alternance de l'histoire des 
États-Unis. Sous sa présidence, les États-Unis procèdent à l'achat de la 
Louisiane à la France en 1803. Il entretient une relation ambiguë avec 
l'esclavage (il possède des esclaves dans sa propriété de Monticello en 
Virginie).</t>
  </si>
  <si>
    <t>*4*</t>
  </si>
  <si>
    <t>*James Madison*</t>
  </si>
  <si>
    <t>Un des auteurs de la Constitution, Secrétaire d'État sous Jefferson, il est élu 
en 1808 en partie sur son habileté diplomatique à une période où la France 
et le Royaume-Uni sont prêts à faire la guerre aux États-Unis. Il fut réélu 
en 1812 contre le candidat républicain démocrate dissident DeWitt Clinton 
alors que le pays est en guerre avec le Royaume-Uni, guerre qui dura de 
1812 à 1814, soldée par un statu quo ante bellum.</t>
  </si>
  <si>
    <t>*5*</t>
  </si>
  <si>
    <t>*James Monroe*</t>
  </si>
  <si>
    <t>Triomphe définitif du Parti républicain-démocrate : sans opposant, il est réélu 
en 1820 à l'unanimité moins une voix du collège des grands électeurs. Il 
est le concepteur de la doctrine Monroe, à l'origine de l'isolationnisme 
américain et de la réduction de l'influence politique des puissances 
européennes (Grande-Bretagne, Espagne, France...) sur le continent 
américain.</t>
  </si>
  <si>
    <t>*6*</t>
  </si>
  <si>
    <t>*John Q. Adams*</t>
  </si>
  <si>
    <t>Fils du deuxième président, John Adams, il est élu par le Congrès (aucun 
candidat n'avait obtenu la majorité absolue) face à Andrew Jackson, puis 
échouera face à celui-ci en 1828. Il était un adversaire acharné de 
l'esclavage des Noirs.</t>
  </si>
  <si>
    <t>*7*</t>
  </si>
  <si>
    <t>*Andrew Jackson*</t>
  </si>
  <si>
    <t>Démocrate</t>
  </si>
  <si>
    <t>Major général, vainqueur de la bataille de la Nouvelle-Orléans (Chalmette) 
en 1815. Il obtient la majorité des voix en 1824, mais ne parvient pas à 
obtenir la majorité absolue et échoue au Congrès face à John Q. Adams. En 
1828, il affronte de nouveau celui-ci et le bat à une large majorité. 
Premier président démocrate, il a renforcé la démocratie aux États-Unis. Sa 
mémoire est cependant ternie par son soutien très actif à la déportation 
des Amérindiens à l'ouest du Mississippi et à l'esclavage des Noirs.</t>
  </si>
  <si>
    <t>*8*</t>
  </si>
  <si>
    <t>*Martin Van Buren*</t>
  </si>
  <si>
    <t>Vice-président d'Andrew Jackson lors de son second mandat, il est élu en 
1836 face à 4 candidats dont 3 présentés par le Parti whig, nouveau parti 
américain. Il est partisan d'un rôle minimal de l'État dans l'économie. Il 
est confronté à la crise économique de 1837 et évite un conflit avec l'Empire 
britannique. Il est le premier président à être né citoyen américain (ses 
prédécesseurs étaient nés sujets britanniques) et le premier d'ascendance 
non britannique, mais hollandaise en l'occurrence.</t>
  </si>
  <si>
    <t>*9*</t>
  </si>
  <si>
    <t>*William H. Harrison*</t>
  </si>
  <si>
    <t>1 mois</t>
  </si>
  <si>
    <t>Décès</t>
  </si>
  <si>
    <t>Whig</t>
  </si>
  <si>
    <t>Major général qui s'est illustré durant la bataille de la rivière Thames, 
ancien gouverneur du territoire de l'Indiana et sénateur de l'Ohio, 
partisan de l'esclavage, c'est le premier président issu des rangs du parti 
Whig. À peine un mois après le début de son mandat, il meurt d'une pleurésie 
contractée lors de son discours d'investiture dans un froid glacial.</t>
  </si>
  <si>
    <t>*10*</t>
  </si>
  <si>
    <t>*John Tyler*</t>
  </si>
  <si>
    <t>3 ans et 11 mois</t>
  </si>
  <si>
    <t>Ancien démocrate, il s'oppose au programme de son prédécesseur et sera la 
cause de la défaite des Whigs en 1844. Il est le premier vice-président à 
succéder à un président défunt. Il fit voter la réunion du Texas au 
territoire américain en 1845.</t>
  </si>
  <si>
    <t>*11*</t>
  </si>
  <si>
    <t>*James K. Polk*</t>
  </si>
  <si>
    <t>La guerre américano-mexicaine et le partage du territoire de l'Oregon avec 
l'Empire britannique donnent aux États-Unis son territoire actuel.</t>
  </si>
  <si>
    <t>*12*</t>
  </si>
  <si>
    <t>*Zachary Taylor*</t>
  </si>
  <si>
    <t>1 an, 4 mois et 5 jours</t>
  </si>
  <si>
    <t>Militaire de carrière (Major général) et propriétaire d'esclaves, il signe 
un traité avec le Royaume-Uni pour l’ouverture d’un canal en Amérique 
centrale. L'admission de nouveaux États non esclavagistes modifie 
l'équilibre alors que Taylor propose au Nouveau-Mexique et à la Californie 
d'intégrer l’Union sans passer par la transition de Territoires. Il meurt 
prématurément après 16 mois de mandat.</t>
  </si>
  <si>
    <t>*13*</t>
  </si>
  <si>
    <t>*Millard Fillmore*</t>
  </si>
  <si>
    <t>2 ans, 7 mois et 23 jours</t>
  </si>
  <si>
    <t>Vice-président de Zachary Taylor, il lui succède à la mort de ce dernier. 
Il signe le *Fugitive Slave Act* en 1850. Le conflit entre le nord et le 
sud sur le sort des esclaves commence sous son mandat.</t>
  </si>
  <si>
    <t>*14*</t>
  </si>
  <si>
    <t>*Franklin Pierce*</t>
  </si>
  <si>
    <t>Son écrasante victoire face à Winfield Scott provoque l'effondrement du 
Parti Whig. Création du Parti républicain en 1854, à la suite d'une 
coalition de membres des partis Whig, du sol libre et *Know Nothing* (c'est 
l'avocat Alan E. Bovay qui a décidé du nom du parti). L’opposition entre 
esclavagistes et abolitionnistes sous-tend toutes les décisions prises 
pendant le mandat de Pierce, en particulier celles liées à l’expansion des 
États-Unis vers l’ouest. Pierce défend le compromis de 1850 et le Parti 
démocrate ne le soutiendra pas pour un second mandat.</t>
  </si>
  <si>
    <t>*15*</t>
  </si>
  <si>
    <t>*James Buchanan*</t>
  </si>
  <si>
    <t>Élu difficilement face au républicain John C. Frémont et l'ancien président Millard 
Fillmore. Le candidat du Parti démocrate n'a pas su faire face aux 
dégradations du débat sur l'esclavage au point de provoquer la sécession de 
plusieurs États.</t>
  </si>
  <si>
    <t>*16*</t>
  </si>
  <si>
    <t>*Abraham Lincoln*</t>
  </si>
  <si>
    <t>4 ans, 1 mois et 11 jours</t>
  </si>
  <si>
    <t>Décès 
(assassinat)</t>
  </si>
  <si>
    <t>Républicain (Unioniste national (en))</t>
  </si>
  <si>
    <t>Premier président républicain, son élection déclenche la sécession des États 
esclavagistes, entraine la guerre de Sécession et la proclamation de 
l'abolition de l'esclavage (1865). Réélu en 1864, il est assassiné quelques 
jours après la victoire des nordistes par John Wilkes Booth au théâtre Ford 
de Washington.</t>
  </si>
  <si>
    <t>*17*</t>
  </si>
  <si>
    <t>*Andrew Johnson*</t>
  </si>
  <si>
    <t>3 ans, 10 mois et 17 jours</t>
  </si>
  <si>
    <t>Démocrate (Unioniste national (en))</t>
  </si>
  <si>
    <t>Démocrate élu comme vice-président sur le ticket républicain en 1864, il 
devient président après l'assassinat de Lincoln. Il rencontre une vive 
opposition de la part des républicains les plus radicaux qui engagent 
contre lui une procédure d'*impeachment*. La Chambre de représentants vote 
à la majorité et Johnson est *impeached*. Mais le Sénat, à une voix près, 
refuse de le destituer. Il est l'un des deux seuls présidents à avoir été 
*impeached*, l'autre étant Bill Clinton.</t>
  </si>
  <si>
    <t>*18*</t>
  </si>
  <si>
    <t>*Ulysses S. Grant*</t>
  </si>
  <si>
    <t>Républicain</t>
  </si>
  <si>
    <t>Général, commandant les troupes de l'Union lors de la guerre de Sécession, 
il remporte la première élection de l'après-guerre, avant d'être réélu en 
1872. Début de la période de la Reconstruction. Les anciens États confédérés 
du sud sont occupés militairement jusqu'en 1877. Des droits politiques sont 
accordés aux anciens esclaves noirs, mais la ségrégation raciale dans le 
sud sera de fait rétablie et durera jusqu'aux années 1960. Cette période 
est minée par la corruption.</t>
  </si>
  <si>
    <t>*19*</t>
  </si>
  <si>
    <t>*Rutherford B. Hayes*</t>
  </si>
  <si>
    <t>Nettement minoritaire en voix, il est élu grâce aux fraudes électorales 
face à son rival démocrate Samuel J. Tilden. Il s'appliquera cependant à 
moraliser son gouvernement et mettra fin à l'occupation militaire des États 
du Sud.</t>
  </si>
  <si>
    <t>*20*</t>
  </si>
  <si>
    <t>*James A. Garfield*</t>
  </si>
  <si>
    <t>6 mois et 15 jours</t>
  </si>
  <si>
    <t>Élu lors d'élections considérées comme un référendum sur l'assouplissement 
des conditions de la Reconstruction des États du Sud, il tente d'organiser 
une conférence internationale des États d'Amérique mais, au bout de ses 6 
premiers mois de mandat, il est assassiné par Charles J. Guiteau.</t>
  </si>
  <si>
    <t>*21*</t>
  </si>
  <si>
    <t>*Chester A. Arthur*</t>
  </si>
  <si>
    <t>3 ans, 5 mois et 13 jours</t>
  </si>
  <si>
    <t>Juriste, ancien collecteur de taxes douanières au port de New York et 
vice-président de Garfield, il devient président à la mort de ce dernier. 
Son mandat est marqué par la mise en œuvre d'une réforme de la fonction 
publique établissant le recrutement et la promotion sur la base de la seule 
compétence (réforme du système des dépouilles) et par la fin de la conquête 
de l'Ouest. Malade des reins, il ne se présente pas à l'élection de 1884[2].</t>
  </si>
  <si>
    <t>*22*</t>
  </si>
  <si>
    <t>*S. Grover Cleveland*
*1re fois*</t>
  </si>
  <si>
    <t>Ancien maire de Buffalo et ancien gouverneur de New York, il est le premier 
démocrate à devenir président après la guerre de Sécession. Il est le seul 
à avoir occupé un poste de shérif (dans l'État de New York). Il est élu 
avec juste 29 000 voix d'avance sur James Blaine. Son mandat est marqué par 
son intransigeance dans les conflits sociaux, par sa tentative de contrôler 
le prix des chemins de fer, d'abaisser les tarifs douaniers et de freiner 
l'immigration chinoise. Candidat à sa réélection en 1888, il est battu par 
Benjamin Harrison tout en l'ayant devancé de plus de 10 000 voix au 
suffrage populaire[3].</t>
  </si>
  <si>
    <t>*23*</t>
  </si>
  <si>
    <t>*Benjamin Harrison*</t>
  </si>
  <si>
    <t>Petit-fils du président William Harrison, il est le troisième candidat à 
l'élection présidentielle à entrer à la Maison-Blanche en étant minoritaire 
en voix. Il organise la première conférence des États du continent 
américain, place les îles Samoa sous protectorat américain, tente d’en 
faire de même avec Hawaii et négocie les droits de pêche dans le détroit de 
Béring. Il signe la loi Sherman, première loi fédérale réglementant les 
conglomérats industriels, et soutient le passage d’une loi garantissant le droit 
de vote des Noirs, en particulier dans les États du Sud.</t>
  </si>
  <si>
    <t>*24*</t>
  </si>
  <si>
    <t>*S. Grover Cleveland*
*2e fois*</t>
  </si>
  <si>
    <t>Seul président à avoir effectué deux mandats non consécutifs, il prend sa 
revanche sur Harrison malgré la présence d'un candidat populiste. Son 
second mandat est marqué par son mariage à la Maison-Blanche, par la crise 
économique de 1893 à 1897 accompagné d'une dépression et de nombreuses 
faillites, par l'abolition de la loi sur les droits civils dans le Sud, 
permettant l'instauration de la ségrégation raciale et par la lutte contre 
l'influence des *lobbies* industriels au Congrès[4].</t>
  </si>
  <si>
    <t>*25*</t>
  </si>
  <si>
    <t>*William McKinley*</t>
  </si>
  <si>
    <t>4 ans, 6 mois et 10 jours</t>
  </si>
  <si>
    <t>Ancien gouverneur de l'Ohio, facilement élu en 1896 et réélu plus largement 
encore en 1900 contre le même adversaire, il est le président des premières 
manifestations de ce qu'on appellera l'impérialisme américain où lors de la 
rapide Guerre hispano-américaine, les États-Unis prennent de fait le 
contrôle des Philippines et de Cuba. Lors de la révolte des Boxers, il met 
des troupes à disposition du contingent international chargé de protéger 
les légations. Dorénavant à la tête d'une puissance mondiale, imposant sa 
volonté sur l'ensemble du continent américain, l'objectif de McKinley est 
surtout de préserver la liberté commerciale. Il mène une politique 
novatrice d'abaissement des barrières douanières à laquelle s'ajoute 
l'ouverture des marchés étrangers aux produits américains grâce notamment à 
la conclusion de traités commerciaux réciproques, mettant fin à la période 
du *Gilded Age* (fondé sur le protectionnisme et la surveillance du 
Congrès). Le retour à l'étalon-or est approuvé par le Congrès sous son 
mandat, écartant les partisans de la monnaie d'argent. Le vote du *Golden 
standard act* assure la stabilité du dollar et rassure les investisseurs 
étrangers qui se ruent alors sur le marché américain, permettant une forte 
expansion de l'activité industrielle. Lors de l'Exposition Pan-américaine 
de Buffalo en septembre 1901, McKinley est assassiné par l'anarchiste Leon 
Czolgosz[5].</t>
  </si>
  <si>
    <t>*26*</t>
  </si>
  <si>
    <t>*Theodore Roosevelt*</t>
  </si>
  <si>
    <t>7 ans, 5 mois et 18 jours</t>
  </si>
  <si>
    <t>Ancien chef de la police de New York, officier des *Rough Riders* à la bataille 
de San Juan à Cuba, vice-président de McKinley, il succède à ce dernier 
après son assassinat, devenant à 42 ans le plus jeune président américain, 
puis est à son tour élu en 1904. Il applique une politique progressiste et 
sociale (politique *anti-trust* contre les *big corporations*) et étend les 
prérogatives présidentielles et fédérales. En politique internationale, il 
révise la doctrine Monroe en accordant aux États-Unis la possibilité 
d'exercer un pouvoir international de police, ce qui lui permet de se poser 
en protecteur de l'ensemble latino-américain. Il reçoit le prix Nobel de la 
paix pour son rôle de médiateur dans le conflit entre le Japon et la Russie. 
Écologiste mais aussi chasseur et admirateur du milieu vivant, il multiplie 
les actions en faveur de la protection des espaces naturels, de la création 
des parcs nationaux à la lutte contre le gaspillage[6]. Il refuse de se 
représenter en 1908 mais, mécontent de la politique de son successeur, se 
présentera contre lui à l'élection de 1912 comme progressiste, provoquant 
la défaite des républicains.</t>
  </si>
  <si>
    <t>*27*</t>
  </si>
  <si>
    <t>*William H. Taft*</t>
  </si>
  <si>
    <t>Conservateur, partisan de la « diplomatie du dollar », son mandat est 
marqué par le retrait des troupes américaines de Cuba et par la 
détérioration du climat social. Candidat à sa réélection, il se heurte à la 
candidature de Roosevelt qui, au nom du mouvement progressiste, se présente 
avec un programme baptisé « *New Nationalism* ». Avec un camp républicain 
ainsi divisé, Taft est privé d'un deuxième mandat. De 1921 à 1930, il est 
président de la Cour suprême des États-Unis.</t>
  </si>
  <si>
    <t>*28*</t>
  </si>
  <si>
    <t>*T. Woodrow Wilson*</t>
  </si>
  <si>
    <t>Ancien président de l'université de Princeton, il est élu avec 41 % des 
voix grâce à une scission chez les républicains et à la candidature 
dissidente de Theodore Roosevelt, puis réélu en 1916 à une majorité de 
600 000 voix et de 23 grands électeurs face à son rival républicain. Sous 
son mandat, les membres du Sénat des États-Unis sont pour la première fois 
élus au suffrage universel et non plus désignés par le législatures des 
états (1914). Malgré son pacifisme, il fait intervenir les États-Unis dans 
la Première Guerre mondiale. Il est le père de la Société des Nations mais, 
paradoxalement, ne parvient pas à y faire adhérer les États-Unis. Il reçoit 
le Prix Nobel de la paix en 1919. En 1920, il accorde le droit de vote aux 
femmes.</t>
  </si>
  <si>
    <t>*29*</t>
  </si>
  <si>
    <t>*Warren G. Harding*</t>
  </si>
  <si>
    <t>2 ans, 4 mois et 29 jours</t>
  </si>
  <si>
    <t>Élu assez largement, l'ancien sénateur de l'Ohio est le premier président à 
prononcer un discours radio-diffusé. Son mandat est marqué par une 
politique économique de laissez-faire, par la création du Bureau du Budget, 
par la fixation de quotas d’immigration favorisant les pays anglophones et 
par une politique isolationniste. Il meurt d'apoplexie lors de la troisième 
année de son mandat.</t>
  </si>
  <si>
    <t>*30*</t>
  </si>
  <si>
    <t>*J. Calvin Coolidge*</t>
  </si>
  <si>
    <t>5 ans, 7 mois et 2 jours</t>
  </si>
  <si>
    <t>Vice-président de Warren Harding, il accède à la présidence à la mort de ce 
dernier et est élu pour un mandat complet en 1924. Il est très critiqué 
après la crue du Mississippi de 1927 qui avait provoqué 246 morts et plus 
de 400 millions de dollars de dégâts. Sous son mandat, les Indiens 
d’Amérique se voient reconnaître la nationalité américaine.</t>
  </si>
  <si>
    <t>*31*</t>
  </si>
  <si>
    <t>*Herbert C. Hoover*</t>
  </si>
  <si>
    <t>Élu très largement, l'ancien secrétaire au Commerce des États-Unis est 
parfois présenté comme partisan du moins d'État et du laissez-faire 
économique alors que sa pratique en fut à l'opposé. Son mandat est associé 
au krach de 1929 qu'il n'arrive pas à juguler malgré son interventionnisme 
économique. Candidat à un second mandat, il est largement battu par 
Franklin Delano Roosevelt.</t>
  </si>
  <si>
    <t>*32*</t>
  </si>
  <si>
    <t>*Franklin D. Roosevelt*</t>
  </si>
  <si>
    <t>12 ans, 1 mois et 8 jours</t>
  </si>
  <si>
    <t>Ancien gouverneur de l'État de New York, atteint de ce que l'on croit être 
une poliomyélite, il est élu pour résoudre la crise économique et sociale 
de 1929. Sa politique de « *New deal* » est fondée sur une intervention 
massive de l'État dans l'économie, par le contrôle du système bancaire, par 
une politique de grands travaux publics, comme la construction de barrages, 
la réfection des routes ou l'entretien des parcs pour lutter contre le 
chômage, l'abandon de l'étalon-or et l'instauration d'un régime de retraite 
doublé d'une assurance chômage (*Social Security Act* du 14 août 1935). Les 
résultats de cette politique sont mitigés, mais Roosevelt parvient à 
redonner confiance aux Américains et est réélu en 1936, en remportant 46 
États sur les 48 de l'époque. Son second mandat est marqué par le « second *New 
Deal* » avec la fixation d'un salaire minimal, la limitation du temps de 
travail à 40 h et l'interdiction de travail des enfants. Parallèlement, il 
doit faire face à une nouvelle récession et se montre ferme face aux 
mouvements sociaux. Réélu en 1940, il est le seul président à se 
représenter après deux mandats complets[note 2]. Il forme alors un 
gouvernement d'union nationale et fait entrer plusieurs républicains au 
gouvernement. Après l'attaque de Pearl Harbor, les États-Unis s'engagent 
dans la Seconde Guerre mondiale. Une économie de guerre est mise en place 
qui permet d'effacer les conséquences de la crise de 1929[7]. Réélu une 
quatrième fois en 1944, il négocie avec Winston Churchill et Joseph Staline 
les accords de Yalta et met en œuvre ce qui deviendra l'Organisation des 
Nations unies. Il meurt le 12 avril 1945 moins d'un mois avant la victoire 
des Alliés en Europe. Selon un sondage du *Wall Street Journal* de 2005, il 
est considéré par les historiens comme le troisième meilleur président des 
États-Unis, derrière Abraham Lincoln et George Washington[8]. Il est le 
seul président de toute l'histoire des États-Unis élu quatre fois 
consécutivement.</t>
  </si>
  <si>
    <t>*33*</t>
  </si>
  <si>
    <t>*Harry S. Truman*</t>
  </si>
  <si>
    <t>7 ans, 9 mois et 8 jours</t>
  </si>
  <si>
    <t>Originaire du Missouri et vice-président de Franklin D. Roosevelt (depuis 
le 20 janvier 1945 seulement, il ne l'était pas sous les trois précédents 
mandats), il accède à la présidence en avril 1945 à la mort de celui-ci. Il 
prend la décision d'utiliser deux fois la bombe atomique contre le Japon. 
Instigateur du Plan Marshall, son mandat est marqué par le début de la guerre 
froide. Après avoir remporté l'élection présidentielle américaine de 1948, 
sa politique est marquée par l'apogée du maccarthysme. Son mandat est aussi 
marqué par l'envoi de troupes américaines en Chine et en Corée dans le 
cadre de la politique de *containment* face à l'extension mondiale du 
communisme. Il signe un traité de paix avec le Japon en 1951, qui entre en 
vigueur en 1952.</t>
  </si>
  <si>
    <t>*34*</t>
  </si>
  <si>
    <t>*Dwight D. Eisenhower*</t>
  </si>
  <si>
    <t>Élu en 1952 puis réélu en 1956, il a été le « *général en chef* » du SHAEF, 
le commandement allié en Europe pendant la Seconde Guerre mondiale qui a 
organisé les débarquements. Il met fin à 20 ans de présidence démocrate et 
au maccarthysme, supervise le cessez-le-feu en Corée, lance la course à 
l'espace, crée la NASA, développe le système des autoroutes inter États, 
étend l'assurance-maladie et fait du développement de l'armement nucléaire 
une priorité dans le cadre de la guerre froide. Ses mandats sont marqués 
notamment par l'arrêt de la Cour Suprême déclarant la ségrégation scolaire 
illégale dans le sud des États-Unis (arrêt Brown v. Board of Education), 
qui l'amène notamment à envoyer en Arkansas 1 000 hommes de la 101e division 
aéroportée et faire passer la garde nationale de l'Arkansas sous contrôle 
fédéral pour permettre à neuf élèves noirs d'entrer en sécurité et 
poursuivre leur scolarité dans le lycée central de Little Rock.</t>
  </si>
  <si>
    <t>*35*</t>
  </si>
  <si>
    <t>*John F. Kennedy*</t>
  </si>
  <si>
    <t>2 ans, 10 mois et 2 jours</t>
  </si>
  <si>
    <t>Ancien représentant et sénateur du Massachusetts, il est élu face au 
vice-président sortant Richard Nixon. Premier et unique président catholique, 
il est également le plus jeune président élu des États-Unis[note 3]. Entamé 
par le discours sur la Nouvelle Frontière, son mandat est marqué sur le 
plan international par le débarquement de la baie des Cochons (1961), la crise 
des missiles de Cuba (1962), la création des Corps de la Paix et le 
doublement du nombre de ISBM Polaris. Sur le plan intérieur, il lance le programme 
Apollo et entame le processus d'abolition législative de la ségrégation 
raciale dans les États du Sud qui se heurte à l'opposition des Démocrates 
sudistes du Congrès. Il a été assassiné le 22 novembre 1963 à Dallas, à 
l'âge de 46 ans ; son assassinat (attribué par la Commission Warren à Lee 
Harvey Oswald) demeure au XXIe siècle l'objet d'hypothèses et de 
controverses.</t>
  </si>
  <si>
    <t>*36*</t>
  </si>
  <si>
    <t>*Lyndon B. Johnson*</t>
  </si>
  <si>
    <t>5 ans, 1 mois et 29 jours</t>
  </si>
  <si>
    <t>Vice-président de John F. Kennedy, il devient président à l'assassinat de 
ce dernier et obtient en 1964 la plus grande victoire de l'histoire des 
États-Unis aux suffrages populaires (61,1 %), mais perd le Sud qui s'oppose 
à son programme sur les droits civiques et à l'*affirmative action* qui lui 
permettent de mettre fin à la ségrégation raciale. Son mandat est aussi 
marqué par son discours sur la « Grande Société » promettant l'effacement 
des clivages sociaux, raciaux et culturels devant l'intérêt collectif, par 
l'adoption du Medicare et du Medicaid, mais aussi par les émeutes raciales 
dans le ghetto de Watts (1965). Il devient impopulaire à cause de la guerre 
du Viêt Nam et de l'offensive du Têt. Il renonce alors à se représenter en 
1968.</t>
  </si>
  <si>
    <t>*37*</t>
  </si>
  <si>
    <t>*Richard M. Nixon*</t>
  </si>
  <si>
    <t>5 ans, 6 mois et 20 jours</t>
  </si>
  <si>
    <t>Démission</t>
  </si>
  <si>
    <t>Élu en 1968, l'ancien vice-président de Dwight Eisenhower développe la 
législation sur l' *affirmative action* (plan de Philadelphie en 1969), 
retire les troupes américaines du Viêt Nam et reconnaît la République 
populaire de Chine. Réélu en 1972 en remportant 49 des 50 États américains. 
En 1974, il démissionne à la suite du début d'une procédure d' *impeachment*, 
consécutive à l'affaire du Watergate dans laquelle il est accusé d'entrave 
à la justice. Un mois après sa démission, son successeur, Gerald Ford, lui 
accorde « un pardon sans réserve pour toutes les fautes qu'il a commises ou 
a pu commettre »[9], mettant un terme aux procédures judiciaires en cours.</t>
  </si>
  <si>
    <t>*38*</t>
  </si>
  <si>
    <t>*Gerald R. Ford*</t>
  </si>
  <si>
    <t>2 ans, 5 mois et 11 jours</t>
  </si>
  <si>
    <t>Ancien représentant du Michigan et chef de la minorité républicaine à la 
Chambre, il est nommé vice-président en remplacement du vice-président 
démissionnaire Spiro Agnew en 1974, puis devient président après la 
démission de Richard Nixon. Son mandat est marqué par la grâce 
présidentielle accordée à Nixon, par la chute de Saïgon et la continuation 
de la politique de détente avec l'URSS. Il est battu lors de l'élection de 
1976, faisant de lui le seul président à n'avoir jamais été élu.</t>
  </si>
  <si>
    <t>*39*</t>
  </si>
  <si>
    <t>*Jimmy Carter*</t>
  </si>
  <si>
    <t>Au terme d'élections très serrées, l'ancien gouverneur de Géorgie rompt 
avec la Realpolitik de ses prédécesseurs, voulant mettre l'accent sur les 
performances économiques internes et le respect des droits de l'homme à 
l'étranger. Sa médiation qui a permis d'aboutir à la signature des accords 
de Camp David entre Anouar el-Sadate et Menahem Begin, traduisait cette 
nouvelle orientation basée sur le multilatéralisme et la non-intervention. 
Il privilégie également les relations avec les pays du tiers monde. Il tend 
la main à Fidel Castro sans résultat. Il suspend également l'aide militaire 
au régime de Somoza au Nicaragua et, à la chute de ce dernier, favorise la 
formation d'un gouvernement comprenant les sandinistes. Mais la prise de la 
totalité du pouvoir par ces derniers et leur rapprochement avec Cuba est 
une humiliation pour la diplomatie américaine. Au Moyen-Orient, il désavoue 
le shah d'Iran, mais se retrouve aux prises avec un régime islamique 
hostile qui débouche sur la crise iranienne des otages. Enfin, le 
non-respect des accords SALT par l'URSS et l'invasion de l'Afghanistan par 
les troupes soviétiques, l'amenant à boycotter les jeux olympiques de Moscou 
ainsi qu'à supprimer des exportations de denrées alimentaires vers l'URSS, 
minent sa politique étrangère alors que l'hégémonie économique américaine 
est contestée par le Japon. En 1980, l'inflation galopante tout comme la 
hausse du prix du carburant à la pompe et le chômage contribuent à le 
priver d'un second mandat. Carter reçoit le prix Nobel de la paix en 2002[10
].</t>
  </si>
  <si>
    <t>*40*</t>
  </si>
  <si>
    <t>*Ronald W. Reagan*</t>
  </si>
  <si>
    <t>Ancien acteur de cinéma et gouverneur de Californie, il était le plus âgé 
des présidents des États-Unis (presque 70 ans) lorsqu'il accède à la 
Maison-Blanche, avant que Donald Trump le soit devenu en 2016 . Élu en 1980, 
il est réélu en 1984 avec le chiffre record de 525 grands électeurs[note 4]. 
Sa présidence, entamée au début de son mandat par une tentative d'assassinat, 
marque le début de la Révolution conservatrice consistant en une baisse de 
la fiscalité et un conservatisme fiscal sans faille[11] connue sous le nom 
de *Reaganomics*, une politique de relance basée sur l'économie de l'offre. 
En politique internationale, sa première mandature est marquée par la crise 
des euromissiles, la relance de la course aux armements, l'invasion de la 
Grenade et la hausse du budget militaire, pour notamment financer le projet 
d'Initiative de défense stratégique[note 5]. Son second mandat est marqué 
par une croissance économique soutenue, ébranlée brièvement par le krach 
d'octobre 1987, par une inflation jugulée, un taux de chômage divisé par 
deux et un taux de change du dollar au plus haut niveau. Sur le plan 
international, outre le scandale de l'affaire Iran-Contra qui ébranle la 
présidence, le bombardement de la Libye du Colonel Kadhafi[12] et la 
ratification du traité sur les forces nucléaires à portée intermédiaire, la 
course aux armements entamée au début des années 1980 a accéléré la 
décomposition de l'URSS. Lors d'un discours à Berlin, Ronald Reagan y 
appelle symboliquement Mikhaïl Gorbatchev à faire tomber le rideau de fer. 
Ronald Reagan est ainsi perçu par certains comme le grand vainqueur de la guerre 
froide[13]. Selon une enquête nationale réalisée pour la télévision en 2005, 
un an après sa mort, il est pour les Américains leur personnalité publique 
préférée, toutes catégories confondues.</t>
  </si>
  <si>
    <t>*41*</t>
  </si>
  <si>
    <t>*George H. W. Bush*</t>
  </si>
  <si>
    <t>Vice-président de Ronald Reagan, élu en 1988, George Bush est rapidement 
témoin de la chute du mur de Berlin (1989), de l'effondrement des régimes 
des pays de l'Est (1989) suivi par celui de l'URSS (1990-1991) et de la 
réunification allemande (1990), marquant l'émergence d'un nouvel ordre 
mondial. Sous son mandat, les États-Unis assument leur rôle de « gendarme 
du monde » en dépêchant un corps expéditionnaire au Panama pour y arrêter 
le général Noriega, coupable de trafic de drogue. En 1991, les États-Unis 
dirigent une coalition internationale pour libérer le Koweït qui avait été 
envahi par l'Irak (Première guerre du Golfe). Fort de ses succès 
internationaux, Bush néglige la politique intérieure. L'économie entre en 
récession, le chômage augmente, l'insécurité progresse, les prestations 
sociales diminuent, et des émeutes raciales éclatent à Los Angeles[14]. 
Manquant à sa promesse électorale de ne pas augmenter les impôts, George 
Bush n'est pas réélu en 1992, notamment à cause de la candidature populiste 
de Ross Perot. Avant son départ de la Maison-Blanche, il lance les forces 
armées américaines, sous l'égide des Nations unies, dans l'opération *Restore 
Hope* en Somalie.</t>
  </si>
  <si>
    <t>*42*</t>
  </si>
  <si>
    <t>*Bill Clinton*</t>
  </si>
  <si>
    <t>Ancien gouverneur de l'Arkansas. Élu en 1992 avec une majorité relative des 
suffrages, sa promesse de réformer le système de santé et de couverture 
médicale se heurte à l'hostilité du Congrès et se solde par un échec, en 
partie en raison de sa complexité et de son aspect institutionnel[15]. Son 
premier mandat est également marqué par les accords d'Oslo (accords de 
Washington signés le 13 septembre 1993), l'intervention de l'armée 
américaine en Haïti. Clinton est réélu en 1996. Au cours de son deuxième 
mandat, des scandales politiques sont révélés tels le Whitewater, le 
travelgate, le filegate, le scandale sur le financement de sa campagne 
présidentielle et d'autres liés à des affaires privées (le bimbogate) : 
affaires Gennifer Flowers, Paula Jones, Kathleen Willey, Monica Lewinsky, 
etc). À la suite de l'affaire Lewinsky, il est l'objet devant le Congrès 
d'une procédure d'impeachment qui aboutit, faisant de lui le second 
président américain à être *impeached*. Mais là encore, le Sénat ne trouve 
pas de majorité des 2/3 pour le destituer. Son deuxième mandat est 
également marqué par les attentats contre les ambassades américaines au 
Kenya et en Tanzanie en 1998, l'opération *Renard du désert* en Irak fin 
1998 (sans mandat de l'ONU), l'intervention des troupes de l'OTAN dans la guerre 
du Kosovo. Durant son mandat, les États-Unis bénéficient d'une embellie 
économique marquée par un excédent budgétaire et un taux de chômage au plus 
bas en 30 ans.</t>
  </si>
  <si>
    <t>*43*</t>
  </si>
  <si>
    <t>*George W. Bush*</t>
  </si>
  <si>
    <t>Fils du 41e président et ancien gouverneur du Texas, il est, en 2000, le 
quatrième candidat à la présidence à accéder à la Maison-Blanche en étant 
minoritaire en voix[note 6]. Son premier mandat est marqué par les attentats 
du 11 septembre 2001, la guerre contre le terrorisme, le *Patriot Act*, le 
développement du Bouclier antimissile, les guerres d'Afghanistan et d'Irak 
et l'ouverture du camp de Guantanamo. Réélu en 2004, cette fois avec la 
majorité absolue des suffrages populaires, son second mandat est marqué par 
les conséquences de la Guerre en Irak, la gestion controversée du cyclone 
Katrina en Louisiane en 2005, la gestion difficile du conflit 
israélo-palestinien et par l'adoption du plan Paulson pour relancer 
l'économie américaine à la suite d'une crise financière débutée par la crise 
des subprimes en 2007. Après avoir atteint les sommets de la popularité à 
la fin de l'année 2001, il a atteint les profondeurs inverses à la fin de 
son mandat[16].</t>
  </si>
  <si>
    <t>*44*</t>
  </si>
  <si>
    <t>*Barack Obama*</t>
  </si>
  <si>
    <t>Sénateur de l'Illinois de 2004 à 2009, fils d'un Kényan noir et d'une 
Américaine blanche, il devient le premier président noir et le quatrième à 
recevoir le prix Nobel de la paix en 2009 et le troisième président à le 
recevoir en cours de mandat. En politique internationale, le début de sa 
présidence est marquée par l'assouplissement de l'embargo des États-Unis 
contre Cuba[17], par la main tendue à l'Iran[18] aboutissant à l'Accord sur 
le nucléaire iranien, par le retrait progressif des troupes américaines 
d'Irak et le discours du Caire, par l'élimination d'Oussama ben Laden, par 
le souhait de voir la Turquie entrer dans l'Union européenne[19] et par un 
discours portant sur l'élimination totale de toutes les armes nucléaires[20]. 
En politique interne, sa présidence est marquée par une réforme du système 
financier à la suite de la crise des subprimes, par un déficit budgétaire 
résultant notamment de l'envolée des dépenses publiques au titre du plan de 
relance et de la chute des recettes[21] alors que sont maintenues les 
exonérations fiscales des ménages les plus aisés[22], par la loi dite 
Obamacare sur l'assurance maladie, par le réaménagement des programmes 
d'armement[23], par la levée de l'interdiction du financement public de la 
recherche sur les cellules souches embryonnaires[24] (financement public 
suspendu à ce jour[25]), par le soutien au mariage homosexuel[26] 
aboutissant à sa légalisation fédérale, par l'annonce d'une nouvelle politique 
de l'environnement destinée à limiter les émissions de gaz à effet de serre 
(non adoptée par le Congrès[27]) menant aux Accord de Paris sur le climat 
et par sa gestion controversée de la marée noire en Louisiane. Lors des élections 
de mi-mandat en 2010, le Parti démocrate perd la majorité à la Chambre des 
représentants mais conserve sa majorité au Sénat. Barack Obama est réélu en 
2012 pour un second mandat face à Mitt Romney, mais doit continuer à 
composer avec une Chambre dominée par les républicains pour quatre ans, et 
un Sénat également acquis au *Grand Old Party* pour les deux dernières 
années de sa présidence.</t>
  </si>
  <si>
    <t>*45*</t>
  </si>
  <si>
    <t>*Donald Trump*</t>
  </si>
  <si>
    <t>En cours</t>
  </si>
  <si>
    <t>1 an, 8 mois et 12 jours</t>
  </si>
  <si>
    <t>Né à New York, homme d'affaires et magnat milliardaire de l'immobilier, 
ainsi qu'animateur de télévision, Donald Trump s'engage en politique à 
partir des années 1980. Il devient de façon inattendue le candidat du Parti 
républicain à l'issue des primaires de 2016. Marquée par de nombreuses 
polémiques, sa campagne se caractérise par des propositions radicales 
visant à réduire l'immigration, un positionnement isolationniste et 
protectionniste et une opposition à l'*establishment* et au politiquement 
correct. Elle se distingue également par un relativement faible coût et une 
absence de recours à des sponsors. Éloigné du profil habituel des candidats 
du Parti républicain, il constitue un cas singulier dans l'histoire 
politique américaine. Il est le cinquième candidat à la présidence à être 
élu tout en étant minoritaire en voix[28] et le seul à exercer cette 
fonction sans avoir eu auparavant une expérience politique ou militaire[29]. 
Il signe des décrets présidentiels visant à réduire l'immigration, puis 
annonce le retrait des États-Unis de l'accord de Paris sur le climat et de 
l'UNESCO</t>
  </si>
  <si>
    <t>TABARNACLE</t>
  </si>
  <si>
    <t>Presidency[a]</t>
  </si>
  <si>
    <t>President</t>
  </si>
  <si>
    <t>Prior office[b]</t>
  </si>
  <si>
    <t>Party[c]</t>
  </si>
  <si>
    <t>Term[d]</t>
  </si>
  <si>
    <t>Vice President</t>
  </si>
  <si>
    <t>April 30, 1789
[e]
–
March 4, 1797</t>
  </si>
  <si>
    <t>*George Washington*
1732–1799
(Lived: 67 years)
[3][4][5]</t>
  </si>
  <si>
    <t>Commander-in-Chief
of the
Continental Army
(1775–1783)</t>
  </si>
  <si>
    <t>*Unaffiliated*
[2]</t>
  </si>
  <si>
    <t>(1788–89)
1
(1789)</t>
  </si>
  <si>
    <t>John Adams
[f][g]</t>
  </si>
  <si>
    <t>(1792)
2
(1793)</t>
  </si>
  <si>
    <t>March 4, 1797
–
March 4, 1801</t>
  </si>
  <si>
    <t>*John Adams*
1735–1826
(Lived: 90 years)
[6][7][8]</t>
  </si>
  <si>
    <t>1st
Vice President of the United States</t>
  </si>
  <si>
    <t>Federalist</t>
  </si>
  <si>
    <t>(1796)
3
(1797)</t>
  </si>
  <si>
    <t>Thomas Jefferson
[h]</t>
  </si>
  <si>
    <t>March 4, 1801
–
March 4, 1809</t>
  </si>
  <si>
    <t>*Thomas Jefferson*
1743–1826
(Lived: 83 years)
[9][10][11]</t>
  </si>
  <si>
    <t>2nd
Vice President of the United States</t>
  </si>
  <si>
    <t>Democratic-
Republican</t>
  </si>
  <si>
    <t>(1800)
4
(1801)</t>
  </si>
  <si>
    <t>Aaron Burr
March 4, 1801 – March 4, 1805</t>
  </si>
  <si>
    <t>(1804)
5
(1805)</t>
  </si>
  <si>
    <t>George Clinton
March 4, 1805 – March 4, 1809</t>
  </si>
  <si>
    <t>March 4, 1809
–
March 4, 1817</t>
  </si>
  <si>
    <t>*James Madison*
1751–1836
(Lived: 85 years)
[12][13][14]</t>
  </si>
  <si>
    <t>5th
United States Secretary of State
(1801–1809)</t>
  </si>
  <si>
    <t>(1808)
6
(1809)</t>
  </si>
  <si>
    <t>George Clinton
March 4, 1809 – April 20, 1812
*(Died in office)*</t>
  </si>
  <si>
    <t>*Office vacant(Balance of Clinton's term)*</t>
  </si>
  <si>
    <t>(1812)
7
(1813)</t>
  </si>
  <si>
    <t>Elbridge Gerry
March 4, 1813 – November 23, 1814
*(Died in office)*</t>
  </si>
  <si>
    <t>*Office vacant(Balance of Gerry's term)*</t>
  </si>
  <si>
    <t>March 4, 1817
–
March 4, 1825</t>
  </si>
  <si>
    <t>*James Monroe*
1758–1831
(Lived: 73 years)
[15][16][17]</t>
  </si>
  <si>
    <t>7th
United States Secretary of State
(1811–1817)</t>
  </si>
  <si>
    <t>(1816)
8
(1817)</t>
  </si>
  <si>
    <t>Daniel D. Tompkins</t>
  </si>
  <si>
    <t>(1820)
9
(1821)</t>
  </si>
  <si>
    <t>March 4, 1825
–
March 4, 1829</t>
  </si>
  <si>
    <t>*John Quincy Adams*
1767–1848
(Lived: 80 years)
[18][19][20]</t>
  </si>
  <si>
    <t>8th
United States Secretary of State
(1817–1825)</t>
  </si>
  <si>
    <t>(1824)
10
(1825)</t>
  </si>
  <si>
    <t>John C. Calhoun</t>
  </si>
  <si>
    <t>March 4, 1829
–
March 4, 1837</t>
  </si>
  <si>
    <t>*Andrew Jackson*
1767–1845
(Lived: 78 years)
[21][22][23]</t>
  </si>
  <si>
    <t>U.S. Senator (Class 2) from Tennessee
(1797–1798 &amp; 1823–1825)</t>
  </si>
  <si>
    <t>Democratic</t>
  </si>
  <si>
    <t>(1828)
11
(1829)</t>
  </si>
  <si>
    <t>John C. Calhoun
[i]
March 4, 1829 – December 28, 1832
*(Resigned from office)*</t>
  </si>
  <si>
    <t>*Office vacant(Balance of Calhoun's term)*</t>
  </si>
  <si>
    <t>(1832)
12
(1833)</t>
  </si>
  <si>
    <t>Martin Van Buren
March 4, 1833 – March 4, 1837</t>
  </si>
  <si>
    <t>March 4, 1837
–
March 4, 1841</t>
  </si>
  <si>
    <t>*Martin Van Buren*
1782–1862
(Lived: 79 years)
[24][25][26]</t>
  </si>
  <si>
    <t>8th
Vice President of the United States</t>
  </si>
  <si>
    <t>(1836)
13
(1837)</t>
  </si>
  <si>
    <t>Richard M. Johnson</t>
  </si>
  <si>
    <t>March 4, 1841
–
April 4, 1841
*(Died in office)*</t>
  </si>
  <si>
    <t>*William Henry Harrison*
1773–1841
(Lived: 68 years)
[27][28][29]</t>
  </si>
  <si>
    <t>United States Minister to Colombia
(1828–1829)</t>
  </si>
  <si>
    <t>(1840)
14
(1841)
(1841)
[j]</t>
  </si>
  <si>
    <t>John Tyler
*(Succeeded to presidency)*</t>
  </si>
  <si>
    <t>April 4, 1841
[k]
–
March 4, 1845</t>
  </si>
  <si>
    <t>*John Tyler*
1790–1862
(Lived: 71 years)
[30][31][32]</t>
  </si>
  <si>
    <t>10th
Vice President of the United States</t>
  </si>
  <si>
    <t>Whig
April 4, 1841 – September 13, 1841</t>
  </si>
  <si>
    <t>*Office vacant*</t>
  </si>
  <si>
    <t>*Unaffiliated*
September 13, 1841 – March 4, 1845
[l]</t>
  </si>
  <si>
    <t>March 4, 1845
–
March 4, 1849</t>
  </si>
  <si>
    <t>*James K. Polk*
1795–1849
(Lived: 53 years)
[33][34][35]</t>
  </si>
  <si>
    <t>9th
Governor of Tennessee
(1839–1841)</t>
  </si>
  <si>
    <t>(1844)
15
(1845)</t>
  </si>
  <si>
    <t>George M. Dallas</t>
  </si>
  <si>
    <t>March 4, 1849
–
July 9, 1850
*(Died in office)*</t>
  </si>
  <si>
    <t>*Zachary Taylor*
1784–1850
(Lived: 65 years)
[36][37][38]</t>
  </si>
  <si>
    <t>Major General of the 1st Infantry Regiment
United States Army
(1846–1849)
*(No prior elected office)*</t>
  </si>
  <si>
    <t>(1848)
16
(1849)
(1850)
[j]</t>
  </si>
  <si>
    <t>Millard Fillmore
*(Succeeded to presidency)*</t>
  </si>
  <si>
    <t>July 9, 1850
[m]
–
March 4, 1853</t>
  </si>
  <si>
    <t>*Millard Fillmore*
1800–1874
(Lived: 74 years)
[39][40][41]</t>
  </si>
  <si>
    <t>12th
Vice President of the United States</t>
  </si>
  <si>
    <t>March 4, 1853
–
March 4, 1857</t>
  </si>
  <si>
    <t>*Franklin Pierce*
1804–1869
(Lived: 64 years)
[42][43][44]</t>
  </si>
  <si>
    <t>Brigadier General of the 9th Infantry
United States Army
(1847–1848)</t>
  </si>
  <si>
    <t>(1852)
17
(1853)</t>
  </si>
  <si>
    <t>William R. King
March 4 – April 18, 1853
*(Died in office)*</t>
  </si>
  <si>
    <t>*Office vacant(Balance of King's term)*</t>
  </si>
  <si>
    <t>March 4, 1857
–
March 4, 1861</t>
  </si>
  <si>
    <t>*James Buchanan*
1791–1868
(Lived: 77 years)
[45][46][47]</t>
  </si>
  <si>
    <t>United States Minister to the
Court of St James's
(1853–1856)</t>
  </si>
  <si>
    <t>(1856)
18
(1857)</t>
  </si>
  <si>
    <t>John C. Breckinridge</t>
  </si>
  <si>
    <t>March 4, 1861
–
April 15, 1865
*(Died in office)*</t>
  </si>
  <si>
    <t>*Abraham Lincoln*
1809–1865
(Lived: 56 years)
[48][49][50]</t>
  </si>
  <si>
    <t>U.S. Representative for Illinois's 7th District
(1847–1849)</t>
  </si>
  <si>
    <t>Republican
(National Union)
[n]</t>
  </si>
  <si>
    <t>(1860)
19
(1861)</t>
  </si>
  <si>
    <t>Hannibal Hamlin
March 4, 1861 – March 4, 1865</t>
  </si>
  <si>
    <t>(1864)
20
(1865)
(1865)
[j]</t>
  </si>
  <si>
    <t>Andrew Johnson
March 4 – April 15, 1865
*(Succeeded to presidency)*</t>
  </si>
  <si>
    <t>April 15, 1865
–
March 4, 1869</t>
  </si>
  <si>
    <t>*Andrew Johnson*
1808–1875
(Lived: 66 years)
[51][52][53]</t>
  </si>
  <si>
    <t>16th
Vice President of the United States</t>
  </si>
  <si>
    <t>National Union
April 15, 1865 – c. 1868</t>
  </si>
  <si>
    <t>Democratic
c. 1868 – March 4, 1869
[o]</t>
  </si>
  <si>
    <t>March 4, 1869
–
March 4, 1877</t>
  </si>
  <si>
    <t>*Ulysses S. Grant*
1822–1885
(Lived: 63 years)
[54][55][56]</t>
  </si>
  <si>
    <t>Commanding General of the U.S. Army
(1864–1869)
*(No prior elected office)*</t>
  </si>
  <si>
    <t>Republican</t>
  </si>
  <si>
    <t>(1868)
21
(1869)</t>
  </si>
  <si>
    <t>Schuyler Colfax
March 4, 1869 – March 4, 1873</t>
  </si>
  <si>
    <t>(1872)
22
(1873)</t>
  </si>
  <si>
    <t>Henry Wilson
March 4, 1873 – November 22, 1875
*(Died in office)*</t>
  </si>
  <si>
    <t>*Office vacant(Balance of Wilson's term)*</t>
  </si>
  <si>
    <t>March 4, 1877
–
March 4, 1881</t>
  </si>
  <si>
    <t>*Rutherford B. Hayes*
1822–1893
(Lived: 70 years)
[57][58][59]</t>
  </si>
  <si>
    <t>29th &amp; 32nd
Governor of Ohio
(1868–1872 &amp; 1876–1877)</t>
  </si>
  <si>
    <t>(1876)
23
(1877)</t>
  </si>
  <si>
    <t>William A. Wheeler</t>
  </si>
  <si>
    <t>March 4, 1881
–
September 19, 1881
*(Died in office)*</t>
  </si>
  <si>
    <t>*James A. Garfield*
1831–1881
(Lived: 49 years)
[60][61][62]</t>
  </si>
  <si>
    <t>U.S. Representative for Ohio's 19th District
(1863–1881)</t>
  </si>
  <si>
    <t>(1880)
24
(1881)
(1881)
[j]</t>
  </si>
  <si>
    <t>Chester A. Arthur
*(Succeeded to presidency)*</t>
  </si>
  <si>
    <t>September 19, 1881
[p]
–
March 4, 1885</t>
  </si>
  <si>
    <t>*Chester A. Arthur*
1829–1886
(Lived: 57 years)
[63][64][65]</t>
  </si>
  <si>
    <t>20th
Vice President of the United States</t>
  </si>
  <si>
    <t>March 4, 1885
–
March 4, 1889</t>
  </si>
  <si>
    <t>*Grover Cleveland*
1837–1908
(Lived: 71 years)
[66][67]</t>
  </si>
  <si>
    <t>28th
Governor of New York
(1883–1885)</t>
  </si>
  <si>
    <t>(1884)
25
(1885)</t>
  </si>
  <si>
    <t>Thomas A. Hendricks
March 4 – November 25, 1885
*(Died in office)*</t>
  </si>
  <si>
    <t>*Office vacant(Balance of Hendricks's term)*</t>
  </si>
  <si>
    <t>March 4, 1889
–
March 4, 1893</t>
  </si>
  <si>
    <t>*Benjamin Harrison*
1833–1901
(Lived: 67 years)
[68][69][70]</t>
  </si>
  <si>
    <t>U.S. Senator (Class 1) from Indiana
(1881–1887)</t>
  </si>
  <si>
    <t>(1888)
26
(1889)</t>
  </si>
  <si>
    <t>Levi P. Morton</t>
  </si>
  <si>
    <t>March 4, 1893
–
March 4, 1897</t>
  </si>
  <si>
    <t>22nd
President of the United States
(1885–1889)</t>
  </si>
  <si>
    <t>(1892)
27
(1893)</t>
  </si>
  <si>
    <t>Adlai Stevenson</t>
  </si>
  <si>
    <t>March 4, 1897
–
September 14, 1901
*(Died in office)*</t>
  </si>
  <si>
    <t>*William McKinley*
1843–1901
(Lived: 58 years)
[71][72][73]</t>
  </si>
  <si>
    <t>39th
Governor of Ohio
(1892–1896)</t>
  </si>
  <si>
    <t>(1896)
28
(1897)</t>
  </si>
  <si>
    <t>Garret Hobart
March 4, 1897 – November 21, 1899
*(Died in office)*</t>
  </si>
  <si>
    <t>*Office vacant(Balance of Hobart's term)*</t>
  </si>
  <si>
    <t>(1900)
29
(1901)
(1901)
[j]</t>
  </si>
  <si>
    <t>Theodore Roosevelt
March 4 – September 14, 1901
*(Succeeded to presidency)*</t>
  </si>
  <si>
    <t>September 14, 1901
–
March 4, 1909</t>
  </si>
  <si>
    <t>*Theodore Roosevelt*
1858–1919
(Lived: 60 years)
[74][75][76]</t>
  </si>
  <si>
    <t>25th
Vice President of the United States</t>
  </si>
  <si>
    <t>*Office vacant*
September 14, 1901 – March 4, 1905</t>
  </si>
  <si>
    <t>(1904)
30
(1905)</t>
  </si>
  <si>
    <t>Charles W. Fairbanks
March 4, 1905 – March 4, 1909</t>
  </si>
  <si>
    <t>March 4, 1909
–
March 4, 1913</t>
  </si>
  <si>
    <t>*William Howard Taft*
1857–1930
(Lived: 72 years)
[77][78][79]</t>
  </si>
  <si>
    <t>42nd
United States Secretary of War
(1904–1908)</t>
  </si>
  <si>
    <t>(1908)
31
(1909)</t>
  </si>
  <si>
    <t>James S. Sherman
March 4, 1909 – October 30, 1912
*(Died in office)*</t>
  </si>
  <si>
    <t>*Office vacant(Balance of Sherman's term)*</t>
  </si>
  <si>
    <t>March 4, 1913
–
March 4, 1921</t>
  </si>
  <si>
    <t>*Woodrow Wilson*
1856–1924
(Lived: 67 years)
[80][81][82]</t>
  </si>
  <si>
    <t>34th
Governor of New Jersey
(1911–1913)</t>
  </si>
  <si>
    <t>(1912)
32
(1913)</t>
  </si>
  <si>
    <t>Thomas R. Marshall</t>
  </si>
  <si>
    <t>(1916)
33
(1917)</t>
  </si>
  <si>
    <t>March 4, 1921
–
August 2, 1923
*(Died in office)*</t>
  </si>
  <si>
    <t>*Warren G. Harding*
1865–1923
(Lived: 57 years)
[83][84][85]</t>
  </si>
  <si>
    <t>U.S. Senator (Class 3) from Ohio
(1915–1921)</t>
  </si>
  <si>
    <t>(1920)
34
(1921)
(1923)
[j]</t>
  </si>
  <si>
    <t>Calvin Coolidge
*(Succeeded to presidency)*</t>
  </si>
  <si>
    <t>August 2, 1923
[q]
–
March 4, 1929</t>
  </si>
  <si>
    <t>*Calvin Coolidge*
1872–1933
(Lived: 60 years)
[86][87][88]</t>
  </si>
  <si>
    <t>29th
Vice President of the United States</t>
  </si>
  <si>
    <t>*Office vacant*
August 2, 1923 – March 4, 1925</t>
  </si>
  <si>
    <t>(1924)
35
(1925)</t>
  </si>
  <si>
    <t>Charles G. Dawes
March 4, 1925 – March 4, 1929</t>
  </si>
  <si>
    <t>March 4, 1929
–
March 4, 1933</t>
  </si>
  <si>
    <t>*Herbert Hoover*
1874–1964
(Lived: 90 years)
[89][90][91]</t>
  </si>
  <si>
    <t>3rd
United States Secretary of Commerce
(1921–1928)
*(No prior elected office)*</t>
  </si>
  <si>
    <t>(1928)
36
(1929)</t>
  </si>
  <si>
    <t>Charles Curtis</t>
  </si>
  <si>
    <t>March 4, 1933
–
April 12, 1945
*(Died in office)*</t>
  </si>
  <si>
    <t>*Franklin D. Roosevelt*
1882–1945
(Lived: 63 years)
[92][93][94]</t>
  </si>
  <si>
    <t>44th
Governor of New York
(1929–1932)</t>
  </si>
  <si>
    <t>(1932)
37
(1933)</t>
  </si>
  <si>
    <t>John N. Garner
March 4, 1933 – January 20, 1941
[r]</t>
  </si>
  <si>
    <t>(1936)
38
(1937)</t>
  </si>
  <si>
    <t>(1940)
39
(1941)</t>
  </si>
  <si>
    <t>Henry A. Wallace
January 20, 1941 – January 20, 1945</t>
  </si>
  <si>
    <t>(1944)
40
(1945)
(1945)
[j]</t>
  </si>
  <si>
    <t>Harry S. Truman
January 20 – April 12, 1945
*(Succeeded to presidency)*</t>
  </si>
  <si>
    <t>April 12, 1945
–
January 20, 1953</t>
  </si>
  <si>
    <t>*Harry S. Truman*
1884–1972
(Lived: 88 years)
[95][96][97]</t>
  </si>
  <si>
    <t>34th
Vice President of the United States</t>
  </si>
  <si>
    <t>*Office vacant*
April 12, 1945 – January 20, 1949</t>
  </si>
  <si>
    <t>(1948)
41
(1949)</t>
  </si>
  <si>
    <t>Alben W. Barkley
January 20, 1949 – January 20, 1953</t>
  </si>
  <si>
    <t>January 20, 1953
–
January 20, 1961</t>
  </si>
  <si>
    <t>*Dwight D. Eisenhower*
1890–1969
(Lived: 78 years)
[98][99][100]</t>
  </si>
  <si>
    <t>Supreme Allied Commander Europe
(1949–1952)
*(No prior elected office)*</t>
  </si>
  <si>
    <t>(1952)
42
(1953)</t>
  </si>
  <si>
    <t>Richard Nixon</t>
  </si>
  <si>
    <t>(1956)
43
(1957)</t>
  </si>
  <si>
    <t>January 20, 1961
–
November 22, 1963
*(Died in office)*</t>
  </si>
  <si>
    <t>*John F. Kennedy*
1917–1963
(Lived: 46 years)
[101][102][103]</t>
  </si>
  <si>
    <t>U.S. Senator (Class 1) from Massachusetts
(1953–1960)</t>
  </si>
  <si>
    <t>(1960)
44
(1961)
(1963)
[j]</t>
  </si>
  <si>
    <t>Lyndon B. Johnson
*(Succeeded to presidency)*</t>
  </si>
  <si>
    <t>November 22, 1963
–
January 20, 1969</t>
  </si>
  <si>
    <t>*Lyndon B. Johnson*
1908–1973
(Lived: 64 years)
[104][105]</t>
  </si>
  <si>
    <t>37th
Vice President of the United States</t>
  </si>
  <si>
    <t>*Office vacant*
November 22, 1963 – January 20, 1965</t>
  </si>
  <si>
    <t>(1964)
45
(1965)</t>
  </si>
  <si>
    <t>Hubert Humphrey
January 20, 1965 – January 20, 1969</t>
  </si>
  <si>
    <t>January 20, 1969
–
August 9, 1974
*(Resigned from office)*</t>
  </si>
  <si>
    <t>*Richard Nixon*
1913–1994
(Lived: 81 years)
[106][107][108]</t>
  </si>
  <si>
    <t>36th
Vice President of the United States
(1953–1961)</t>
  </si>
  <si>
    <t>(1968)
46
(1969)</t>
  </si>
  <si>
    <t>Spiro Agnew
January 20, 1969 – October 10, 1973
*(Resigned from office)*</t>
  </si>
  <si>
    <t>(1972)
47
(1973)
(1974)
[j]</t>
  </si>
  <si>
    <t>*Office vacant*
October 10 – December 6, 1973</t>
  </si>
  <si>
    <t>Gerald Ford
December 6, 1973 – August 9, 1974
*(Succeeded to presidency)*</t>
  </si>
  <si>
    <t>August 9, 1974
–
January 20, 1977</t>
  </si>
  <si>
    <t>*Gerald Ford*
1913–2006
(Lived: 93 years)
[109][110][111]</t>
  </si>
  <si>
    <t>40th
Vice President of the United States</t>
  </si>
  <si>
    <t>*Office vacant*
August 9 – December 19, 1974</t>
  </si>
  <si>
    <t>Nelson Rockefeller
December 19, 1974 – January 20, 1977</t>
  </si>
  <si>
    <t>January 20, 1977
–
January 20, 1981</t>
  </si>
  <si>
    <t>*Jimmy Carter*
Born 1924
*(93 years old)*
[112][113][114]</t>
  </si>
  <si>
    <t>76th
Governor of Georgia
(1971–1975)</t>
  </si>
  <si>
    <t>(1976)
48
(1977)</t>
  </si>
  <si>
    <t>Walter Mondale</t>
  </si>
  <si>
    <t>January 20, 1981
–
January 20, 1989</t>
  </si>
  <si>
    <t>*Ronald Reagan*
1911–2004
(Lived: 93 years)
[115][116][117]</t>
  </si>
  <si>
    <t>33rd
Governor of California
(1967–1975)</t>
  </si>
  <si>
    <t>(1980)
49
(1981)</t>
  </si>
  <si>
    <t>George H. W. Bush</t>
  </si>
  <si>
    <t>(1984)
50
(1985)</t>
  </si>
  <si>
    <t>January 20, 1989
–
January 20, 1993</t>
  </si>
  <si>
    <t>*George H. W. Bush*
Born 1924
*(94 years old)*
[118][119][120]</t>
  </si>
  <si>
    <t>43rd
Vice President of the United States</t>
  </si>
  <si>
    <t>(1988)
51
(1989)</t>
  </si>
  <si>
    <t>Dan Quayle</t>
  </si>
  <si>
    <t>January 20, 1993
–
January 20, 2001</t>
  </si>
  <si>
    <t>*Bill Clinton*
Born 1946
*(72 years old)*
[121][122][123]</t>
  </si>
  <si>
    <t>40th &amp; 42nd
Governor of Arkansas
(1979–1981 &amp; 1983–1992)</t>
  </si>
  <si>
    <t>(1992)
52
(1993)</t>
  </si>
  <si>
    <t>Al Gore</t>
  </si>
  <si>
    <t>(1996)
53
(1997)</t>
  </si>
  <si>
    <t>January 20, 2001
–
January 20, 2009</t>
  </si>
  <si>
    <t>*George W. Bush*
Born 1946
*(72 years old)*
[124][125]</t>
  </si>
  <si>
    <t>46th
Governor of Texas
(1995–2000)</t>
  </si>
  <si>
    <t>(2000)
54
(2001)</t>
  </si>
  <si>
    <t>Dick Cheney</t>
  </si>
  <si>
    <t>(2004)
55
(2005)</t>
  </si>
  <si>
    <t>January 20, 2009
–
January 20, 2017</t>
  </si>
  <si>
    <t>*Barack Obama*
Born 1961
*(57 years old)*
[126][127]</t>
  </si>
  <si>
    <t>U.S. Senator (Class 3) from Illinois
(2005–2008)</t>
  </si>
  <si>
    <t>(2008)
56
(2009)</t>
  </si>
  <si>
    <t>Joe Biden</t>
  </si>
  <si>
    <t>(2012)
57
(2013)</t>
  </si>
  <si>
    <t>January 20, 2017
–
Incumbent</t>
  </si>
  <si>
    <t>*Donald Trump*
Born 1946
*(72 years old)*
[128][129]</t>
  </si>
  <si>
    <t>Chairman of
The Trump Organization
(1971–2017)
*(No prior elected office)*</t>
  </si>
  <si>
    <t>(2016)
58
(2017)</t>
  </si>
  <si>
    <t>Mike Pence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</si>
</sst>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9">
    <font>
      <sz val="10.0"/>
      <color rgb="FF000000"/>
      <name val="Arial"/>
    </font>
    <font/>
    <font>
      <color rgb="FFFF0000"/>
    </font>
    <font>
      <color rgb="FFFF9900"/>
    </font>
    <font>
      <u/>
      <color rgb="FF0000FF"/>
    </font>
    <font>
      <color rgb="FF000000"/>
    </font>
    <font>
      <color rgb="FFFFFF00"/>
    </font>
    <font>
      <color rgb="FF00FFFF"/>
    </font>
    <font>
      <color rgb="FFFF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0" fontId="2" numFmtId="0" xfId="0" applyFont="1"/>
    <xf borderId="0" fillId="0" fontId="3" numFmtId="0" xfId="0" applyFont="1"/>
    <xf borderId="0" fillId="0" fontId="2" numFmtId="0" xfId="0" applyAlignment="1" applyFont="1">
      <alignment readingOrder="0"/>
    </xf>
    <xf borderId="0" fillId="0" fontId="4" numFmtId="0" xfId="0" applyFont="1"/>
    <xf borderId="0" fillId="0" fontId="5" numFmtId="0" xfId="0" applyFont="1"/>
    <xf borderId="0" fillId="0" fontId="5" numFmtId="0" xfId="0" applyAlignment="1" applyFont="1">
      <alignment readingOrder="0"/>
    </xf>
    <xf borderId="0" fillId="0" fontId="6" numFmtId="0" xfId="0" applyFont="1"/>
    <xf borderId="0" fillId="0" fontId="7" numFmtId="0" xfId="0" applyFont="1"/>
    <xf borderId="0" fillId="0" fontId="8" numFmtId="0" xfId="0" applyFont="1"/>
    <xf borderId="0" fillId="0" fontId="1" numFmtId="164" xfId="0" applyFont="1" applyNumberForma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angelevl.b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angelevl.b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www.angelevl.be"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www.angelevl.be"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C2" s="1" t="s">
        <v>0</v>
      </c>
      <c r="D2" s="1" t="s">
        <v>1</v>
      </c>
      <c r="G2" s="1" t="s">
        <v>2</v>
      </c>
      <c r="J2" s="1" t="s">
        <v>3</v>
      </c>
    </row>
    <row r="3">
      <c r="G3" s="1" t="s">
        <v>4</v>
      </c>
    </row>
    <row r="4">
      <c r="A4" s="1" t="s">
        <v>5</v>
      </c>
      <c r="B4" s="1" t="s">
        <v>6</v>
      </c>
      <c r="C4" s="1" t="s">
        <v>7</v>
      </c>
      <c r="E4" s="1" t="s">
        <v>8</v>
      </c>
      <c r="G4" s="1" t="s">
        <v>9</v>
      </c>
      <c r="H4" s="1" t="s">
        <v>10</v>
      </c>
      <c r="I4" s="1" t="s">
        <v>11</v>
      </c>
    </row>
    <row r="5">
      <c r="I5" s="1" t="s">
        <v>12</v>
      </c>
    </row>
    <row r="6">
      <c r="D6" s="1" t="s">
        <v>13</v>
      </c>
      <c r="H6" s="1" t="s">
        <v>14</v>
      </c>
    </row>
    <row r="7">
      <c r="B7" s="1" t="s">
        <v>15</v>
      </c>
    </row>
    <row r="8">
      <c r="D8" s="1" t="s">
        <v>16</v>
      </c>
      <c r="E8" s="1" t="s">
        <v>17</v>
      </c>
      <c r="F8" s="1" t="s">
        <v>18</v>
      </c>
      <c r="I8" s="1" t="s">
        <v>19</v>
      </c>
    </row>
    <row r="9">
      <c r="B9" s="1" t="s">
        <v>20</v>
      </c>
    </row>
    <row r="10">
      <c r="E10" s="1" t="s">
        <v>21</v>
      </c>
      <c r="F10" s="2" t="s">
        <v>22</v>
      </c>
      <c r="G10" s="3"/>
      <c r="H10" s="3"/>
      <c r="I10" s="3"/>
      <c r="J10" s="3"/>
    </row>
    <row r="11">
      <c r="A11" s="1" t="s">
        <v>23</v>
      </c>
      <c r="B11" s="1" t="s">
        <v>24</v>
      </c>
      <c r="C11" s="1" t="s">
        <v>25</v>
      </c>
      <c r="D11" s="1" t="s">
        <v>26</v>
      </c>
    </row>
    <row r="13">
      <c r="H13" s="1" t="s">
        <v>27</v>
      </c>
      <c r="I13" s="1" t="s">
        <v>28</v>
      </c>
    </row>
    <row r="14">
      <c r="H14" s="1" t="s">
        <v>29</v>
      </c>
    </row>
    <row r="15">
      <c r="H15" s="1" t="s">
        <v>30</v>
      </c>
    </row>
    <row r="16">
      <c r="D16" s="1" t="s">
        <v>31</v>
      </c>
    </row>
    <row r="19">
      <c r="A19" s="1" t="s">
        <v>32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IFERROR(__xludf.DUMMYFUNCTION("IMPORTHTML(""https://en.wikipedia.org/wiki/List_of_Teletubbies_episodes_and_videos"", ""table"")"),"No.")</f>
        <v>No.</v>
      </c>
      <c r="B1" t="str">
        <f>IFERROR(__xludf.DUMMYFUNCTION("""COMPUTED_VALUE"""),"Title")</f>
        <v>Title</v>
      </c>
      <c r="C1" t="str">
        <f>IFERROR(__xludf.DUMMYFUNCTION("""COMPUTED_VALUE"""),"Original release date")</f>
        <v>Original release date</v>
      </c>
      <c r="D1" s="4"/>
      <c r="E1" s="4"/>
      <c r="F1" s="4"/>
      <c r="G1" s="4"/>
    </row>
    <row r="2">
      <c r="A2">
        <f>IFERROR(__xludf.DUMMYFUNCTION("""COMPUTED_VALUE"""),119.0)</f>
        <v>119</v>
      </c>
      <c r="B2" s="1" t="str">
        <f>IFERROR(__xludf.DUMMYFUNCTION("""COMPUTED_VALUE"""),"""Colours – Pink""")</f>
        <v>"Colours – Pink"</v>
      </c>
      <c r="C2" t="str">
        <f>IFERROR(__xludf.DUMMYFUNCTION("""COMPUTED_VALUE"""),"1 January 1998 (1998-01-01)")</f>
        <v>1 January 1998 (1998-01-01)</v>
      </c>
      <c r="D2" s="4"/>
      <c r="E2" s="4"/>
      <c r="F2" s="4"/>
      <c r="G2" s="4"/>
    </row>
    <row r="3">
      <c r="A3" t="str">
        <f>IFERROR(__xludf.DUMMYFUNCTION("""COMPUTED_VALUE"""),"The Teletubbies march up and down the hill and then they watch some 
children explore the colour pink. Po makes Tubby Custard which is pink too. 
She gets a Tubby Custard bowl, uses a Tubby Custard tap and turns on the 
Tubby Custard and the Tubby Cusard "&amp;"enter her bowl. Finally, when Po gets a 
bowl of Tubby Custard, she sees and hears Tinky-Winky coming around her. 
She shows him her bowl of Tubby Custard. Tinky Winky wants some Tubby 
Custard too, but he doesn't know how to make it. When Po tells him he"&amp;" needs 
a bowl, Tinky Winky gets it too but accidentally makes a mess around Home 
Hill. She was so surprised when he was accidentally spreading Tubby Custard 
all over her. He accidentally spreads it on the Noo-Noo as well. Just then, 
Laa-Laa comes in t"&amp;"o play with her ball when she sees Tubby Custard 
splattering all over her ball. The Noo-Noo tidies up the mess and around 
himself, too. Teletubbies give him a big hug before the Pink Tubby Custard 
Spots segment is over. 
Featuring: The Children of Oxhe"&amp;"y Infants School, Watford")</f>
        <v>The Teletubbies march up and down the hill and then they watch some 
children explore the colour pink. Po makes Tubby Custard which is pink too. 
She gets a Tubby Custard bowl, uses a Tubby Custard tap and turns on the 
Tubby Custard and the Tubby Cusard enter her bowl. Finally, when Po gets a 
bowl of Tubby Custard, she sees and hears Tinky-Winky coming around her. 
She shows him her bowl of Tubby Custard. Tinky Winky wants some Tubby 
Custard too, but he doesn't know how to make it. When Po tells him he needs 
a bowl, Tinky Winky gets it too but accidentally makes a mess around Home 
Hill. She was so surprised when he was accidentally spreading Tubby Custard 
all over her. He accidentally spreads it on the Noo-Noo as well. Just then, 
Laa-Laa comes in to play with her ball when she sees Tubby Custard 
splattering all over her ball. The Noo-Noo tidies up the mess and around 
himself, too. Teletubbies give him a big hug before the Pink Tubby Custard 
Spots segment is over. 
Featuring: The Children of Oxhey Infants School, Watford</v>
      </c>
      <c r="B3" s="1"/>
      <c r="D3" s="5"/>
      <c r="E3" s="4"/>
      <c r="F3" s="4"/>
      <c r="G3" s="4"/>
    </row>
    <row r="4">
      <c r="A4">
        <f>IFERROR(__xludf.DUMMYFUNCTION("""COMPUTED_VALUE"""),120.0)</f>
        <v>120</v>
      </c>
      <c r="B4" s="1" t="str">
        <f>IFERROR(__xludf.DUMMYFUNCTION("""COMPUTED_VALUE"""),"""Living in Flats""")</f>
        <v>"Living in Flats"</v>
      </c>
      <c r="C4" t="str">
        <f>IFERROR(__xludf.DUMMYFUNCTION("""COMPUTED_VALUE"""),"2 January 1998 (1998-01-02)")</f>
        <v>2 January 1998 (1998-01-02)</v>
      </c>
      <c r="D4" s="4"/>
      <c r="E4" s="4"/>
      <c r="F4" s="6"/>
      <c r="G4" s="4"/>
    </row>
    <row r="5">
      <c r="A5" t="str">
        <f>IFERROR(__xludf.DUMMYFUNCTION("""COMPUTED_VALUE"""),"Laa-Laa dances with her ball and the Teletubbies watch a boy describing why 
he likes to live in flats. A balloon appears in Teletubbyland and the 
Teletubbies follow it around until Po catches it and they all take turns to 
hold it. After they have their"&amp;" turns, all the Teletubbies wanted to hold 
the balloon, but they let go of it and it flies away into the sky. 
Featuring: Alan Henderson, Sharon and Ramone Moody")</f>
        <v>Laa-Laa dances with her ball and the Teletubbies watch a boy describing why 
he likes to live in flats. A balloon appears in Teletubbyland and the 
Teletubbies follow it around until Po catches it and they all take turns to 
hold it. After they have their turns, all the Teletubbies wanted to hold 
the balloon, but they let go of it and it flies away into the sky. 
Featuring: Alan Henderson, Sharon and Ramone Moody</v>
      </c>
      <c r="D5" s="4"/>
      <c r="E5" s="6"/>
      <c r="F5" s="4"/>
      <c r="G5" s="4"/>
      <c r="K5" s="1"/>
    </row>
    <row r="6">
      <c r="A6">
        <f>IFERROR(__xludf.DUMMYFUNCTION("""COMPUTED_VALUE"""),121.0)</f>
        <v>121</v>
      </c>
      <c r="B6" t="str">
        <f>IFERROR(__xludf.DUMMYFUNCTION("""COMPUTED_VALUE"""),"""Urban Walk""")</f>
        <v>"Urban Walk"</v>
      </c>
      <c r="C6" t="str">
        <f>IFERROR(__xludf.DUMMYFUNCTION("""COMPUTED_VALUE"""),"5 January 1998 (1998-01-05)")</f>
        <v>5 January 1998 (1998-01-05)</v>
      </c>
    </row>
    <row r="7">
      <c r="A7" t="str">
        <f>IFERROR(__xludf.DUMMYFUNCTION("""COMPUTED_VALUE"""),"The Teletubbies play their Through the Arch game. But the Windmill 
interrupts them, so they go off to watch a little girl and her dad go for a 
walk. A traffic light appears in Teletubbyland and Po admires the traffic 
lights changing and has to wait for"&amp;" the traffic lights to change to green. 
Then Dipsy who's wearing his hat arrives only to have to wait for the 
traffic lights to change to green. Laa Laa comes along with her ball and 
wants Dipsy to play with it. Tinky Winky comes along with his handbag"&amp;" and 
he wants to walk on the red light but can't and has to wait. The light 
turns green and the teletubbies go and then the traffic lights disappear. 
Featuring: Ellie, Trixie and Kevin Greening")</f>
        <v>The Teletubbies play their Through the Arch game. But the Windmill 
interrupts them, so they go off to watch a little girl and her dad go for a 
walk. A traffic light appears in Teletubbyland and Po admires the traffic 
lights changing and has to wait for the traffic lights to change to green. 
Then Dipsy who's wearing his hat arrives only to have to wait for the 
traffic lights to change to green. Laa Laa comes along with her ball and 
wants Dipsy to play with it. Tinky Winky comes along with his handbag and 
he wants to walk on the red light but can't and has to wait. The light 
turns green and the teletubbies go and then the traffic lights disappear. 
Featuring: Ellie, Trixie and Kevin Greening</v>
      </c>
    </row>
    <row r="8">
      <c r="A8">
        <f>IFERROR(__xludf.DUMMYFUNCTION("""COMPUTED_VALUE"""),122.0)</f>
        <v>122</v>
      </c>
      <c r="B8" t="str">
        <f>IFERROR(__xludf.DUMMYFUNCTION("""COMPUTED_VALUE"""),"""Our Calf Treacle""")</f>
        <v>"Our Calf Treacle"</v>
      </c>
      <c r="C8" t="str">
        <f>IFERROR(__xludf.DUMMYFUNCTION("""COMPUTED_VALUE"""),"6 January 1998 (1998-01-06)")</f>
        <v>6 January 1998 (1998-01-06)</v>
      </c>
    </row>
    <row r="9">
      <c r="A9" t="str">
        <f>IFERROR(__xludf.DUMMYFUNCTION("""COMPUTED_VALUE"""),"The Teletubbies are at the top of a hill and they say their names. They 
then run down the hill and run up a hill. Next, they run up the hill. The 
Magic Windmill spins and the Teletubbies watch Mark and Matthew feed a baby 
calf. Then they play a game to"&amp;" see who can eat their Tubby Custard the 
slowest, but Po can't wait and eats hers very fast. 
Featuring: Matthew &amp; Mark Carnie")</f>
        <v>The Teletubbies are at the top of a hill and they say their names. They 
then run down the hill and run up a hill. Next, they run up the hill. The 
Magic Windmill spins and the Teletubbies watch Mark and Matthew feed a baby 
calf. Then they play a game to see who can eat their Tubby Custard the 
slowest, but Po can't wait and eats hers very fast. 
Featuring: Matthew &amp; Mark Carnie</v>
      </c>
      <c r="F9" s="1"/>
    </row>
    <row r="10">
      <c r="A10">
        <f>IFERROR(__xludf.DUMMYFUNCTION("""COMPUTED_VALUE"""),123.0)</f>
        <v>123</v>
      </c>
      <c r="B10" t="str">
        <f>IFERROR(__xludf.DUMMYFUNCTION("""COMPUTED_VALUE"""),"""Naughty Pig""")</f>
        <v>"Naughty Pig"</v>
      </c>
      <c r="C10" t="str">
        <f>IFERROR(__xludf.DUMMYFUNCTION("""COMPUTED_VALUE"""),"7 January 1998 (1998-01-07)")</f>
        <v>7 January 1998 (1998-01-07)</v>
      </c>
    </row>
    <row r="11">
      <c r="A11" t="str">
        <f>IFERROR(__xludf.DUMMYFUNCTION("""COMPUTED_VALUE"""),"The Noo Noo tidies up while Teletubbies come in the back entrance house 
saying hello. Just then, the Magic Windmill starts spinning and they run 
out the back door and they watch Tamzin Griffin pretends to be Funny Lady 
and tells the story of the naught"&amp;"y pig. Also, the wind blows off Dipsy's 
Hat. The Magic Tree appears in Teletubbyland before the Sun Baby giggles 
for Tubby Bye-Bye. 
Featuring: Tamzin Griffin with The Children of Chater Infants School, 
Watford")</f>
        <v>The Noo Noo tidies up while Teletubbies come in the back entrance house 
saying hello. Just then, the Magic Windmill starts spinning and they run 
out the back door and they watch Tamzin Griffin pretends to be Funny Lady 
and tells the story of the naughty pig. Also, the wind blows off Dipsy's 
Hat. The Magic Tree appears in Teletubbyland before the Sun Baby giggles 
for Tubby Bye-Bye. 
Featuring: Tamzin Griffin with The Children of Chater Infants School, 
Watford</v>
      </c>
    </row>
    <row r="12">
      <c r="A12">
        <f>IFERROR(__xludf.DUMMYFUNCTION("""COMPUTED_VALUE"""),124.0)</f>
        <v>124</v>
      </c>
      <c r="B12" t="str">
        <f>IFERROR(__xludf.DUMMYFUNCTION("""COMPUTED_VALUE"""),"""Washing the Car""")</f>
        <v>"Washing the Car"</v>
      </c>
      <c r="C12" t="str">
        <f>IFERROR(__xludf.DUMMYFUNCTION("""COMPUTED_VALUE"""),"8 January 1998 (1998-01-08)")</f>
        <v>8 January 1998 (1998-01-08)</v>
      </c>
    </row>
    <row r="13">
      <c r="A13" t="str">
        <f>IFERROR(__xludf.DUMMYFUNCTION("""COMPUTED_VALUE"""),"Tinky Winky, Dipsy, and Laa-Laa walk into the TubbyTronic Superdome, while 
Po zooms in on her scooter catching up with them. The Teletubbies watch 
Shannon, Nicolas, Cameron and their Dad wash the family car. The 
Teletubbies wash themselves with ""Tubby"&amp;" Sponges,"" in which each Teletubby 
has a Tubby wash and Noo-Noo gets a Tubby wash. Then the Magic Windmill 
stops spinning. The ""Tubby Bye-Bye"" sequence takes place and The Baby Sun 
sets. 
Featuring: Cameron and Shannon Patterson")</f>
        <v>Tinky Winky, Dipsy, and Laa-Laa walk into the TubbyTronic Superdome, while 
Po zooms in on her scooter catching up with them. The Teletubbies watch 
Shannon, Nicolas, Cameron and their Dad wash the family car. The 
Teletubbies wash themselves with "Tubby Sponges," in which each Teletubby 
has a Tubby wash and Noo-Noo gets a Tubby wash. Then the Magic Windmill 
stops spinning. The "Tubby Bye-Bye" sequence takes place and The Baby Sun 
sets. 
Featuring: Cameron and Shannon Patterson</v>
      </c>
    </row>
    <row r="14">
      <c r="A14">
        <f>IFERROR(__xludf.DUMMYFUNCTION("""COMPUTED_VALUE"""),125.0)</f>
        <v>125</v>
      </c>
      <c r="B14" t="str">
        <f>IFERROR(__xludf.DUMMYFUNCTION("""COMPUTED_VALUE"""),"""Handy Hands""")</f>
        <v>"Handy Hands"</v>
      </c>
      <c r="C14" t="str">
        <f>IFERROR(__xludf.DUMMYFUNCTION("""COMPUTED_VALUE"""),"9 January 1998 (1998-01-09)")</f>
        <v>9 January 1998 (1998-01-09)</v>
      </c>
    </row>
    <row r="15">
      <c r="A15" t="str">
        <f>IFERROR(__xludf.DUMMYFUNCTION("""COMPUTED_VALUE"""),"The Teletubbies crawl the arch in Home Hill and they go and watch Alex 
Pascall and some children sing handy hands. A pair of mittens appear in 
Teletubbyland, and Tinky Winky does a special dance wearing them. Next, Po 
wears the mittens, and she does a "&amp;"special dance too. 
Featuring: Alex Pascall, The Children of Earlsfield Primary School, London")</f>
        <v>The Teletubbies crawl the arch in Home Hill and they go and watch Alex 
Pascall and some children sing handy hands. A pair of mittens appear in 
Teletubbyland, and Tinky Winky does a special dance wearing them. Next, Po 
wears the mittens, and she does a special dance too. 
Featuring: Alex Pascall, The Children of Earlsfield Primary School, London</v>
      </c>
    </row>
    <row r="16">
      <c r="A16">
        <f>IFERROR(__xludf.DUMMYFUNCTION("""COMPUTED_VALUE"""),126.0)</f>
        <v>126</v>
      </c>
      <c r="B16" t="str">
        <f>IFERROR(__xludf.DUMMYFUNCTION("""COMPUTED_VALUE"""),"""Playing Ball""")</f>
        <v>"Playing Ball"</v>
      </c>
      <c r="C16" t="str">
        <f>IFERROR(__xludf.DUMMYFUNCTION("""COMPUTED_VALUE"""),"12 January 1998 (1998-01-12)")</f>
        <v>12 January 1998 (1998-01-12)</v>
      </c>
    </row>
    <row r="17">
      <c r="A17" t="str">
        <f>IFERROR(__xludf.DUMMYFUNCTION("""COMPUTED_VALUE"""),"The Teletubbies slide down the slide in the Home Hill and they fell down 
happily, then The Magic Windmill starts spinning and they run out and they 
watch some children play with balls of different shapes and sizes. In 
Teletubbyland, something happens t"&amp;"o Dipsy's hat. One moment it is too 
small, then it grows too big. Dipsy is very surprised when the other 
Tubbies tell him his hat is the wrong size. 
Featuring: Patrick Carvey, Henry Crossman, Marshall Ingham, Freya Knibb, 
Matthew Paine, Amelia Paul, O"&amp;"livia Phelps, Katie &amp; Georgina Phillipps, 
Candisha &amp; Kyishas Thompson and James Turner")</f>
        <v>The Teletubbies slide down the slide in the Home Hill and they fell down 
happily, then The Magic Windmill starts spinning and they run out and they 
watch some children play with balls of different shapes and sizes. In 
Teletubbyland, something happens to Dipsy's hat. One moment it is too 
small, then it grows too big. Dipsy is very surprised when the other 
Tubbies tell him his hat is the wrong size. 
Featuring: Patrick Carvey, Henry Crossman, Marshall Ingham, Freya Knibb, 
Matthew Paine, Amelia Paul, Olivia Phelps, Katie &amp; Georgina Phillipps, 
Candisha &amp; Kyishas Thompson and James Turner</v>
      </c>
    </row>
    <row r="18">
      <c r="A18">
        <f>IFERROR(__xludf.DUMMYFUNCTION("""COMPUTED_VALUE"""),127.0)</f>
        <v>127</v>
      </c>
      <c r="B18" t="str">
        <f>IFERROR(__xludf.DUMMYFUNCTION("""COMPUTED_VALUE"""),"""Irish Dancing""")</f>
        <v>"Irish Dancing"</v>
      </c>
      <c r="C18" t="str">
        <f>IFERROR(__xludf.DUMMYFUNCTION("""COMPUTED_VALUE"""),"13 January 1998 (1998-01-13)")</f>
        <v>13 January 1998 (1998-01-13)</v>
      </c>
    </row>
    <row r="19">
      <c r="A19" t="str">
        <f>IFERROR(__xludf.DUMMYFUNCTION("""COMPUTED_VALUE"""),"In the Home Hill, the voice trumpet rises while the Teletubbies eat Tubby 
Toast. When they are finished eating, they do exercises in the Home Hill. 
When they are tired out, they shout ""Run away, run away!"" before they rush 
outside to watch a video ab"&amp;"out a little girl named Becky doing Irish 
Dancing. 
Later, the Teletubbies go up to the path to do the Jumping Dance. Then The 
Magic Windmill starts to spin and the Teletubbies rush off to see the 
Magical Event of the Bear and Lion playing their hide "&amp;"and seek game in 
Teletubbyland. The Magic Windmill stops spinning. The ""Tubby Bye-Bye"" 
sequence then takes place and The Baby Sun sets in the sky. 
Featuring: The Dancers of Bennett's End Community Centre, Hemel Hempstead")</f>
        <v>In the Home Hill, the voice trumpet rises while the Teletubbies eat Tubby 
Toast. When they are finished eating, they do exercises in the Home Hill. 
When they are tired out, they shout "Run away, run away!" before they rush 
outside to watch a video about a little girl named Becky doing Irish 
Dancing. 
Later, the Teletubbies go up to the path to do the Jumping Dance. Then The 
Magic Windmill starts to spin and the Teletubbies rush off to see the 
Magical Event of the Bear and Lion playing their hide and seek game in 
Teletubbyland. The Magic Windmill stops spinning. The "Tubby Bye-Bye" 
sequence then takes place and The Baby Sun sets in the sky. 
Featuring: The Dancers of Bennett's End Community Centre, Hemel Hempstead</v>
      </c>
    </row>
    <row r="20">
      <c r="A20">
        <f>IFERROR(__xludf.DUMMYFUNCTION("""COMPUTED_VALUE"""),128.0)</f>
        <v>128</v>
      </c>
      <c r="B20" t="str">
        <f>IFERROR(__xludf.DUMMYFUNCTION("""COMPUTED_VALUE"""),"""Numbers – 2 (version 2)""")</f>
        <v>"Numbers – 2 (version 2)"</v>
      </c>
      <c r="C20" t="str">
        <f>IFERROR(__xludf.DUMMYFUNCTION("""COMPUTED_VALUE"""),"13 January 1998 (1998-01-13)")</f>
        <v>13 January 1998 (1998-01-13)</v>
      </c>
    </row>
    <row r="21">
      <c r="A21" t="str">
        <f>IFERROR(__xludf.DUMMYFUNCTION("""COMPUTED_VALUE"""),"The Teletubbies listen to a voice trumpet recite the nursery rhyme ""Two 
Little Dickie Birds"" before watching some children learning about number 2. 
Dipsy and Laa-Laa are eating Tubby Toast when they decide to play a game 
called ""Two Little Teletubbi"&amp;"es"", but the Noo-Noo tidies up the Tubby Toast 
while they are playing. The Teletubbies chase him around the house before 
the voice trumpet rises for Tubby Bye Bye. 
Featuring: The Children of Duncombe School, London")</f>
        <v>The Teletubbies listen to a voice trumpet recite the nursery rhyme "Two 
Little Dickie Birds" before watching some children learning about number 2. 
Dipsy and Laa-Laa are eating Tubby Toast when they decide to play a game 
called "Two Little Teletubbies", but the Noo-Noo tidies up the Tubby Toast 
while they are playing. The Teletubbies chase him around the house before 
the voice trumpet rises for Tubby Bye Bye. 
Featuring: The Children of Duncombe School, London</v>
      </c>
    </row>
    <row r="22">
      <c r="A22">
        <f>IFERROR(__xludf.DUMMYFUNCTION("""COMPUTED_VALUE"""),129.0)</f>
        <v>129</v>
      </c>
      <c r="B22" t="str">
        <f>IFERROR(__xludf.DUMMYFUNCTION("""COMPUTED_VALUE"""),"""Giraffes""")</f>
        <v>"Giraffes"</v>
      </c>
      <c r="C22" t="str">
        <f>IFERROR(__xludf.DUMMYFUNCTION("""COMPUTED_VALUE"""),"15 January 1998 (1998-01-15)")</f>
        <v>15 January 1998 (1998-01-15)</v>
      </c>
    </row>
    <row r="23">
      <c r="A23" t="str">
        <f>IFERROR(__xludf.DUMMYFUNCTION("""COMPUTED_VALUE"""),"The Teletubbies take turns standing on a Hill, in front of the House, in 
front of a Tree and under a Cloud, then they all have Tubby Toast before 
the Windmill spins. The Teletubbies watch Andy Brown and the children visit 
some giraffes. The Teletubbies"&amp;" watch The Animal Parade before the Sun Baby 
giggles for Tubby Bye Bye. 
Featuring: Andy Brown with Charelle Handford, Oliver Hooper and Daniel 
Salmon")</f>
        <v>The Teletubbies take turns standing on a Hill, in front of the House, in 
front of a Tree and under a Cloud, then they all have Tubby Toast before 
the Windmill spins. The Teletubbies watch Andy Brown and the children visit 
some giraffes. The Teletubbies watch The Animal Parade before the Sun Baby 
giggles for Tubby Bye Bye. 
Featuring: Andy Brown with Charelle Handford, Oliver Hooper and Daniel 
Salmon</v>
      </c>
    </row>
    <row r="24">
      <c r="A24">
        <f>IFERROR(__xludf.DUMMYFUNCTION("""COMPUTED_VALUE"""),130.0)</f>
        <v>130</v>
      </c>
      <c r="B24" t="str">
        <f>IFERROR(__xludf.DUMMYFUNCTION("""COMPUTED_VALUE"""),"""Amy's Pasta""")</f>
        <v>"Amy's Pasta"</v>
      </c>
      <c r="C24" t="str">
        <f>IFERROR(__xludf.DUMMYFUNCTION("""COMPUTED_VALUE"""),"16 January 1998 (1998-01-16)")</f>
        <v>16 January 1998 (1998-01-16)</v>
      </c>
    </row>
    <row r="25">
      <c r="A25" t="str">
        <f>IFERROR(__xludf.DUMMYFUNCTION("""COMPUTED_VALUE"""),"The Teletubbies are eating their tubby toast. They stop to watch Amy, her 
dad and her friend, Georgia making pasta. A ball of string appears in 
Teletubbyland. Po accidentally knocks the string into the air with her 
scooter and it makes a stringy mess a"&amp;"ll over Teletubbyland, but clever Noo 
Noo tidies up. 
Featuring: Georgia Habboo and The Esposito Family")</f>
        <v>The Teletubbies are eating their tubby toast. They stop to watch Amy, her 
dad and her friend, Georgia making pasta. A ball of string appears in 
Teletubbyland. Po accidentally knocks the string into the air with her 
scooter and it makes a stringy mess all over Teletubbyland, but clever Noo 
Noo tidies up. 
Featuring: Georgia Habboo and The Esposito Family</v>
      </c>
    </row>
    <row r="26">
      <c r="A26">
        <f>IFERROR(__xludf.DUMMYFUNCTION("""COMPUTED_VALUE"""),131.0)</f>
        <v>131</v>
      </c>
      <c r="B26" t="str">
        <f>IFERROR(__xludf.DUMMYFUNCTION("""COMPUTED_VALUE"""),"""Naughty Sock Returns""")</f>
        <v>"Naughty Sock Returns"</v>
      </c>
      <c r="C26" t="str">
        <f>IFERROR(__xludf.DUMMYFUNCTION("""COMPUTED_VALUE"""),"23 March 1998 (1998-03-23)")</f>
        <v>23 March 1998 (1998-03-23)</v>
      </c>
    </row>
    <row r="27">
      <c r="A27" t="str">
        <f>IFERROR(__xludf.DUMMYFUNCTION("""COMPUTED_VALUE"""),"Tinky Winky calls the other Teletubbies to come and watch Tamzin Griffin 
pretend to be Funny Lady, and tell another story about the Naughty Sock. 
The Teletubbies wake up when it's time for Tubby Toast. The Tubby Toast 
Machine makes a tower of tubby toa"&amp;"st. Laa Laa, Dipsy and Tinky Winky can't 
reach the top of the tower, so Po decides that she wanted the furthest 
piece. So she pulled the piece and the tower fell down. Now everybody can 
reach the Tubby Toast. The Teletubbies eat the tubby toast before "&amp;"the Magic 
Windmill spins. And then they watch the Singing Puppet Man in the Pink 
House before the Magic Windmill stops spinning and it is time for Tubby 
Bye-Bye. 
Featuring: Tamzin Griffin with The Children of Chater Infants School, 
Watford")</f>
        <v>Tinky Winky calls the other Teletubbies to come and watch Tamzin Griffin 
pretend to be Funny Lady, and tell another story about the Naughty Sock. 
The Teletubbies wake up when it's time for Tubby Toast. The Tubby Toast 
Machine makes a tower of tubby toast. Laa Laa, Dipsy and Tinky Winky can't 
reach the top of the tower, so Po decides that she wanted the furthest 
piece. So she pulled the piece and the tower fell down. Now everybody can 
reach the Tubby Toast. The Teletubbies eat the tubby toast before the Magic 
Windmill spins. And then they watch the Singing Puppet Man in the Pink 
House before the Magic Windmill stops spinning and it is time for Tubby 
Bye-Bye. 
Featuring: Tamzin Griffin with The Children of Chater Infants School, 
Watford</v>
      </c>
    </row>
    <row r="28">
      <c r="A28">
        <f>IFERROR(__xludf.DUMMYFUNCTION("""COMPUTED_VALUE"""),132.0)</f>
        <v>132</v>
      </c>
      <c r="B28" t="str">
        <f>IFERROR(__xludf.DUMMYFUNCTION("""COMPUTED_VALUE"""),"""Penguins""")</f>
        <v>"Penguins"</v>
      </c>
      <c r="C28" t="str">
        <f>IFERROR(__xludf.DUMMYFUNCTION("""COMPUTED_VALUE"""),"24 March 1998 (1998-03-24)")</f>
        <v>24 March 1998 (1998-03-24)</v>
      </c>
    </row>
    <row r="29">
      <c r="A29" t="str">
        <f>IFERROR(__xludf.DUMMYFUNCTION("""COMPUTED_VALUE"""),"The Noo Noo zooms around inside the Home Hill couple times before the 
Teletubbies come inside the front entrance to say hello to the viewers. 
Just afterwards, the Magic Windmill begins to spin and the Teletubbies run 
off and they watch some penguins wa"&amp;"ddling and swimming. In Teletubbyland, 
the Teletubbies walk in different ways until the Magic Windmill stops 
spinning (offscreen) and it was time for Tubby Bye Bye. 
Featuring: Hannah MacKay, Alex, Jess &amp; Jo Osborne and Catherine Watkins")</f>
        <v>The Noo Noo zooms around inside the Home Hill couple times before the 
Teletubbies come inside the front entrance to say hello to the viewers. 
Just afterwards, the Magic Windmill begins to spin and the Teletubbies run 
off and they watch some penguins waddling and swimming. In Teletubbyland, 
the Teletubbies walk in different ways until the Magic Windmill stops 
spinning (offscreen) and it was time for Tubby Bye Bye. 
Featuring: Hannah MacKay, Alex, Jess &amp; Jo Osborne and Catherine Watkins</v>
      </c>
    </row>
    <row r="30">
      <c r="A30">
        <f>IFERROR(__xludf.DUMMYFUNCTION("""COMPUTED_VALUE"""),133.0)</f>
        <v>133</v>
      </c>
      <c r="B30" t="str">
        <f>IFERROR(__xludf.DUMMYFUNCTION("""COMPUTED_VALUE"""),"""Ned's Geraniums""")</f>
        <v>"Ned's Geraniums"</v>
      </c>
      <c r="C30" t="str">
        <f>IFERROR(__xludf.DUMMYFUNCTION("""COMPUTED_VALUE"""),"25 March 1998 (1998-03-25)")</f>
        <v>25 March 1998 (1998-03-25)</v>
      </c>
    </row>
    <row r="31">
      <c r="A31" t="str">
        <f>IFERROR(__xludf.DUMMYFUNCTION("""COMPUTED_VALUE"""),"The Teletubbies play ""Boo"" in the House. The Windmill spins and the 
Teletubbies watch Ned picking some Geraniums. Dipsy and Laa-Laa see nine 
pretty flowers appear in Teletubbyland, a watering can appears, Dipsy and 
Laa-Laa want to water the flowers b"&amp;"ut they drop the watering can and it's 
now empty, then a cloud appears and rains on the flowers, then the 
Teletubbies do the splashing dance. 
Featuring: Ned and Nigel Frost")</f>
        <v>The Teletubbies play "Boo" in the House. The Windmill spins and the 
Teletubbies watch Ned picking some Geraniums. Dipsy and Laa-Laa see nine 
pretty flowers appear in Teletubbyland, a watering can appears, Dipsy and 
Laa-Laa want to water the flowers but they drop the watering can and it's 
now empty, then a cloud appears and rains on the flowers, then the 
Teletubbies do the splashing dance. 
Featuring: Ned and Nigel Frost</v>
      </c>
    </row>
    <row r="32">
      <c r="A32">
        <f>IFERROR(__xludf.DUMMYFUNCTION("""COMPUTED_VALUE"""),134.0)</f>
        <v>134</v>
      </c>
      <c r="B32" t="str">
        <f>IFERROR(__xludf.DUMMYFUNCTION("""COMPUTED_VALUE"""),"""Digging in the Sand for Crabs""")</f>
        <v>"Digging in the Sand for Crabs"</v>
      </c>
      <c r="C32" t="str">
        <f>IFERROR(__xludf.DUMMYFUNCTION("""COMPUTED_VALUE"""),"26 March 1998 (1998-03-26)")</f>
        <v>26 March 1998 (1998-03-26)</v>
      </c>
    </row>
    <row r="33">
      <c r="A33" t="str">
        <f>IFERROR(__xludf.DUMMYFUNCTION("""COMPUTED_VALUE"""),"The video is about digging for crabs and the Teletubbies are walking 
sideways. The magical event of the three ships features then the Magic 
Windmill stops spinning and it is time for Tubby Bye-Bye. 
Featuring: Andy Brown with Emily Fifield and Millie &amp; "&amp;"Francome May")</f>
        <v>The video is about digging for crabs and the Teletubbies are walking 
sideways. The magical event of the three ships features then the Magic 
Windmill stops spinning and it is time for Tubby Bye-Bye. 
Featuring: Andy Brown with Emily Fifield and Millie &amp; Francome May</v>
      </c>
    </row>
    <row r="34">
      <c r="A34">
        <f>IFERROR(__xludf.DUMMYFUNCTION("""COMPUTED_VALUE"""),135.0)</f>
        <v>135</v>
      </c>
      <c r="B34" t="str">
        <f>IFERROR(__xludf.DUMMYFUNCTION("""COMPUTED_VALUE"""),"""Samira's Gymnastics""")</f>
        <v>"Samira's Gymnastics"</v>
      </c>
      <c r="C34" t="str">
        <f>IFERROR(__xludf.DUMMYFUNCTION("""COMPUTED_VALUE"""),"27 March 1998 (1998-03-27)")</f>
        <v>27 March 1998 (1998-03-27)</v>
      </c>
    </row>
    <row r="35">
      <c r="A35" t="str">
        <f>IFERROR(__xludf.DUMMYFUNCTION("""COMPUTED_VALUE"""),"In Teletubbyland, the Teletubbies walked to in front of the trees to say 
hello to the viewers. Then the Windmill begins to spin and they run to 
watch kids doing gymnastics with Samira. Then back in Teletubbyland, the 
Teletubbies does some exercises bef"&amp;"ore Tubby Bye-Bye. 
Featuring: The Children and Staff of Coventry Olympic Gym Club, Coventry")</f>
        <v>In Teletubbyland, the Teletubbies walked to in front of the trees to say 
hello to the viewers. Then the Windmill begins to spin and they run to 
watch kids doing gymnastics with Samira. Then back in Teletubbyland, the 
Teletubbies does some exercises before Tubby Bye-Bye. 
Featuring: The Children and Staff of Coventry Olympic Gym Club, Coventry</v>
      </c>
    </row>
    <row r="36">
      <c r="A36">
        <f>IFERROR(__xludf.DUMMYFUNCTION("""COMPUTED_VALUE"""),136.0)</f>
        <v>136</v>
      </c>
      <c r="B36" t="str">
        <f>IFERROR(__xludf.DUMMYFUNCTION("""COMPUTED_VALUE"""),"""Milking Cows""")</f>
        <v>"Milking Cows"</v>
      </c>
      <c r="C36" t="str">
        <f>IFERROR(__xludf.DUMMYFUNCTION("""COMPUTED_VALUE"""),"30 March 1998 (1998-03-30)")</f>
        <v>30 March 1998 (1998-03-30)</v>
      </c>
    </row>
    <row r="37">
      <c r="A37" t="str">
        <f>IFERROR(__xludf.DUMMYFUNCTION("""COMPUTED_VALUE"""),"Po is out for a ride on her Scooter. The Teletubbies watch James and 
Matthew help their uncle Mark milk the cows . It's Time for Tubby Custard, 
but the Tubby Custard Machine won't work, so the Teletubbies decide to sing 
a special Tubby Custard song, th"&amp;"e Tubby Custard Machine makes some Tubby 
Custard Music, the Teletubbies try to make Tubby Custard and the Tubby 
Custard Machine is working again. 
Featuring: Matthew and James Carnie")</f>
        <v>Po is out for a ride on her Scooter. The Teletubbies watch James and 
Matthew help their uncle Mark milk the cows . It's Time for Tubby Custard, 
but the Tubby Custard Machine won't work, so the Teletubbies decide to sing 
a special Tubby Custard song, the Tubby Custard Machine makes some Tubby 
Custard Music, the Teletubbies try to make Tubby Custard and the Tubby 
Custard Machine is working again. 
Featuring: Matthew and James Carnie</v>
      </c>
    </row>
    <row r="38">
      <c r="A38">
        <f>IFERROR(__xludf.DUMMYFUNCTION("""COMPUTED_VALUE"""),137.0)</f>
        <v>137</v>
      </c>
      <c r="B38" t="str">
        <f>IFERROR(__xludf.DUMMYFUNCTION("""COMPUTED_VALUE"""),"""Flamenco Dancing""")</f>
        <v>"Flamenco Dancing"</v>
      </c>
      <c r="C38" t="str">
        <f>IFERROR(__xludf.DUMMYFUNCTION("""COMPUTED_VALUE"""),"31 March 1998 (1998-03-31)")</f>
        <v>31 March 1998 (1998-03-31)</v>
      </c>
    </row>
    <row r="39">
      <c r="A39" t="str">
        <f>IFERROR(__xludf.DUMMYFUNCTION("""COMPUTED_VALUE"""),"The Teletubbies are washing themselves with their Tubby Sponges when they 
listen to a Voice Trumpet play some Spanish music . Then they watch two 
children doing some Flamenco dancing lessons Again Again. The Teletubbies 
wash their feet with their Tubby"&amp;" Sponges, Tinky Winky washes his feet 
first, then Po and then Dipsy and Laa Laa wash each others feet. 
Featuring: Tito Heredia and Maribel La Manchega, Ellie Greening and Daisy 
White")</f>
        <v>The Teletubbies are washing themselves with their Tubby Sponges when they 
listen to a Voice Trumpet play some Spanish music . Then they watch two 
children doing some Flamenco dancing lessons Again Again. The Teletubbies 
wash their feet with their Tubby Sponges, Tinky Winky washes his feet 
first, then Po and then Dipsy and Laa Laa wash each others feet. 
Featuring: Tito Heredia and Maribel La Manchega, Ellie Greening and Daisy 
White</v>
      </c>
    </row>
    <row r="40">
      <c r="A40">
        <f>IFERROR(__xludf.DUMMYFUNCTION("""COMPUTED_VALUE"""),138.0)</f>
        <v>138</v>
      </c>
      <c r="B40" t="str">
        <f>IFERROR(__xludf.DUMMYFUNCTION("""COMPUTED_VALUE"""),"""Cafe Eggs""")</f>
        <v>"Cafe Eggs"</v>
      </c>
      <c r="C40" t="str">
        <f>IFERROR(__xludf.DUMMYFUNCTION("""COMPUTED_VALUE"""),"1 April 1998 (1998-04-01)")</f>
        <v>1 April 1998 (1998-04-01)</v>
      </c>
    </row>
    <row r="41">
      <c r="A41" t="str">
        <f>IFERROR(__xludf.DUMMYFUNCTION("""COMPUTED_VALUE"""),"The Teletubbies do the Tip Toe Dance before watching a little boy peel 
eggs, leaving eggshells in the eggs, He then mashes the eggs, and adds 
mayonnaise and then adds bread, then serves it to customers. The 
Teletubbies make Tubby Custard and they make "&amp;"musical slurping noises while 
they eat it. Then the Windmill starts spinning and they watch the Dancing 
Bear and then the Magic Windmill stops spinning and the ""Tubby Bye-Bye"" 
sequence takes place. 
Featuring: Obadiah Winter and Sandy Simmonds")</f>
        <v>The Teletubbies do the Tip Toe Dance before watching a little boy peel 
eggs, leaving eggshells in the eggs, He then mashes the eggs, and adds 
mayonnaise and then adds bread, then serves it to customers. The 
Teletubbies make Tubby Custard and they make musical slurping noises while 
they eat it. Then the Windmill starts spinning and they watch the Dancing 
Bear and then the Magic Windmill stops spinning and the "Tubby Bye-Bye" 
sequence takes place. 
Featuring: Obadiah Winter and Sandy Simmonds</v>
      </c>
    </row>
    <row r="42">
      <c r="A42">
        <f>IFERROR(__xludf.DUMMYFUNCTION("""COMPUTED_VALUE"""),139.0)</f>
        <v>139</v>
      </c>
      <c r="B42" t="str">
        <f>IFERROR(__xludf.DUMMYFUNCTION("""COMPUTED_VALUE"""),"""Drumming With Norris""")</f>
        <v>"Drumming With Norris"</v>
      </c>
      <c r="C42" t="str">
        <f>IFERROR(__xludf.DUMMYFUNCTION("""COMPUTED_VALUE"""),"2 April 1998 (1998-04-02)")</f>
        <v>2 April 1998 (1998-04-02)</v>
      </c>
    </row>
    <row r="43">
      <c r="A43" t="str">
        <f>IFERROR(__xludf.DUMMYFUNCTION("""COMPUTED_VALUE"""),"The Teletubbies watch some children drum with their friend Norris. Tinky 
Winky dances on top of the House which wakes up the other Teletubbies, then 
they all decide to dance, the Windmill starts spinning and they watch The 
Three Ships before the Windmi"&amp;"ll stops spinning for Tubby Bye-Bye. 
Featuring: Norris Johnson, Pa Hasum Conteh, Masha Floris and Ivana Alana 
Haggar")</f>
        <v>The Teletubbies watch some children drum with their friend Norris. Tinky 
Winky dances on top of the House which wakes up the other Teletubbies, then 
they all decide to dance, the Windmill starts spinning and they watch The 
Three Ships before the Windmill stops spinning for Tubby Bye-Bye. 
Featuring: Norris Johnson, Pa Hasum Conteh, Masha Floris and Ivana Alana 
Haggar</v>
      </c>
    </row>
    <row r="44">
      <c r="A44">
        <f>IFERROR(__xludf.DUMMYFUNCTION("""COMPUTED_VALUE"""),140.0)</f>
        <v>140</v>
      </c>
      <c r="B44" t="str">
        <f>IFERROR(__xludf.DUMMYFUNCTION("""COMPUTED_VALUE"""),"""Making Fantastic Animals""")</f>
        <v>"Making Fantastic Animals"</v>
      </c>
      <c r="C44" t="str">
        <f>IFERROR(__xludf.DUMMYFUNCTION("""COMPUTED_VALUE"""),"3 April 1998 (1998-04-03)")</f>
        <v>3 April 1998 (1998-04-03)</v>
      </c>
    </row>
    <row r="45">
      <c r="A45" t="str">
        <f>IFERROR(__xludf.DUMMYFUNCTION("""COMPUTED_VALUE"""),"Dipsy is out for a walk before the Windmill starts to spin.The Teletubbies 
watch children make animals from papier mache. A Little Lamb on red wheels 
appears from Far Away, Laa Laa thinks that the Little Lamb is sad so she 
decides to do a dance to chee"&amp;"r it up, but the Little Lamb is still sad. 
Tinky Winky brings the Little Lamb to the Flowers, Dipsy lets the Little 
Lamb wear his Hat and Po lets it ride her Scooter, but the Little Lamb is 
still sad until the Teletubbies hear a noise. Another Little L"&amp;"amb appears 
and the Little Lamb is Happy and so are the Teletubbies, then both Lambs 
leave Teletubbyland and it's time for Tubby Bye Bye. 
Featuring: Mia Heath, Joe Scott and Rowan Smith")</f>
        <v>Dipsy is out for a walk before the Windmill starts to spin.The Teletubbies 
watch children make animals from papier mache. A Little Lamb on red wheels 
appears from Far Away, Laa Laa thinks that the Little Lamb is sad so she 
decides to do a dance to cheer it up, but the Little Lamb is still sad. 
Tinky Winky brings the Little Lamb to the Flowers, Dipsy lets the Little 
Lamb wear his Hat and Po lets it ride her Scooter, but the Little Lamb is 
still sad until the Teletubbies hear a noise. Another Little Lamb appears 
and the Little Lamb is Happy and so are the Teletubbies, then both Lambs 
leave Teletubbyland and it's time for Tubby Bye Bye. 
Featuring: Mia Heath, Joe Scott and Rowan Smith</v>
      </c>
    </row>
    <row r="46">
      <c r="A46">
        <f>IFERROR(__xludf.DUMMYFUNCTION("""COMPUTED_VALUE"""),141.0)</f>
        <v>141</v>
      </c>
      <c r="B46" t="str">
        <f>IFERROR(__xludf.DUMMYFUNCTION("""COMPUTED_VALUE"""),"""Feeding the Monkeys""")</f>
        <v>"Feeding the Monkeys"</v>
      </c>
      <c r="C46" t="str">
        <f>IFERROR(__xludf.DUMMYFUNCTION("""COMPUTED_VALUE"""),"6 April 1998 (1998-04-06)")</f>
        <v>6 April 1998 (1998-04-06)</v>
      </c>
    </row>
    <row r="47">
      <c r="A47" t="str">
        <f>IFERROR(__xludf.DUMMYFUNCTION("""COMPUTED_VALUE"""),"The Teletubbies pop over a Hill to say Eh Oh. Then they watch Georgina and 
her mother feeding Monkeys at the Zoo. Tinky Winky makes Tubby Toast, but 
the Tubby Toaster makes an extra piece, so Tinky Winky gives the extra 
piece to Po, but then Noo Noo ti"&amp;"dies up the Tubby Toast so they chase him 
around the House. Then the Windmill starts spinning and the Animal Parade 
marches through Teletubbyland before the baby sun giggles for Tubby bye 
bye. 
Featuring: Carol and Georgina Day")</f>
        <v>The Teletubbies pop over a Hill to say Eh Oh. Then they watch Georgina and 
her mother feeding Monkeys at the Zoo. Tinky Winky makes Tubby Toast, but 
the Tubby Toaster makes an extra piece, so Tinky Winky gives the extra 
piece to Po, but then Noo Noo tidies up the Tubby Toast so they chase him 
around the House. Then the Windmill starts spinning and the Animal Parade 
marches through Teletubbyland before the baby sun giggles for Tubby bye 
bye. 
Featuring: Carol and Georgina Day</v>
      </c>
    </row>
    <row r="48">
      <c r="A48">
        <f>IFERROR(__xludf.DUMMYFUNCTION("""COMPUTED_VALUE"""),142.0)</f>
        <v>142</v>
      </c>
      <c r="B48" t="str">
        <f>IFERROR(__xludf.DUMMYFUNCTION("""COMPUTED_VALUE"""),"""Naughty Hat""")</f>
        <v>"Naughty Hat"</v>
      </c>
      <c r="C48" t="str">
        <f>IFERROR(__xludf.DUMMYFUNCTION("""COMPUTED_VALUE"""),"7 April 1998 (1998-04-07)")</f>
        <v>7 April 1998 (1998-04-07)</v>
      </c>
    </row>
    <row r="49">
      <c r="A49" t="str">
        <f>IFERROR(__xludf.DUMMYFUNCTION("""COMPUTED_VALUE"""),"In Teletubbyland, Tinky Winky walks with his bag in front of the trees 
saying hello to the viewers. Just then, the Magic Windmill starts spinning 
and Tinky Winky joins the other Teletubbies and they watch Tamzin Griffin 
pretends to be the Funny Lady an"&amp;"d tells the story of the Naughty Hat. The 
Teletubbies are very happy when they find their favorite things to play 
with. 
Featuring: Tamzin Griffin with The Children of Chater Infants School, 
Watford")</f>
        <v>In Teletubbyland, Tinky Winky walks with his bag in front of the trees 
saying hello to the viewers. Just then, the Magic Windmill starts spinning 
and Tinky Winky joins the other Teletubbies and they watch Tamzin Griffin 
pretends to be the Funny Lady and tells the story of the Naughty Hat. The 
Teletubbies are very happy when they find their favorite things to play 
with. 
Featuring: Tamzin Griffin with The Children of Chater Infants School, 
Watford</v>
      </c>
    </row>
    <row r="50">
      <c r="A50">
        <f>IFERROR(__xludf.DUMMYFUNCTION("""COMPUTED_VALUE"""),143.0)</f>
        <v>143</v>
      </c>
      <c r="B50" t="str">
        <f>IFERROR(__xludf.DUMMYFUNCTION("""COMPUTED_VALUE"""),"""Gingerbread Boy""")</f>
        <v>"Gingerbread Boy"</v>
      </c>
      <c r="C50" t="str">
        <f>IFERROR(__xludf.DUMMYFUNCTION("""COMPUTED_VALUE"""),"8 April 1998 (1998-04-08)")</f>
        <v>8 April 1998 (1998-04-08)</v>
      </c>
    </row>
    <row r="51">
      <c r="A51" t="str">
        <f>IFERROR(__xludf.DUMMYFUNCTION("""COMPUTED_VALUE"""),"The Teletubbies are trying to be quiet, and the Teletubbies watch Oscar 
read the story of the ""Gingerbread Boy"" to his brother Felix. A voice 
trumpet appears and sings a nursery rhyme and the Teletubbies run all over 
Teletubbyland. 
Featuring: Oscar "&amp;"and Felix Taylor")</f>
        <v>The Teletubbies are trying to be quiet, and the Teletubbies watch Oscar 
read the story of the "Gingerbread Boy" to his brother Felix. A voice 
trumpet appears and sings a nursery rhyme and the Teletubbies run all over 
Teletubbyland. 
Featuring: Oscar and Felix Taylor</v>
      </c>
    </row>
    <row r="52">
      <c r="A52">
        <f>IFERROR(__xludf.DUMMYFUNCTION("""COMPUTED_VALUE"""),144.0)</f>
        <v>144</v>
      </c>
      <c r="B52" t="str">
        <f>IFERROR(__xludf.DUMMYFUNCTION("""COMPUTED_VALUE"""),"""Looking for Rabbits""")</f>
        <v>"Looking for Rabbits"</v>
      </c>
      <c r="C52" t="str">
        <f>IFERROR(__xludf.DUMMYFUNCTION("""COMPUTED_VALUE"""),"9 April 1998 (1998-04-09)")</f>
        <v>9 April 1998 (1998-04-09)</v>
      </c>
    </row>
    <row r="53">
      <c r="A53" t="str">
        <f>IFERROR(__xludf.DUMMYFUNCTION("""COMPUTED_VALUE"""),"Po comes in the Home Hill and says hello. She catches the Tubbies and said 
hello. Then she receives a video and they watch Jack and Francesca looking 
for Rabbits with Andy. In Teletubbyland, Tinky Winky looks for Po 
everywhere, but she is hiding from h"&amp;"im. When he finds her all the Tubbies 
dance a Happy Dance. 
Featuring: Andy Brown with Francesca Rutherford &amp; Jack Western")</f>
        <v>Po comes in the Home Hill and says hello. She catches the Tubbies and said 
hello. Then she receives a video and they watch Jack and Francesca looking 
for Rabbits with Andy. In Teletubbyland, Tinky Winky looks for Po 
everywhere, but she is hiding from him. When he finds her all the Tubbies 
dance a Happy Dance. 
Featuring: Andy Brown with Francesca Rutherford &amp; Jack Western</v>
      </c>
    </row>
    <row r="54">
      <c r="A54">
        <f>IFERROR(__xludf.DUMMYFUNCTION("""COMPUTED_VALUE"""),145.0)</f>
        <v>145</v>
      </c>
      <c r="B54" t="str">
        <f>IFERROR(__xludf.DUMMYFUNCTION("""COMPUTED_VALUE"""),"""Painting Easter Eggs""")</f>
        <v>"Painting Easter Eggs"</v>
      </c>
      <c r="C54" t="str">
        <f>IFERROR(__xludf.DUMMYFUNCTION("""COMPUTED_VALUE"""),"10 April 1998 (1998-04-10)")</f>
        <v>10 April 1998 (1998-04-10)</v>
      </c>
    </row>
    <row r="55">
      <c r="A55" t="str">
        <f>IFERROR(__xludf.DUMMYFUNCTION("""COMPUTED_VALUE"""),"The Teletubbies dance an up-and-down dance. They go off to watch some 
children painting pictures and patterns on eggs. Laa-Laa dances with her 
skirt and her ball. She rushes off to fetch the Teletubbies to watch The 
Magic Tree as it appears in Teletubb"&amp;"yland with five doves. The Magic 
Windmill stops spinning and it is time for Tubby Bye Bye. 
Featuring: Jean-Rene Badrick, Rachel Cann, Daniel &amp; Rachel Goldberg, Alice 
Greenwood, Talbah Khan and Finbar Lenahan")</f>
        <v>The Teletubbies dance an up-and-down dance. They go off to watch some 
children painting pictures and patterns on eggs. Laa-Laa dances with her 
skirt and her ball. She rushes off to fetch the Teletubbies to watch The 
Magic Tree as it appears in Teletubbyland with five doves. The Magic 
Windmill stops spinning and it is time for Tubby Bye Bye. 
Featuring: Jean-Rene Badrick, Rachel Cann, Daniel &amp; Rachel Goldberg, Alice 
Greenwood, Talbah Khan and Finbar Lenahan</v>
      </c>
    </row>
    <row r="56">
      <c r="A56">
        <f>IFERROR(__xludf.DUMMYFUNCTION("""COMPUTED_VALUE"""),146.0)</f>
        <v>146</v>
      </c>
      <c r="B56" t="str">
        <f>IFERROR(__xludf.DUMMYFUNCTION("""COMPUTED_VALUE"""),"""Finding Chocolate Eggs""")</f>
        <v>"Finding Chocolate Eggs"</v>
      </c>
      <c r="C56" t="str">
        <f>IFERROR(__xludf.DUMMYFUNCTION("""COMPUTED_VALUE"""),"13 April 1998 (1998-04-13)")</f>
        <v>13 April 1998 (1998-04-13)</v>
      </c>
    </row>
    <row r="57">
      <c r="A57" t="str">
        <f>IFERROR(__xludf.DUMMYFUNCTION("""COMPUTED_VALUE"""),"Tinky Winky, Dipsy and Laa-Laa make some Tubby Custard, but there is none 
left for Po when she arrives, so she takes Laa-Laa's but then Laa-Laa takes 
it back, then Tinky Winky take Dipsy's but he takes it back off him, then 
all of the Teletubbies are t"&amp;"aking each other's Tubby Custard. The 
Teletubbies tell Po to make her own Tubby Custard, but she doesn't want to, 
so she rides her scooter instead while the others have their Tubby Custard. 
The Teletubbies watch a video of some children going on an Eas"&amp;"ter egg hunt. 
The Teletubbies do the Falling Down Dance before Tubby Bye-Bye. 
Featuring: Alice &amp; Samuel Dwyer, Max &amp; Lucas Geddes, Rachel Horton, Casper 
Hughes, Eleanor Paine, Georgina &amp; Katie Phillipps and Nikita Roberts")</f>
        <v>Tinky Winky, Dipsy and Laa-Laa make some Tubby Custard, but there is none 
left for Po when she arrives, so she takes Laa-Laa's but then Laa-Laa takes 
it back, then Tinky Winky take Dipsy's but he takes it back off him, then 
all of the Teletubbies are taking each other's Tubby Custard. The 
Teletubbies tell Po to make her own Tubby Custard, but she doesn't want to, 
so she rides her scooter instead while the others have their Tubby Custard. 
The Teletubbies watch a video of some children going on an Easter egg hunt. 
The Teletubbies do the Falling Down Dance before Tubby Bye-Bye. 
Featuring: Alice &amp; Samuel Dwyer, Max &amp; Lucas Geddes, Rachel Horton, Casper 
Hughes, Eleanor Paine, Georgina &amp; Katie Phillipps and Nikita Roberts</v>
      </c>
    </row>
    <row r="58">
      <c r="A58">
        <f>IFERROR(__xludf.DUMMYFUNCTION("""COMPUTED_VALUE"""),147.0)</f>
        <v>147</v>
      </c>
      <c r="B58" t="str">
        <f>IFERROR(__xludf.DUMMYFUNCTION("""COMPUTED_VALUE"""),"""Turban""")</f>
        <v>"Turban"</v>
      </c>
      <c r="C58" t="str">
        <f>IFERROR(__xludf.DUMMYFUNCTION("""COMPUTED_VALUE"""),"14 April 1998 (1998-04-14)")</f>
        <v>14 April 1998 (1998-04-14)</v>
      </c>
    </row>
    <row r="59">
      <c r="A59" t="str">
        <f>IFERROR(__xludf.DUMMYFUNCTION("""COMPUTED_VALUE"""),"Laa-Laa walks past rabbits and says 'Eh-oh!' before the Magic Windmill 
spins and the Teletubbies find out how to make a turban. The Teletubbies 
went for a walk together so they linked arms and walked together. Po saw 
her scooter and she wanted to ride "&amp;"her scooter whilst the other Teletubbies 
went for a walk together but they pulled the other way and all fell down. 
Po rode her scooter and the other Teletubbies went for a walk together. 
Laa-Laa saw her ball and Tinky Winky and Dipsy wanted to go for a"&amp;" walk so 
Tinky Winky, Dipsy and Laa-Laa fell down. Laa-Laa played with her ball. 
Tinky Winky and Dipsy went for a walk together. Dipsy saw his hat and 
wanted to wear his hat but Tinky Winky wanted to go for a walk. Dipsy wore 
his hat and he sung his h"&amp;"at song. Tinky Winky went for a walk on his own 
before the Sun Baby giggles for Tubby Bye Bye. 
Featuring: Jasjort Singh")</f>
        <v>Laa-Laa walks past rabbits and says 'Eh-oh!' before the Magic Windmill 
spins and the Teletubbies find out how to make a turban. The Teletubbies 
went for a walk together so they linked arms and walked together. Po saw 
her scooter and she wanted to ride her scooter whilst the other Teletubbies 
went for a walk together but they pulled the other way and all fell down. 
Po rode her scooter and the other Teletubbies went for a walk together. 
Laa-Laa saw her ball and Tinky Winky and Dipsy wanted to go for a walk so 
Tinky Winky, Dipsy and Laa-Laa fell down. Laa-Laa played with her ball. 
Tinky Winky and Dipsy went for a walk together. Dipsy saw his hat and 
wanted to wear his hat but Tinky Winky wanted to go for a walk. Dipsy wore 
his hat and he sung his hat song. Tinky Winky went for a walk on his own 
before the Sun Baby giggles for Tubby Bye Bye. 
Featuring: Jasjort Singh</v>
      </c>
    </row>
    <row r="60">
      <c r="A60">
        <f>IFERROR(__xludf.DUMMYFUNCTION("""COMPUTED_VALUE"""),148.0)</f>
        <v>148</v>
      </c>
      <c r="B60" t="str">
        <f>IFERROR(__xludf.DUMMYFUNCTION("""COMPUTED_VALUE"""),"""My Dad's a Tram Driver""")</f>
        <v>"My Dad's a Tram Driver"</v>
      </c>
      <c r="C60" t="str">
        <f>IFERROR(__xludf.DUMMYFUNCTION("""COMPUTED_VALUE"""),"15 April 1998 (1998-04-15)")</f>
        <v>15 April 1998 (1998-04-15)</v>
      </c>
    </row>
    <row r="61">
      <c r="A61" t="str">
        <f>IFERROR(__xludf.DUMMYFUNCTION("""COMPUTED_VALUE"""),"The Teletubbies listen to a Voice Trumpet recite a nursery rhyme called ""Hark, 
Hark, The Dogs Do Bark"", then they watch Becky go for a ride on a tram. 
Po's scooter is involved in an accident and the other Teletubbies are 
knocked down. There's time fo"&amp;"r the Twisty Dance before Tubby Bye-Bye. 
Featuring: Rebecca Singer")</f>
        <v>The Teletubbies listen to a Voice Trumpet recite a nursery rhyme called "Hark, 
Hark, The Dogs Do Bark", then they watch Becky go for a ride on a tram. 
Po's scooter is involved in an accident and the other Teletubbies are 
knocked down. There's time for the Twisty Dance before Tubby Bye-Bye. 
Featuring: Rebecca Singer</v>
      </c>
    </row>
    <row r="62">
      <c r="A62">
        <f>IFERROR(__xludf.DUMMYFUNCTION("""COMPUTED_VALUE"""),149.0)</f>
        <v>149</v>
      </c>
      <c r="B62" t="str">
        <f>IFERROR(__xludf.DUMMYFUNCTION("""COMPUTED_VALUE"""),"""Football""")</f>
        <v>"Football"</v>
      </c>
      <c r="C62" t="str">
        <f>IFERROR(__xludf.DUMMYFUNCTION("""COMPUTED_VALUE"""),"16 April 1998 (1998-04-16)")</f>
        <v>16 April 1998 (1998-04-16)</v>
      </c>
    </row>
    <row r="63">
      <c r="A63" t="str">
        <f>IFERROR(__xludf.DUMMYFUNCTION("""COMPUTED_VALUE"""),"Po eats some Tubby Custard and then runs off to see some children playing 
football (soccer in America) in the park. Laa-Laa and Po love playing with 
the ball. While they play, they sing about the ball. The magical house with 
four windows appears in Tel"&amp;"etubbyland and the Magic Windmill stops 
spinning. It is time for Tubby Bye-Bye. 
Featuring: Ayende &amp; Yusef Ali, Lorenzo Black, Foluke Cole, Malcolm &amp; 
Ashleigh Sawyers and Thomas Wilson")</f>
        <v>Po eats some Tubby Custard and then runs off to see some children playing 
football (soccer in America) in the park. Laa-Laa and Po love playing with 
the ball. While they play, they sing about the ball. The magical house with 
four windows appears in Teletubbyland and the Magic Windmill stops 
spinning. It is time for Tubby Bye-Bye. 
Featuring: Ayende &amp; Yusef Ali, Lorenzo Black, Foluke Cole, Malcolm &amp; 
Ashleigh Sawyers and Thomas Wilson</v>
      </c>
    </row>
    <row r="64">
      <c r="A64">
        <f>IFERROR(__xludf.DUMMYFUNCTION("""COMPUTED_VALUE"""),150.0)</f>
        <v>150</v>
      </c>
      <c r="B64" t="str">
        <f>IFERROR(__xludf.DUMMYFUNCTION("""COMPUTED_VALUE"""),"""Naughty Sausage""")</f>
        <v>"Naughty Sausage"</v>
      </c>
      <c r="C64" t="str">
        <f>IFERROR(__xludf.DUMMYFUNCTION("""COMPUTED_VALUE"""),"17 April 1998 (1998-04-17)")</f>
        <v>17 April 1998 (1998-04-17)</v>
      </c>
    </row>
    <row r="65">
      <c r="A65" t="str">
        <f>IFERROR(__xludf.DUMMYFUNCTION("""COMPUTED_VALUE"""),"The Teletubbies pop up from behind a hill to watch Tamzin Griffin pretend 
to be the Funny Lady. Laa Laa decides to dance a secret dance after 
receiving a naughty sausage transmission. Every time the others return, Laa 
Laa pretends to be asleep. 
Featur"&amp;"ing: Tamzin Griffin with The Children of Chater Infants School, 
Watford")</f>
        <v>The Teletubbies pop up from behind a hill to watch Tamzin Griffin pretend 
to be the Funny Lady. Laa Laa decides to dance a secret dance after 
receiving a naughty sausage transmission. Every time the others return, Laa 
Laa pretends to be asleep. 
Featuring: Tamzin Griffin with The Children of Chater Infants School, 
Watford</v>
      </c>
    </row>
    <row r="66">
      <c r="A66">
        <f>IFERROR(__xludf.DUMMYFUNCTION("""COMPUTED_VALUE"""),151.0)</f>
        <v>151</v>
      </c>
      <c r="B66" t="str">
        <f>IFERROR(__xludf.DUMMYFUNCTION("""COMPUTED_VALUE"""),"""Animals – Snails""")</f>
        <v>"Animals – Snails"</v>
      </c>
      <c r="C66" t="str">
        <f>IFERROR(__xludf.DUMMYFUNCTION("""COMPUTED_VALUE"""),"27 April 1998 (1998-04-27)")</f>
        <v>27 April 1998 (1998-04-27)</v>
      </c>
    </row>
    <row r="67">
      <c r="A67" t="str">
        <f>IFERROR(__xludf.DUMMYFUNCTION("""COMPUTED_VALUE"""),"Po sleeps in Tinky Winky's bed and Tinky Winky has nowhere to sleep. He 
tries sleeping in Po's bed, at the table and on the slide but he cannot get 
comfortable, Po then wakes up and Tinky Winky sleeps in his bed. The 
Windmill starts spinning and the Te"&amp;"letubbies run outside to watch Andy 
Brown show some children some Snails.The Teletubbies dance a Conga before 
Tubby Bye Bye. 
Featuring: Andy Brown with Giacomo Alger, Anil Jilka and Jodi Richards")</f>
        <v>Po sleeps in Tinky Winky's bed and Tinky Winky has nowhere to sleep. He 
tries sleeping in Po's bed, at the table and on the slide but he cannot get 
comfortable, Po then wakes up and Tinky Winky sleeps in his bed. The 
Windmill starts spinning and the Teletubbies run outside to watch Andy 
Brown show some children some Snails.The Teletubbies dance a Conga before 
Tubby Bye Bye. 
Featuring: Andy Brown with Giacomo Alger, Anil Jilka and Jodi Richards</v>
      </c>
    </row>
    <row r="68">
      <c r="A68">
        <f>IFERROR(__xludf.DUMMYFUNCTION("""COMPUTED_VALUE"""),152.0)</f>
        <v>152</v>
      </c>
      <c r="B68" t="str">
        <f>IFERROR(__xludf.DUMMYFUNCTION("""COMPUTED_VALUE"""),"""Numbers – 3 (version 2)""")</f>
        <v>"Numbers – 3 (version 2)"</v>
      </c>
      <c r="C68" t="str">
        <f>IFERROR(__xludf.DUMMYFUNCTION("""COMPUTED_VALUE"""),"28 April 1998 (1998-04-28)")</f>
        <v>28 April 1998 (1998-04-28)</v>
      </c>
    </row>
    <row r="69">
      <c r="A69" t="str">
        <f>IFERROR(__xludf.DUMMYFUNCTION("""COMPUTED_VALUE"""),"Tinky-Winky, Dipsy and Laa Laa march. Then they watch children learn the 
number 3. And then, three Teletubbies find three flowers and three trees. 
And they have Tubby Toast, but there are four pieces of Tubby Toast. Po 
comes to the house and haves the "&amp;"other tubby toast and it is time for Tubby 
Bye-Bye. 
Featuring: The Children of Duncombe School, London")</f>
        <v>Tinky-Winky, Dipsy and Laa Laa march. Then they watch children learn the 
number 3. And then, three Teletubbies find three flowers and three trees. 
And they have Tubby Toast, but there are four pieces of Tubby Toast. Po 
comes to the house and haves the other tubby toast and it is time for Tubby 
Bye-Bye. 
Featuring: The Children of Duncombe School, London</v>
      </c>
    </row>
    <row r="70">
      <c r="A70">
        <f>IFERROR(__xludf.DUMMYFUNCTION("""COMPUTED_VALUE"""),153.0)</f>
        <v>153</v>
      </c>
      <c r="B70" t="str">
        <f>IFERROR(__xludf.DUMMYFUNCTION("""COMPUTED_VALUE"""),"""Dentist""")</f>
        <v>"Dentist"</v>
      </c>
      <c r="C70" t="str">
        <f>IFERROR(__xludf.DUMMYFUNCTION("""COMPUTED_VALUE"""),"29 April 1998 (1998-04-29)")</f>
        <v>29 April 1998 (1998-04-29)</v>
      </c>
    </row>
    <row r="71">
      <c r="A71" t="str">
        <f>IFERROR(__xludf.DUMMYFUNCTION("""COMPUTED_VALUE"""),"Inside the Home Hill, the Teletubbies are sleeping when a voice trumpet 
rises and starts singing Frere Jacques in French to them. Then they wake up 
to see the Magic Windmill spinning. They rush outside (before the voice 
trumpet goes down) and watch a v"&amp;"ideo about dentists working on some teeth 
and become fascinated by their own. Then, the Teletubbies rush off to see 
the Bear and the Lion play hide and seek before the Magic Windmill stops 
spinning for Tubby Bye Bye. 
Featuring: Reena Aluwhalia and The"&amp;" Armstrong Family")</f>
        <v>Inside the Home Hill, the Teletubbies are sleeping when a voice trumpet 
rises and starts singing Frere Jacques in French to them. Then they wake up 
to see the Magic Windmill spinning. They rush outside (before the voice 
trumpet goes down) and watch a video about dentists working on some teeth 
and become fascinated by their own. Then, the Teletubbies rush off to see 
the Bear and the Lion play hide and seek before the Magic Windmill stops 
spinning for Tubby Bye Bye. 
Featuring: Reena Aluwhalia and The Armstrong Family</v>
      </c>
    </row>
    <row r="72">
      <c r="A72">
        <f>IFERROR(__xludf.DUMMYFUNCTION("""COMPUTED_VALUE"""),154.0)</f>
        <v>154</v>
      </c>
      <c r="B72" t="str">
        <f>IFERROR(__xludf.DUMMYFUNCTION("""COMPUTED_VALUE"""),"""Making Salad""")</f>
        <v>"Making Salad"</v>
      </c>
      <c r="C72" t="str">
        <f>IFERROR(__xludf.DUMMYFUNCTION("""COMPUTED_VALUE"""),"30 April 1998 (1998-04-30)")</f>
        <v>30 April 1998 (1998-04-30)</v>
      </c>
    </row>
    <row r="73">
      <c r="A73" t="str">
        <f>IFERROR(__xludf.DUMMYFUNCTION("""COMPUTED_VALUE"""),"The Teletubbies are trying to eat their Tubby Toast but the Noo Noo is 
being too noisy zooming around the House. The Teletubbies watch Yvette and 
her brother Leslie making salad. Back in Teletubbyland the Teletubbies try 
to have their Tubby Custard but"&amp;" they all keep falling over.Then they run 
outside to do the Falling Down Dance before Tubby Bye-Bye. 
Featuring: Yvette and Leslie Dixon-Tetteh")</f>
        <v>The Teletubbies are trying to eat their Tubby Toast but the Noo Noo is 
being too noisy zooming around the House. The Teletubbies watch Yvette and 
her brother Leslie making salad. Back in Teletubbyland the Teletubbies try 
to have their Tubby Custard but they all keep falling over.Then they run 
outside to do the Falling Down Dance before Tubby Bye-Bye. 
Featuring: Yvette and Leslie Dixon-Tetteh</v>
      </c>
    </row>
    <row r="74">
      <c r="A74">
        <f>IFERROR(__xludf.DUMMYFUNCTION("""COMPUTED_VALUE"""),155.0)</f>
        <v>155</v>
      </c>
      <c r="B74" t="str">
        <f>IFERROR(__xludf.DUMMYFUNCTION("""COMPUTED_VALUE"""),"""Making Lanterns""")</f>
        <v>"Making Lanterns"</v>
      </c>
      <c r="C74" t="str">
        <f>IFERROR(__xludf.DUMMYFUNCTION("""COMPUTED_VALUE"""),"1 May 1998 (1998-05-01)")</f>
        <v>1 May 1998 (1998-05-01)</v>
      </c>
    </row>
    <row r="75">
      <c r="A75" t="str">
        <f>IFERROR(__xludf.DUMMYFUNCTION("""COMPUTED_VALUE"""),"The Teletubbies are feeling very happy so they all jump around a tree, 
Laa-Laa jumps away and Dipsy goes to Hide. Tinky-Winky and Po run around 
Teletubbyland, but soon Tinky Winky runs away leaving Po on her own. She 
falls down, lies in the Sun and the"&amp;"n rolls away. The Magic Windmill starts 
to spin and the Teletubbies watch two Boys and their uncle making Lanterns. 
It's time for Tubby Toast. Laa-Laa's piece of Tubby Toast landed on top of 
her head and gets stuck in her aerial, the other three Teletu"&amp;"bbies start 
laughing because she doesn't know where her Tubby Toast has gone and Po 
puts it back On The table. Then they watch the Magical Event with the Magic 
Tree with five doves. Then they have the Stamping and Stepping Dance before 
Tubby Bye-Bye j"&amp;"ust as The Baby Sun sets. 
Featuring: Jonathan and Howard Ho")</f>
        <v>The Teletubbies are feeling very happy so they all jump around a tree, 
Laa-Laa jumps away and Dipsy goes to Hide. Tinky-Winky and Po run around 
Teletubbyland, but soon Tinky Winky runs away leaving Po on her own. She 
falls down, lies in the Sun and then rolls away. The Magic Windmill starts 
to spin and the Teletubbies watch two Boys and their uncle making Lanterns. 
It's time for Tubby Toast. Laa-Laa's piece of Tubby Toast landed on top of 
her head and gets stuck in her aerial, the other three Teletubbies start 
laughing because she doesn't know where her Tubby Toast has gone and Po 
puts it back On The table. Then they watch the Magical Event with the Magic 
Tree with five doves. Then they have the Stamping and Stepping Dance before 
Tubby Bye-Bye just as The Baby Sun sets. 
Featuring: Jonathan and Howard Ho</v>
      </c>
    </row>
    <row r="76">
      <c r="A76">
        <f>IFERROR(__xludf.DUMMYFUNCTION("""COMPUTED_VALUE"""),156.0)</f>
        <v>156</v>
      </c>
      <c r="B76" t="str">
        <f>IFERROR(__xludf.DUMMYFUNCTION("""COMPUTED_VALUE"""),"""Colours – Green""")</f>
        <v>"Colours – Green"</v>
      </c>
      <c r="C76" t="str">
        <f>IFERROR(__xludf.DUMMYFUNCTION("""COMPUTED_VALUE"""),"4 May 1998 (1998-05-04)")</f>
        <v>4 May 1998 (1998-05-04)</v>
      </c>
    </row>
    <row r="77">
      <c r="A77" t="str">
        <f>IFERROR(__xludf.DUMMYFUNCTION("""COMPUTED_VALUE"""),"Inside the House the Teletubbies listen to a Voice Trumpet make a 
""MOOOOOOO"" Noise which they find very funny. Then they watch a video about 
the Colour green. Laa Laa loves the Green Grass. Po loves the Green Trees. 
Tinky Winky loves the Green House "&amp;"and the Teletubbies love Green Dipsy. The 
Teletubbies do the Round and Round Dance before Tubby Bye Bye. 
Featuring: The Children of Oxhey Infants School, Watford")</f>
        <v>Inside the House the Teletubbies listen to a Voice Trumpet make a 
"MOOOOOOO" Noise which they find very funny. Then they watch a video about 
the Colour green. Laa Laa loves the Green Grass. Po loves the Green Trees. 
Tinky Winky loves the Green House and the Teletubbies love Green Dipsy. The 
Teletubbies do the Round and Round Dance before Tubby Bye Bye. 
Featuring: The Children of Oxhey Infants School, Watford</v>
      </c>
    </row>
    <row r="78">
      <c r="A78">
        <f>IFERROR(__xludf.DUMMYFUNCTION("""COMPUTED_VALUE"""),157.0)</f>
        <v>157</v>
      </c>
      <c r="B78" t="str">
        <f>IFERROR(__xludf.DUMMYFUNCTION("""COMPUTED_VALUE"""),"""Our Dog Alice""")</f>
        <v>"Our Dog Alice"</v>
      </c>
      <c r="C78" t="str">
        <f>IFERROR(__xludf.DUMMYFUNCTION("""COMPUTED_VALUE"""),"5 May 1998 (1998-05-05)")</f>
        <v>5 May 1998 (1998-05-05)</v>
      </c>
    </row>
    <row r="79">
      <c r="A79" t="str">
        <f>IFERROR(__xludf.DUMMYFUNCTION("""COMPUTED_VALUE"""),"The Teletubbies watch Ella and Lilly discuss about their pet dog Alice and 
they go for a walk in the park . A barking dog appears in Teletubbyland, 
Dipsy is scared until he realises that it is just being friendly. Tinky 
Winky and Dipsy pat the dog! The"&amp;" dog then disappears and Tinky Winky and 
Dipsy walk away. 
Featuring: Ella and Lilly Ainsworth")</f>
        <v>The Teletubbies watch Ella and Lilly discuss about their pet dog Alice and 
they go for a walk in the park . A barking dog appears in Teletubbyland, 
Dipsy is scared until he realises that it is just being friendly. Tinky 
Winky and Dipsy pat the dog! The dog then disappears and Tinky Winky and 
Dipsy walk away. 
Featuring: Ella and Lilly Ainsworth</v>
      </c>
    </row>
    <row r="80">
      <c r="A80">
        <f>IFERROR(__xludf.DUMMYFUNCTION("""COMPUTED_VALUE"""),158.0)</f>
        <v>158</v>
      </c>
      <c r="B80" t="str">
        <f>IFERROR(__xludf.DUMMYFUNCTION("""COMPUTED_VALUE"""),"""Tulips""")</f>
        <v>"Tulips"</v>
      </c>
      <c r="C80" t="str">
        <f>IFERROR(__xludf.DUMMYFUNCTION("""COMPUTED_VALUE"""),"6 May 1998 (1998-05-06)")</f>
        <v>6 May 1998 (1998-05-06)</v>
      </c>
    </row>
    <row r="81">
      <c r="A81" t="str">
        <f>IFERROR(__xludf.DUMMYFUNCTION("""COMPUTED_VALUE"""),"A balloon appears from Far Away, Laa Laa tries to catch it but she can't, 
Tinky Winky tries but he can't either, the balloon floats around the House, 
Dipsy walks out and finds it, he tries to catch it but he can't, even Po 
tries but she can't, none of "&amp;"the Teletubbies can catch the balloon and it 
floats away. The Windmill starts spinning and the Teletubbies watch two 
girls picking Tulips. The Teletubbies do the Jumping Dance (on the path) 
before Tubby Bye Bye. 
Featuring: Hannah Pettit and Christina "&amp;"Tyrrell")</f>
        <v>A balloon appears from Far Away, Laa Laa tries to catch it but she can't, 
Tinky Winky tries but he can't either, the balloon floats around the House, 
Dipsy walks out and finds it, he tries to catch it but he can't, even Po 
tries but she can't, none of the Teletubbies can catch the balloon and it 
floats away. The Windmill starts spinning and the Teletubbies watch two 
girls picking Tulips. The Teletubbies do the Jumping Dance (on the path) 
before Tubby Bye Bye. 
Featuring: Hannah Pettit and Christina Tyrrell</v>
      </c>
    </row>
    <row r="82">
      <c r="A82">
        <f>IFERROR(__xludf.DUMMYFUNCTION("""COMPUTED_VALUE"""),159.0)</f>
        <v>159</v>
      </c>
      <c r="B82" t="str">
        <f>IFERROR(__xludf.DUMMYFUNCTION("""COMPUTED_VALUE"""),"""Sea Lions""")</f>
        <v>"Sea Lions"</v>
      </c>
      <c r="C82" t="str">
        <f>IFERROR(__xludf.DUMMYFUNCTION("""COMPUTED_VALUE"""),"7 May 1998 (1998-05-07)")</f>
        <v>7 May 1998 (1998-05-07)</v>
      </c>
    </row>
    <row r="83">
      <c r="A83" t="str">
        <f>IFERROR(__xludf.DUMMYFUNCTION("""COMPUTED_VALUE"""),"Po is out for a walk around Teletubbyland, then the Magic Windmill spins, 
then the Teletubbies watch Andy Brown and some children watch some Sea 
Lions. Inside the house, the Teletubbies play with the Control Panel, until 
the Magic Windmill spins, the D"&amp;"ancing Bear appears in a merry-go-round, the 
Teletubbies do The Tip Toe Dance before Tubby Bye-Bye. 
Featuring: Andy Brown with Cherelle Handford, Oliver Hooper and Daniel 
Salmon")</f>
        <v>Po is out for a walk around Teletubbyland, then the Magic Windmill spins, 
then the Teletubbies watch Andy Brown and some children watch some Sea 
Lions. Inside the house, the Teletubbies play with the Control Panel, until 
the Magic Windmill spins, the Dancing Bear appears in a merry-go-round, the 
Teletubbies do The Tip Toe Dance before Tubby Bye-Bye. 
Featuring: Andy Brown with Cherelle Handford, Oliver Hooper and Daniel 
Salmon</v>
      </c>
    </row>
    <row r="84">
      <c r="A84">
        <f>IFERROR(__xludf.DUMMYFUNCTION("""COMPUTED_VALUE"""),160.0)</f>
        <v>160</v>
      </c>
      <c r="B84" t="str">
        <f>IFERROR(__xludf.DUMMYFUNCTION("""COMPUTED_VALUE"""),"""Statues""")</f>
        <v>"Statues"</v>
      </c>
      <c r="C84" t="str">
        <f>IFERROR(__xludf.DUMMYFUNCTION("""COMPUTED_VALUE"""),"8 May 1998 (1998-05-08)")</f>
        <v>8 May 1998 (1998-05-08)</v>
      </c>
    </row>
    <row r="85">
      <c r="A85" t="str">
        <f>IFERROR(__xludf.DUMMYFUNCTION("""COMPUTED_VALUE"""),"The Teletubbies play a Hiding Game inside the House. Tinky Winky, Laa-Laa 
and Po Hide from Dipsy. Laa-Laa hides between the Beds, Po hides under the 
Arch, and Tinky Winky hides behind the Tubby Toaster. When Dipsy looks for 
the other Teletubbies he can"&amp;"'t find them, but when Noo Noo tidies up he 
finds the other Teletubbies, then Dipsy finds them. The Teletubbies watch 
some children play Statues. The Teletubbies do the Tip Toe Dance before 
Tubby Bye Bye. 
Featuring: Nathaniel Facey, Shantelle Hamilton"&amp;", Saj Musa and Kelly Phillips")</f>
        <v>The Teletubbies play a Hiding Game inside the House. Tinky Winky, Laa-Laa 
and Po Hide from Dipsy. Laa-Laa hides between the Beds, Po hides under the 
Arch, and Tinky Winky hides behind the Tubby Toaster. When Dipsy looks for 
the other Teletubbies he can't find them, but when Noo Noo tidies up he 
finds the other Teletubbies, then Dipsy finds them. The Teletubbies watch 
some children play Statues. The Teletubbies do the Tip Toe Dance before 
Tubby Bye Bye. 
Featuring: Nathaniel Facey, Shantelle Hamilton, Saj Musa and Kelly Phillips</v>
      </c>
    </row>
    <row r="86">
      <c r="A86">
        <f>IFERROR(__xludf.DUMMYFUNCTION("""COMPUTED_VALUE"""),161.0)</f>
        <v>161</v>
      </c>
      <c r="B86" t="str">
        <f>IFERROR(__xludf.DUMMYFUNCTION("""COMPUTED_VALUE"""),"""Cygnets""")</f>
        <v>"Cygnets"</v>
      </c>
      <c r="C86" t="str">
        <f>IFERROR(__xludf.DUMMYFUNCTION("""COMPUTED_VALUE"""),"11 May 1998 (1998-05-11)")</f>
        <v>11 May 1998 (1998-05-11)</v>
      </c>
    </row>
    <row r="87">
      <c r="A87" t="str">
        <f>IFERROR(__xludf.DUMMYFUNCTION("""COMPUTED_VALUE"""),"The Teletubbies watch Andy Brown and some children visit some cygnets. In 
Teletubbyland, it is time for bed, but Po is not tired and doesn't want to 
go to sleep yet so she has to ride her scooter. Then, it was time for Tubby 
Toast, but Po was too tired"&amp;" to eat her piece of toast, so she tries to take 
a nap and falls asleep.the Magic Windmill then wakes the Teletubbies up and 
eventually, it stops spinning as the Tubby Bye-Bye Sequence takes place. 
Featuring: Andy Brown with Sophie Easton and Ryan McKe"&amp;"chnie")</f>
        <v>The Teletubbies watch Andy Brown and some children visit some cygnets. In 
Teletubbyland, it is time for bed, but Po is not tired and doesn't want to 
go to sleep yet so she has to ride her scooter. Then, it was time for Tubby 
Toast, but Po was too tired to eat her piece of toast, so she tries to take 
a nap and falls asleep.the Magic Windmill then wakes the Teletubbies up and 
eventually, it stops spinning as the Tubby Bye-Bye Sequence takes place. 
Featuring: Andy Brown with Sophie Easton and Ryan McKechnie</v>
      </c>
    </row>
    <row r="88">
      <c r="A88">
        <f>IFERROR(__xludf.DUMMYFUNCTION("""COMPUTED_VALUE"""),162.0)</f>
        <v>162</v>
      </c>
      <c r="B88" t="str">
        <f>IFERROR(__xludf.DUMMYFUNCTION("""COMPUTED_VALUE"""),"""Rollerblading""")</f>
        <v>"Rollerblading"</v>
      </c>
      <c r="C88" t="str">
        <f>IFERROR(__xludf.DUMMYFUNCTION("""COMPUTED_VALUE"""),"12 May 1998 (1998-05-12)")</f>
        <v>12 May 1998 (1998-05-12)</v>
      </c>
    </row>
    <row r="89">
      <c r="A89" t="str">
        <f>IFERROR(__xludf.DUMMYFUNCTION("""COMPUTED_VALUE"""),"The Teletubbies dance a Twisty Dance, then they watch two children 
rollerblading in New York. The Noo Noo tidies up Tinkly Winky's Tubby Toast 
so Tinky Winky chases him round Home Hill. The Animal Parade march through 
Teletubbyland. The Magic Windmill "&amp;"stops spinning and it is time for Tubby 
Bye-Bye. 
Featuring: Zelda Gay and Mardet Homans")</f>
        <v>The Teletubbies dance a Twisty Dance, then they watch two children 
rollerblading in New York. The Noo Noo tidies up Tinkly Winky's Tubby Toast 
so Tinky Winky chases him round Home Hill. The Animal Parade march through 
Teletubbyland. The Magic Windmill stops spinning and it is time for Tubby 
Bye-Bye. 
Featuring: Zelda Gay and Mardet Homans</v>
      </c>
    </row>
    <row r="90">
      <c r="A90">
        <f>IFERROR(__xludf.DUMMYFUNCTION("""COMPUTED_VALUE"""),163.0)</f>
        <v>163</v>
      </c>
      <c r="B90" t="str">
        <f>IFERROR(__xludf.DUMMYFUNCTION("""COMPUTED_VALUE"""),"""Naughty Duck""")</f>
        <v>"Naughty Duck"</v>
      </c>
      <c r="C90" t="str">
        <f>IFERROR(__xludf.DUMMYFUNCTION("""COMPUTED_VALUE"""),"13 May 1998 (1998-05-13)")</f>
        <v>13 May 1998 (1998-05-13)</v>
      </c>
    </row>
    <row r="91">
      <c r="A91" t="str">
        <f>IFERROR(__xludf.DUMMYFUNCTION("""COMPUTED_VALUE"""),"The Teletubbies watch Tamzin Griffin pretend to be the Funny Lady and tell 
the story of the naughty duck, Laa-Laa and Po make some adjustments on the 
switch panel and it's time for the Bumping dance before Tubby Bye-Bye. 
Featuring: Tamzin Griffin with "&amp;"The Children of Chater Infants School, 
Watford")</f>
        <v>The Teletubbies watch Tamzin Griffin pretend to be the Funny Lady and tell 
the story of the naughty duck, Laa-Laa and Po make some adjustments on the 
switch panel and it's time for the Bumping dance before Tubby Bye-Bye. 
Featuring: Tamzin Griffin with The Children of Chater Infants School, 
Watford</v>
      </c>
    </row>
    <row r="92">
      <c r="A92">
        <f>IFERROR(__xludf.DUMMYFUNCTION("""COMPUTED_VALUE"""),164.0)</f>
        <v>164</v>
      </c>
      <c r="B92" t="str">
        <f>IFERROR(__xludf.DUMMYFUNCTION("""COMPUTED_VALUE"""),"""Ice Cream Sundae""")</f>
        <v>"Ice Cream Sundae"</v>
      </c>
      <c r="C92" t="str">
        <f>IFERROR(__xludf.DUMMYFUNCTION("""COMPUTED_VALUE"""),"14 May 1998 (1998-05-14)")</f>
        <v>14 May 1998 (1998-05-14)</v>
      </c>
    </row>
    <row r="93">
      <c r="A93" t="str">
        <f>IFERROR(__xludf.DUMMYFUNCTION("""COMPUTED_VALUE"""),"A Magic Watering Can appears from Far Away, Po water's some flowers that 
grow enormous. Po decides to water the other Teletubbies Favourite Things 
and they become enormous. Laa Laa loves her enormous Ball, Tinky Winky 
loves his enormous Bag and Dipsy l"&amp;"oves his enormous Hat. The Teletubbies 
watch two children making Ice Cream Sundaes. The Teletubbies do the 
Splashing Dance before Tubby Bye Bye. 
Featuring: Alessandro Rasulo and Rebecca Thomas")</f>
        <v>A Magic Watering Can appears from Far Away, Po water's some flowers that 
grow enormous. Po decides to water the other Teletubbies Favourite Things 
and they become enormous. Laa Laa loves her enormous Ball, Tinky Winky 
loves his enormous Bag and Dipsy loves his enormous Hat. The Teletubbies 
watch two children making Ice Cream Sundaes. The Teletubbies do the 
Splashing Dance before Tubby Bye Bye. 
Featuring: Alessandro Rasulo and Rebecca Thomas</v>
      </c>
    </row>
    <row r="94">
      <c r="A94">
        <f>IFERROR(__xludf.DUMMYFUNCTION("""COMPUTED_VALUE"""),165.0)</f>
        <v>165</v>
      </c>
      <c r="B94" t="str">
        <f>IFERROR(__xludf.DUMMYFUNCTION("""COMPUTED_VALUE"""),"""Playing With Dough""")</f>
        <v>"Playing With Dough"</v>
      </c>
      <c r="C94" t="str">
        <f>IFERROR(__xludf.DUMMYFUNCTION("""COMPUTED_VALUE"""),"15 May 1998 (1998-05-15)")</f>
        <v>15 May 1998 (1998-05-15)</v>
      </c>
    </row>
    <row r="95">
      <c r="A95" t="str">
        <f>IFERROR(__xludf.DUMMYFUNCTION("""COMPUTED_VALUE"""),"The Teletubbies love to run around and around Teletubbyland, but stop to 
watch three children make some Play-Doh. The Tubby Toaster makes a big 
piece of Tubby Toast. Laa-Laa, Dipsy and Tinky Winky think it's too big, 
but Po doesn't. She eats it all. Th"&amp;"e Teletubbies watch the Magic Tree. 
Afterwards, the Magic Windmill stops spinning and it is time for Tubby 
Bye-Bye. 
Featuring: Augustus Betz, Leia Kennedy and Duncan MacKinnon")</f>
        <v>The Teletubbies love to run around and around Teletubbyland, but stop to 
watch three children make some Play-Doh. The Tubby Toaster makes a big 
piece of Tubby Toast. Laa-Laa, Dipsy and Tinky Winky think it's too big, 
but Po doesn't. She eats it all. The Teletubbies watch the Magic Tree. 
Afterwards, the Magic Windmill stops spinning and it is time for Tubby 
Bye-Bye. 
Featuring: Augustus Betz, Leia Kennedy and Duncan MacKinnon</v>
      </c>
    </row>
    <row r="96">
      <c r="A96">
        <f>IFERROR(__xludf.DUMMYFUNCTION("""COMPUTED_VALUE"""),166.0)</f>
        <v>166</v>
      </c>
      <c r="B96" t="str">
        <f>IFERROR(__xludf.DUMMYFUNCTION("""COMPUTED_VALUE"""),"""Kite Flying""")</f>
        <v>"Kite Flying"</v>
      </c>
      <c r="C96" t="str">
        <f>IFERROR(__xludf.DUMMYFUNCTION("""COMPUTED_VALUE"""),"18 May 1998 (1998-05-18)")</f>
        <v>18 May 1998 (1998-05-18)</v>
      </c>
    </row>
    <row r="97">
      <c r="A97" t="str">
        <f>IFERROR(__xludf.DUMMYFUNCTION("""COMPUTED_VALUE"""),"The Teletubbies run out of the house to find their favorite things, then 
they run off to watch some children flying kites. A special cloud falls out 
of the sky and lands on Tinky Winky's head. Tinky Winky shows his special 
cloud to the others and they "&amp;"all think it is beautiful. But when he shows 
it to Dipsy the special cloud lifts off his head and floats back into the 
sky. Tinky Winky is sad until Dipsy let him wear his hat to cheer him up. 
Featuring: Kieran Gangaram, Michael Johnson and Rachel Trew")</f>
        <v>The Teletubbies run out of the house to find their favorite things, then 
they run off to watch some children flying kites. A special cloud falls out 
of the sky and lands on Tinky Winky's head. Tinky Winky shows his special 
cloud to the others and they all think it is beautiful. But when he shows 
it to Dipsy the special cloud lifts off his head and floats back into the 
sky. Tinky Winky is sad until Dipsy let him wear his hat to cheer him up. 
Featuring: Kieran Gangaram, Michael Johnson and Rachel Trew</v>
      </c>
    </row>
    <row r="98">
      <c r="A98">
        <f>IFERROR(__xludf.DUMMYFUNCTION("""COMPUTED_VALUE"""),167.0)</f>
        <v>167</v>
      </c>
      <c r="B98" t="str">
        <f>IFERROR(__xludf.DUMMYFUNCTION("""COMPUTED_VALUE"""),"""Ballet Rhymes""
""Ballet Rhymes 3""")</f>
        <v>"Ballet Rhymes"
"Ballet Rhymes 3"</v>
      </c>
      <c r="C98" t="str">
        <f>IFERROR(__xludf.DUMMYFUNCTION("""COMPUTED_VALUE"""),"19 May 1998 (1998-05-19)")</f>
        <v>19 May 1998 (1998-05-19)</v>
      </c>
    </row>
    <row r="99">
      <c r="A99" t="str">
        <f>IFERROR(__xludf.DUMMYFUNCTION("""COMPUTED_VALUE"""),"The Teletubbies love to dance. The Tubbies dance a happy dance and then 
watch some children perform in a ballet show. Dipsy dances in his bed and 
Laa-Laa dances whilst making tubby custard. Tinky-Winky and Po dance a 
ballroom dance and then all the Tel"&amp;"etubbies dance together. 
Featuring: The Children of The Heidi Rhodes School of Dance")</f>
        <v>The Teletubbies love to dance. The Tubbies dance a happy dance and then 
watch some children perform in a ballet show. Dipsy dances in his bed and 
Laa-Laa dances whilst making tubby custard. Tinky-Winky and Po dance a 
ballroom dance and then all the Teletubbies dance together. 
Featuring: The Children of The Heidi Rhodes School of Dance</v>
      </c>
    </row>
    <row r="100">
      <c r="A100">
        <f>IFERROR(__xludf.DUMMYFUNCTION("""COMPUTED_VALUE"""),168.0)</f>
        <v>168</v>
      </c>
      <c r="B100" t="str">
        <f>IFERROR(__xludf.DUMMYFUNCTION("""COMPUTED_VALUE"""),"""Numbers – 4 (version 2)""")</f>
        <v>"Numbers – 4 (version 2)"</v>
      </c>
      <c r="C100" t="str">
        <f>IFERROR(__xludf.DUMMYFUNCTION("""COMPUTED_VALUE"""),"20 May 1998 (1998-05-20)")</f>
        <v>20 May 1998 (1998-05-20)</v>
      </c>
    </row>
    <row r="101">
      <c r="A101" t="str">
        <f>IFERROR(__xludf.DUMMYFUNCTION("""COMPUTED_VALUE"""),"The Teletubbies say Eh-Oh, then The Teletubbies watch some children learn 
about the number 4. In Teletubbyland The Teletubbies have Tubby custard and 
then play the game ""Who's in the House?"", Po leaves, then Laa-Laa, then 
Dipsy, then Tinky-Winky, lea"&amp;"ving Noo-Noo all alone, then the Magic Windmill 
spins so the Teletubbies watch the Magic House before the Magic Windmill 
stops spinning and then it's Tubby Bye-Bye. 
Featuring: The Children of Duncombe School, London")</f>
        <v>The Teletubbies say Eh-Oh, then The Teletubbies watch some children learn 
about the number 4. In Teletubbyland The Teletubbies have Tubby custard and 
then play the game "Who's in the House?", Po leaves, then Laa-Laa, then 
Dipsy, then Tinky-Winky, leaving Noo-Noo all alone, then the Magic Windmill 
spins so the Teletubbies watch the Magic House before the Magic Windmill 
stops spinning and then it's Tubby Bye-Bye. 
Featuring: The Children of Duncombe School, London</v>
      </c>
    </row>
    <row r="102">
      <c r="A102">
        <f>IFERROR(__xludf.DUMMYFUNCTION("""COMPUTED_VALUE"""),169.0)</f>
        <v>169</v>
      </c>
      <c r="B102" t="str">
        <f>IFERROR(__xludf.DUMMYFUNCTION("""COMPUTED_VALUE"""),"""Haircut""")</f>
        <v>"Haircut"</v>
      </c>
      <c r="C102" t="str">
        <f>IFERROR(__xludf.DUMMYFUNCTION("""COMPUTED_VALUE"""),"21 May 1998 (1998-05-21)")</f>
        <v>21 May 1998 (1998-05-21)</v>
      </c>
    </row>
    <row r="103">
      <c r="A103" t="str">
        <f>IFERROR(__xludf.DUMMYFUNCTION("""COMPUTED_VALUE"""),"The Teletubbies watch two boys having their hair cut. A mirror appears in 
Teletubbyland. Laa-Laa, Dipsy and Tinky Winky like looking at their 
reflection in the mirror. Po liked looking at her reflection in the mirror, 
but not as much as she liked to ri"&amp;"de her scooter. The Tap Dancing Teddy 
Bear appears also in his gazebo. Afterwards, the Magic Windmill stops 
spinning and it is time for Tubby Bye Bye. 
Featuring: Oliver Brookes and Thomas MacLean")</f>
        <v>The Teletubbies watch two boys having their hair cut. A mirror appears in 
Teletubbyland. Laa-Laa, Dipsy and Tinky Winky like looking at their 
reflection in the mirror. Po liked looking at her reflection in the mirror, 
but not as much as she liked to ride her scooter. The Tap Dancing Teddy 
Bear appears also in his gazebo. Afterwards, the Magic Windmill stops 
spinning and it is time for Tubby Bye Bye. 
Featuring: Oliver Brookes and Thomas MacLean</v>
      </c>
    </row>
    <row r="104">
      <c r="A104">
        <f>IFERROR(__xludf.DUMMYFUNCTION("""COMPUTED_VALUE"""),170.0)</f>
        <v>170</v>
      </c>
      <c r="B104" t="str">
        <f>IFERROR(__xludf.DUMMYFUNCTION("""COMPUTED_VALUE"""),"""Carnival II""")</f>
        <v>"Carnival II"</v>
      </c>
      <c r="C104" t="str">
        <f>IFERROR(__xludf.DUMMYFUNCTION("""COMPUTED_VALUE"""),"22 May 1998 (1998-05-22)")</f>
        <v>22 May 1998 (1998-05-22)</v>
      </c>
    </row>
    <row r="105">
      <c r="A105" t="str">
        <f>IFERROR(__xludf.DUMMYFUNCTION("""COMPUTED_VALUE"""),"The Teletubbies sing songs about their favourite things and Po sings a song 
about a cloud, which then begins to rain. The Windmill starts spinning and 
the Teletubbies watch a video about a Carnival. Then they do The Follow The 
Leader Dance inside the H"&amp;"ome Hill, before it's time for Tubby-Bye-Bye. 
Featuring: Children from The Mahogany Group, Notting Hill Carnival")</f>
        <v>The Teletubbies sing songs about their favourite things and Po sings a song 
about a cloud, which then begins to rain. The Windmill starts spinning and 
the Teletubbies watch a video about a Carnival. Then they do The Follow The 
Leader Dance inside the Home Hill, before it's time for Tubby-Bye-Bye. 
Featuring: Children from The Mahogany Group, Notting Hill Carnival</v>
      </c>
    </row>
    <row r="106">
      <c r="A106">
        <f>IFERROR(__xludf.DUMMYFUNCTION("""COMPUTED_VALUE"""),171.0)</f>
        <v>171</v>
      </c>
      <c r="B106" t="str">
        <f>IFERROR(__xludf.DUMMYFUNCTION("""COMPUTED_VALUE"""),"""Tennis""")</f>
        <v>"Tennis"</v>
      </c>
      <c r="C106" t="str">
        <f>IFERROR(__xludf.DUMMYFUNCTION("""COMPUTED_VALUE"""),"22 June 1998 (1998-06-22)")</f>
        <v>22 June 1998 (1998-06-22)</v>
      </c>
    </row>
    <row r="107">
      <c r="A107" t="str">
        <f>IFERROR(__xludf.DUMMYFUNCTION("""COMPUTED_VALUE"""),"The Teletubbies run across the hills to say ""Eh-Oh"" and watch some children 
playing tennis. Laa-Laa and Po love to play with the ball. They roll, throw 
and kick it to each other, the Teletubbies dance the Round and Round Dance 
before Tubby Bye-Bye. 
"&amp;"Featuring: Deepinder &amp; Amrinder Seghal and Inderraj &amp; Navdeep Singh")</f>
        <v>The Teletubbies run across the hills to say "Eh-Oh" and watch some children 
playing tennis. Laa-Laa and Po love to play with the ball. They roll, throw 
and kick it to each other, the Teletubbies dance the Round and Round Dance 
before Tubby Bye-Bye. 
Featuring: Deepinder &amp; Amrinder Seghal and Inderraj &amp; Navdeep Singh</v>
      </c>
    </row>
    <row r="108">
      <c r="A108">
        <f>IFERROR(__xludf.DUMMYFUNCTION("""COMPUTED_VALUE"""),172.0)</f>
        <v>172</v>
      </c>
      <c r="B108" t="str">
        <f>IFERROR(__xludf.DUMMYFUNCTION("""COMPUTED_VALUE"""),"""Cows and Calves""")</f>
        <v>"Cows and Calves"</v>
      </c>
      <c r="C108" t="str">
        <f>IFERROR(__xludf.DUMMYFUNCTION("""COMPUTED_VALUE"""),"23 June 1998 (1998-06-23)")</f>
        <v>23 June 1998 (1998-06-23)</v>
      </c>
    </row>
    <row r="109">
      <c r="A109" t="str">
        <f>IFERROR(__xludf.DUMMYFUNCTION("""COMPUTED_VALUE"""),"The Teletubbies do the Happy Dance, then they watch Matthew, James and Mark 
feed their Cows and Calves and watch them grazing in the field. Tinky 
Winky, Dipsy and Laa Laa eat Tubby Toast at the Tubby Table and Po eats 
Tubby Toast in her Bed, there's cr"&amp;"umbs everywhere so Noo Noo tidies up. The 
Windmill starts spinning and the Teletubbies watch the Animal Parade before 
the Magic Windmill stops spinning and it is time for Tubby Bye Bye. 
Featuring: Matthew, James and Mark Carnie")</f>
        <v>The Teletubbies do the Happy Dance, then they watch Matthew, James and Mark 
feed their Cows and Calves and watch them grazing in the field. Tinky 
Winky, Dipsy and Laa Laa eat Tubby Toast at the Tubby Table and Po eats 
Tubby Toast in her Bed, there's crumbs everywhere so Noo Noo tidies up. The 
Windmill starts spinning and the Teletubbies watch the Animal Parade before 
the Magic Windmill stops spinning and it is time for Tubby Bye Bye. 
Featuring: Matthew, James and Mark Carnie</v>
      </c>
    </row>
    <row r="110">
      <c r="A110">
        <f>IFERROR(__xludf.DUMMYFUNCTION("""COMPUTED_VALUE"""),173.0)</f>
        <v>173</v>
      </c>
      <c r="B110" t="str">
        <f>IFERROR(__xludf.DUMMYFUNCTION("""COMPUTED_VALUE"""),"""The Pier""")</f>
        <v>"The Pier"</v>
      </c>
      <c r="C110" t="str">
        <f>IFERROR(__xludf.DUMMYFUNCTION("""COMPUTED_VALUE"""),"24 June 1998 (1998-06-24)")</f>
        <v>24 June 1998 (1998-06-24)</v>
      </c>
    </row>
    <row r="111">
      <c r="A111" t="str">
        <f>IFERROR(__xludf.DUMMYFUNCTION("""COMPUTED_VALUE"""),"The Teletubbies walk round and round some hills, then they watch some 
children explore a pier. After that, they go off to watch the Lion and Bear 
play their hide and seek game in Teletubbyland. Then the Teletubbies go do 
the Walking Dance before doing "&amp;"the Tubby bye bye sequence. 
Featuring: Christopher &amp; James Botting, Katy Griffin, Mungo &amp; Joseph Kett, 
Saalim Koomar, Rebecca Lawlor and Matthew Wise")</f>
        <v>The Teletubbies walk round and round some hills, then they watch some 
children explore a pier. After that, they go off to watch the Lion and Bear 
play their hide and seek game in Teletubbyland. Then the Teletubbies go do 
the Walking Dance before doing the Tubby bye bye sequence. 
Featuring: Christopher &amp; James Botting, Katy Griffin, Mungo &amp; Joseph Kett, 
Saalim Koomar, Rebecca Lawlor and Matthew Wise</v>
      </c>
    </row>
    <row r="112">
      <c r="A112">
        <f>IFERROR(__xludf.DUMMYFUNCTION("""COMPUTED_VALUE"""),174.0)</f>
        <v>174</v>
      </c>
      <c r="B112" t="str">
        <f>IFERROR(__xludf.DUMMYFUNCTION("""COMPUTED_VALUE"""),"""Becky's Flake Cakes""")</f>
        <v>"Becky's Flake Cakes"</v>
      </c>
      <c r="C112" t="str">
        <f>IFERROR(__xludf.DUMMYFUNCTION("""COMPUTED_VALUE"""),"25 June 1998 (1998-06-25)")</f>
        <v>25 June 1998 (1998-06-25)</v>
      </c>
    </row>
    <row r="113">
      <c r="A113" t="str">
        <f>IFERROR(__xludf.DUMMYFUNCTION("""COMPUTED_VALUE"""),"The Teletubbies are feeling hungry, so they sit down to eat some Tubby 
Toast, but the Tubby Toaster isn't working. So they start pushing buttons 
but it doesn't work and they're still hungry. The Noo-noo tidies up around 
the Toaster and it begins to wor"&amp;"k. The Teletubbies are very happy and eat 
their Tubby Toast very quickly. Then the Teletubbies watch Becky make 
treats for her friend Mark. 
Featuring: Marc Connor and Rebecca Thomas")</f>
        <v>The Teletubbies are feeling hungry, so they sit down to eat some Tubby 
Toast, but the Tubby Toaster isn't working. So they start pushing buttons 
but it doesn't work and they're still hungry. The Noo-noo tidies up around 
the Toaster and it begins to work. The Teletubbies are very happy and eat 
their Tubby Toast very quickly. Then the Teletubbies watch Becky make 
treats for her friend Mark. 
Featuring: Marc Connor and Rebecca Thomas</v>
      </c>
    </row>
    <row r="114">
      <c r="A114">
        <f>IFERROR(__xludf.DUMMYFUNCTION("""COMPUTED_VALUE"""),175.0)</f>
        <v>175</v>
      </c>
      <c r="B114" t="str">
        <f>IFERROR(__xludf.DUMMYFUNCTION("""COMPUTED_VALUE"""),"""Hand Painting""")</f>
        <v>"Hand Painting"</v>
      </c>
      <c r="C114" t="str">
        <f>IFERROR(__xludf.DUMMYFUNCTION("""COMPUTED_VALUE"""),"25 June 1998 (1998-06-25)")</f>
        <v>25 June 1998 (1998-06-25)</v>
      </c>
    </row>
    <row r="115">
      <c r="A115" t="str">
        <f>IFERROR(__xludf.DUMMYFUNCTION("""COMPUTED_VALUE"""),"Dipsy walks in front of the trees to say hello to the viewers. Afterwards, 
the windmill spins and he joins the others, and The Teletubbies watch two 
girls having their hands painted. Po decides to decorate Home Hill with 
handprints. She decorated the t"&amp;"able, the tubby toaster, the doors, and the 
steps. And the whole house was decorated with hand prints when she heard 
Tinky Winky, Dipsy, and Laa-Laa. Po showed the other teletubbies her 
decorations when the Noo-Noo tidied up the handprints. Then the te"&amp;"letubbies 
had a good laugh until they heard the Magic Windmill spin, then they said 
""Uh-Oh!"" then they ran outside. The Magic Windmill stopped spinning for 
Tubby Bye Bye. 
Featuring: Elissa and Leah Patel")</f>
        <v>Dipsy walks in front of the trees to say hello to the viewers. Afterwards, 
the windmill spins and he joins the others, and The Teletubbies watch two 
girls having their hands painted. Po decides to decorate Home Hill with 
handprints. She decorated the table, the tubby toaster, the doors, and the 
steps. And the whole house was decorated with hand prints when she heard 
Tinky Winky, Dipsy, and Laa-Laa. Po showed the other teletubbies her 
decorations when the Noo-Noo tidied up the handprints. Then the teletubbies 
had a good laugh until they heard the Magic Windmill spin, then they said 
"Uh-Oh!" then they ran outside. The Magic Windmill stopped spinning for 
Tubby Bye Bye. 
Featuring: Elissa and Leah Patel</v>
      </c>
    </row>
    <row r="116">
      <c r="A116">
        <f>IFERROR(__xludf.DUMMYFUNCTION("""COMPUTED_VALUE"""),176.0)</f>
        <v>176</v>
      </c>
      <c r="B116" t="str">
        <f>IFERROR(__xludf.DUMMYFUNCTION("""COMPUTED_VALUE"""),"""Mark and Topus""
""Mark &amp; Topus""")</f>
        <v>"Mark and Topus"
"Mark &amp; Topus"</v>
      </c>
      <c r="C116" t="str">
        <f>IFERROR(__xludf.DUMMYFUNCTION("""COMPUTED_VALUE"""),"29 June 1998 (1998-06-29)")</f>
        <v>29 June 1998 (1998-06-29)</v>
      </c>
    </row>
    <row r="117">
      <c r="A117" t="str">
        <f>IFERROR(__xludf.DUMMYFUNCTION("""COMPUTED_VALUE"""),"Tinky Winky, Dipsy and Laa-Laa run over the hills to say Eh-oh and then Po 
pops up and says Boo. The Teletubbies watch Mark go for a ride on his pony 
Topus. Po goes on a long journey far far away on her scooter and then all 
the way home again, the othe"&amp;"r Teletubbies wait for her and when she comes 
back they all have a Big Hug and ""Tubby Bye-Bye"" takes place. 
Featuring: Matthew, James and Mark Carnie")</f>
        <v>Tinky Winky, Dipsy and Laa-Laa run over the hills to say Eh-oh and then Po 
pops up and says Boo. The Teletubbies watch Mark go for a ride on his pony 
Topus. Po goes on a long journey far far away on her scooter and then all 
the way home again, the other Teletubbies wait for her and when she comes 
back they all have a Big Hug and "Tubby Bye-Bye" takes place. 
Featuring: Matthew, James and Mark Carnie</v>
      </c>
    </row>
    <row r="118">
      <c r="A118">
        <f>IFERROR(__xludf.DUMMYFUNCTION("""COMPUTED_VALUE"""),177.0)</f>
        <v>177</v>
      </c>
      <c r="B118" t="str">
        <f>IFERROR(__xludf.DUMMYFUNCTION("""COMPUTED_VALUE"""),"""Numbers – 10""")</f>
        <v>"Numbers – 10"</v>
      </c>
      <c r="C118" t="str">
        <f>IFERROR(__xludf.DUMMYFUNCTION("""COMPUTED_VALUE"""),"30 June 1998 (1998-06-30)")</f>
        <v>30 June 1998 (1998-06-30)</v>
      </c>
    </row>
    <row r="119">
      <c r="A119" t="str">
        <f>IFERROR(__xludf.DUMMYFUNCTION("""COMPUTED_VALUE"""),"Laa Laa is out for a walk before the Windmill starts spinning. The 
Teletubbies watch some children learn about the number 10. Inside the 
House, Tinky Winky, Dipsy and Laa-Laa sit on their seats. Po arrives on her 
scooter. She bumps into the slide and t"&amp;"he walls until she falls off. Po 
sits down on the slide and the other Teletubbies stand up and sit down too. 
They all do it again and again and laughing at the noises they make. The 
magical event with The Magic Tree also occurs. After it disappeared, t"&amp;"he 
Magic Windmill stops spinning. The ""Tubby Bye-Bye"" sequence takes place. 
Featuring: The Children of Duncombe School, London")</f>
        <v>Laa Laa is out for a walk before the Windmill starts spinning. The 
Teletubbies watch some children learn about the number 10. Inside the 
House, Tinky Winky, Dipsy and Laa-Laa sit on their seats. Po arrives on her 
scooter. She bumps into the slide and the walls until she falls off. Po 
sits down on the slide and the other Teletubbies stand up and sit down too. 
They all do it again and again and laughing at the noises they make. The 
magical event with The Magic Tree also occurs. After it disappeared, the 
Magic Windmill stops spinning. The "Tubby Bye-Bye" sequence takes place. 
Featuring: The Children of Duncombe School, London</v>
      </c>
    </row>
    <row r="120">
      <c r="A120">
        <f>IFERROR(__xludf.DUMMYFUNCTION("""COMPUTED_VALUE"""),178.0)</f>
        <v>178</v>
      </c>
      <c r="B120" t="str">
        <f>IFERROR(__xludf.DUMMYFUNCTION("""COMPUTED_VALUE"""),"""Washing the Elephant""")</f>
        <v>"Washing the Elephant"</v>
      </c>
      <c r="C120" t="str">
        <f>IFERROR(__xludf.DUMMYFUNCTION("""COMPUTED_VALUE"""),"1 July 1998 (1998-07-01)")</f>
        <v>1 July 1998 (1998-07-01)</v>
      </c>
    </row>
    <row r="121">
      <c r="A121" t="str">
        <f>IFERROR(__xludf.DUMMYFUNCTION("""COMPUTED_VALUE"""),"The Teletubbies run indoors and then run out again to watch Andy Brown and 
Georgina wash a female elephant called Anna. Laa-Laa and Dipsy have a messy 
accident. They both tread in some Tubby Custard, so the Noo-Noo tidies up, 
again and again. All the T"&amp;"ubby Custard gets mixed up inside the Noo-Noo and 
he shoots all out onto the doors. 
Featuring: Andy Brown and Georgina Day")</f>
        <v>The Teletubbies run indoors and then run out again to watch Andy Brown and 
Georgina wash a female elephant called Anna. Laa-Laa and Dipsy have a messy 
accident. They both tread in some Tubby Custard, so the Noo-Noo tidies up, 
again and again. All the Tubby Custard gets mixed up inside the Noo-Noo and 
he shoots all out onto the doors. 
Featuring: Andy Brown and Georgina Day</v>
      </c>
    </row>
    <row r="122">
      <c r="A122">
        <f>IFERROR(__xludf.DUMMYFUNCTION("""COMPUTED_VALUE"""),179.0)</f>
        <v>179</v>
      </c>
      <c r="B122" t="str">
        <f>IFERROR(__xludf.DUMMYFUNCTION("""COMPUTED_VALUE"""),"""Windmill""")</f>
        <v>"Windmill"</v>
      </c>
      <c r="C122" t="str">
        <f>IFERROR(__xludf.DUMMYFUNCTION("""COMPUTED_VALUE"""),"2 July 1998 (1998-07-02)")</f>
        <v>2 July 1998 (1998-07-02)</v>
      </c>
    </row>
    <row r="123">
      <c r="A123" t="str">
        <f>IFERROR(__xludf.DUMMYFUNCTION("""COMPUTED_VALUE"""),"The Teletubbies take turns to stand on a hill, in front of the house, next 
to a tree and under a cloud. But each time they stand under the cloud it 
begins to rain. Gregory and Matthew show the Teletubbies their windmill. 
The Teletubbies do the Round an"&amp;"d Round Dance before Tubby Bye-Bye. 
Featuring: Matthew and Gregory Dobson")</f>
        <v>The Teletubbies take turns to stand on a hill, in front of the house, next 
to a tree and under a cloud. But each time they stand under the cloud it 
begins to rain. Gregory and Matthew show the Teletubbies their windmill. 
The Teletubbies do the Round and Round Dance before Tubby Bye-Bye. 
Featuring: Matthew and Gregory Dobson</v>
      </c>
    </row>
    <row r="124">
      <c r="A124">
        <f>IFERROR(__xludf.DUMMYFUNCTION("""COMPUTED_VALUE"""),180.0)</f>
        <v>180</v>
      </c>
      <c r="B124" t="str">
        <f>IFERROR(__xludf.DUMMYFUNCTION("""COMPUTED_VALUE"""),"""Putting Angus To Bed""")</f>
        <v>"Putting Angus To Bed"</v>
      </c>
      <c r="C124" t="str">
        <f>IFERROR(__xludf.DUMMYFUNCTION("""COMPUTED_VALUE"""),"3 July 1998 (1998-07-03)")</f>
        <v>3 July 1998 (1998-07-03)</v>
      </c>
    </row>
    <row r="125">
      <c r="A125" t="str">
        <f>IFERROR(__xludf.DUMMYFUNCTION("""COMPUTED_VALUE"""),"The Teletubbies watch James help his mummy put his baby brother Angus to 
bed. In Teletubbyland, Dipsy is asleep, so the other Teletubbies are being 
quiet. They find it difficult to be quiet and not wake Dipsy up, however. 
The Magic Windmill stops spinn"&amp;"ing as the Tubby Bye-Bye takes place. 
Featuring: James and Angus Carnie")</f>
        <v>The Teletubbies watch James help his mummy put his baby brother Angus to 
bed. In Teletubbyland, Dipsy is asleep, so the other Teletubbies are being 
quiet. They find it difficult to be quiet and not wake Dipsy up, however. 
The Magic Windmill stops spinning as the Tubby Bye-Bye takes place. 
Featuring: James and Angus Carnie</v>
      </c>
    </row>
    <row r="126">
      <c r="A126">
        <f>IFERROR(__xludf.DUMMYFUNCTION("""COMPUTED_VALUE"""),181.0)</f>
        <v>181</v>
      </c>
      <c r="B126" t="str">
        <f>IFERROR(__xludf.DUMMYFUNCTION("""COMPUTED_VALUE"""),"""Hair Braiding""")</f>
        <v>"Hair Braiding"</v>
      </c>
      <c r="C126" t="str">
        <f>IFERROR(__xludf.DUMMYFUNCTION("""COMPUTED_VALUE"""),"6 July 1998 (1998-07-06)")</f>
        <v>6 July 1998 (1998-07-06)</v>
      </c>
    </row>
    <row r="127">
      <c r="A127" t="str">
        <f>IFERROR(__xludf.DUMMYFUNCTION("""COMPUTED_VALUE"""),"Laa-Laa and Po hug and the Teletubbies all watch a young girl having her 
hair braided. Tinky Winky can't get to sleep, so Dipsy helps him by singing 
him a lullaby. That made Tinky-Winky, along with Laa Laa and Po, go to 
sleep. Clever Dipsy. After all t"&amp;"hat singing, Dipsy was feeling tired. So he 
went to sleep before Tubby Bye-Bye. 
Featuring: Pamela and Reianna Nembhand")</f>
        <v>Laa-Laa and Po hug and the Teletubbies all watch a young girl having her 
hair braided. Tinky Winky can't get to sleep, so Dipsy helps him by singing 
him a lullaby. That made Tinky-Winky, along with Laa Laa and Po, go to 
sleep. Clever Dipsy. After all that singing, Dipsy was feeling tired. So he 
went to sleep before Tubby Bye-Bye. 
Featuring: Pamela and Reianna Nembhand</v>
      </c>
    </row>
    <row r="128">
      <c r="A128">
        <f>IFERROR(__xludf.DUMMYFUNCTION("""COMPUTED_VALUE"""),182.0)</f>
        <v>182</v>
      </c>
      <c r="B128" t="str">
        <f>IFERROR(__xludf.DUMMYFUNCTION("""COMPUTED_VALUE"""),"""Kittens""")</f>
        <v>"Kittens"</v>
      </c>
      <c r="C128" t="str">
        <f>IFERROR(__xludf.DUMMYFUNCTION("""COMPUTED_VALUE"""),"7 July 1998 (1998-07-07)")</f>
        <v>7 July 1998 (1998-07-07)</v>
      </c>
    </row>
    <row r="129">
      <c r="A129" t="str">
        <f>IFERROR(__xludf.DUMMYFUNCTION("""COMPUTED_VALUE"""),"Outside the Teletubbies Home Hill a voice trumpet makes a MEOW noise like a 
Kitten Then the Teletubbies watch Matthew, James and Mark play with their 
new kittens. Inside the Teletubbies' Home Hill a voice trumpet gives a 
message for the Teletubbies and"&amp;" fell asleep and the Teletubbies wake up and 
the Magic Windmill start spinning and they rush outside to watch The Animal 
Parade and the Magic Windmill stops spinning. 
Featuring: Matthew, James and Mark Carnie")</f>
        <v>Outside the Teletubbies Home Hill a voice trumpet makes a MEOW noise like a 
Kitten Then the Teletubbies watch Matthew, James and Mark play with their 
new kittens. Inside the Teletubbies' Home Hill a voice trumpet gives a 
message for the Teletubbies and fell asleep and the Teletubbies wake up and 
the Magic Windmill start spinning and they rush outside to watch The Animal 
Parade and the Magic Windmill stops spinning. 
Featuring: Matthew, James and Mark Carnie</v>
      </c>
    </row>
    <row r="130">
      <c r="A130">
        <f>IFERROR(__xludf.DUMMYFUNCTION("""COMPUTED_VALUE"""),183.0)</f>
        <v>183</v>
      </c>
      <c r="B130" t="str">
        <f>IFERROR(__xludf.DUMMYFUNCTION("""COMPUTED_VALUE"""),"""Funny Walks""")</f>
        <v>"Funny Walks"</v>
      </c>
      <c r="C130" t="str">
        <f>IFERROR(__xludf.DUMMYFUNCTION("""COMPUTED_VALUE"""),"8 July 1998 (1998-07-08)")</f>
        <v>8 July 1998 (1998-07-08)</v>
      </c>
    </row>
    <row r="131">
      <c r="A131" t="str">
        <f>IFERROR(__xludf.DUMMYFUNCTION("""COMPUTED_VALUE"""),"Tinky Winky is asleep, Dipsy is making some adjustments and Laa Laa is 
eating Tubby Toast, and Po runs and jumps around the House in some very 
unusual ways and none of the Teletubbies can work out what Po is doing, 
then they decide to act like Po and r"&amp;"un around the House in these funny 
ways. Then the Windmill spins and they all watch some children doing funny 
walks. Then, the Teletubbies do funny walks of their own. Then the Magic 
Windmill stops spinning and it is time for Tubby Bye-Bye. 
Featuring:"&amp;" The Children of Academic Day Care, New Jersey")</f>
        <v>Tinky Winky is asleep, Dipsy is making some adjustments and Laa Laa is 
eating Tubby Toast, and Po runs and jumps around the House in some very 
unusual ways and none of the Teletubbies can work out what Po is doing, 
then they decide to act like Po and run around the House in these funny 
ways. Then the Windmill spins and they all watch some children doing funny 
walks. Then, the Teletubbies do funny walks of their own. Then the Magic 
Windmill stops spinning and it is time for Tubby Bye-Bye. 
Featuring: The Children of Academic Day Care, New Jersey</v>
      </c>
    </row>
    <row r="132">
      <c r="A132">
        <f>IFERROR(__xludf.DUMMYFUNCTION("""COMPUTED_VALUE"""),184.0)</f>
        <v>184</v>
      </c>
      <c r="B132" t="str">
        <f>IFERROR(__xludf.DUMMYFUNCTION("""COMPUTED_VALUE"""),"""Jigsaw – Rabbits""")</f>
        <v>"Jigsaw – Rabbits"</v>
      </c>
      <c r="C132" t="str">
        <f>IFERROR(__xludf.DUMMYFUNCTION("""COMPUTED_VALUE"""),"9 July 1998 (1998-07-09)")</f>
        <v>9 July 1998 (1998-07-09)</v>
      </c>
    </row>
    <row r="133">
      <c r="A133" t="str">
        <f>IFERROR(__xludf.DUMMYFUNCTION("""COMPUTED_VALUE"""),"In Teletubbyland, Dipsy, Laa Laa and Po were finding Tinky Winky. After 
they found him, the Magic Windmill starts spinning and the Teletubbies run 
off to watch some children building a jigsaw rabbit puzzle before Tubby Bye 
Bye. 
Featuring: Aaron Ellis,"&amp;" Danielle Miller and Sally Sadler")</f>
        <v>In Teletubbyland, Dipsy, Laa Laa and Po were finding Tinky Winky. After 
they found him, the Magic Windmill starts spinning and the Teletubbies run 
off to watch some children building a jigsaw rabbit puzzle before Tubby Bye 
Bye. 
Featuring: Aaron Ellis, Danielle Miller and Sally Sadler</v>
      </c>
    </row>
    <row r="134">
      <c r="A134">
        <f>IFERROR(__xludf.DUMMYFUNCTION("""COMPUTED_VALUE"""),185.0)</f>
        <v>185</v>
      </c>
      <c r="B134" t="str">
        <f>IFERROR(__xludf.DUMMYFUNCTION("""COMPUTED_VALUE"""),"""My Violin""")</f>
        <v>"My Violin"</v>
      </c>
      <c r="C134" t="str">
        <f>IFERROR(__xludf.DUMMYFUNCTION("""COMPUTED_VALUE"""),"10 July 1998 (1998-07-10)")</f>
        <v>10 July 1998 (1998-07-10)</v>
      </c>
    </row>
    <row r="135">
      <c r="A135" t="str">
        <f>IFERROR(__xludf.DUMMYFUNCTION("""COMPUTED_VALUE"""),"Po rides her Scooter into the House. The Teletubbies listen to Bryony play 
Twinkle, Twinkle, Little Star on the violin. The Teletubbies listen to a 
voice trumpet play Twinkle, Twinkle, Little Star on the violin and the 
Tuba, but Noo Noo is being too no"&amp;"isy. When the voice trumpet stops playing 
the lovely music, Noo Noo starts making his own music by sucking and 
slurping the same tune. Then the Magic Windmill stops spinning and it was 
time for Tubby Bye-Bye. 
Featuring: Bryony Kay")</f>
        <v>Po rides her Scooter into the House. The Teletubbies listen to Bryony play 
Twinkle, Twinkle, Little Star on the violin. The Teletubbies listen to a 
voice trumpet play Twinkle, Twinkle, Little Star on the violin and the 
Tuba, but Noo Noo is being too noisy. When the voice trumpet stops playing 
the lovely music, Noo Noo starts making his own music by sucking and 
slurping the same tune. Then the Magic Windmill stops spinning and it was 
time for Tubby Bye-Bye. 
Featuring: Bryony Kay</v>
      </c>
    </row>
    <row r="136">
      <c r="A136">
        <f>IFERROR(__xludf.DUMMYFUNCTION("""COMPUTED_VALUE"""),186.0)</f>
        <v>186</v>
      </c>
      <c r="B136" t="str">
        <f>IFERROR(__xludf.DUMMYFUNCTION("""COMPUTED_VALUE"""),"""Boys and Eggs""")</f>
        <v>"Boys and Eggs"</v>
      </c>
      <c r="C136" t="str">
        <f>IFERROR(__xludf.DUMMYFUNCTION("""COMPUTED_VALUE"""),"13 July 1998 (1998-07-13)")</f>
        <v>13 July 1998 (1998-07-13)</v>
      </c>
    </row>
    <row r="137">
      <c r="A137" t="str">
        <f>IFERROR(__xludf.DUMMYFUNCTION("""COMPUTED_VALUE"""),"In Teletubbyland, Dipsy was out for a walk, when he saw Tinky Winky, he saw 
Dipsy, reminding him to watch out for a wind, when Dipsy arrives at the 
trees (same trees from The Lion and Bear) he suddenly notices the wind, so 
it blew Dipsy's hat into the "&amp;"air. And Tinky Winky noticed that Dipsy's Hat 
is on the air, so Tinky Winky reminds Dipsy to catch his hat before the 
wind blows it somewhere else in Teletubbyland, so Dipsy goes try to catch 
his hat before it blows away. Meanwhile, Laa Laa and Po were"&amp;" having Tubby 
Toast inside the house. Suddenly, they heard the wind, the wind blew 
Dipsy's hat in front of the house, then goes in the hole, it takes it down 
the slide. Then, Po got Dipsy's hat. Suddenly, the Noo Noo manages to tidy 
up Dipsy's hat. Na"&amp;"ughty Noo Noo! Laa Laa and Po chase him around the house. 
Then, the Noo Noo untidies Dipsy's Hat, and Dipsy's Hat goes up the slide. 
It manages to return to Dipsy, first it goes out of the hole on the Home 
Hill. Dipsy was worried about his hat, and jus"&amp;"t then, Dipsy's hat is back 
on Dipsy. And then the Magic Windmill spins so Laa Laa and Po runs out and 
Dipsy walks to join the other Teletubbies and he suddenly noticed his hat 
is left behind on the path. Then the Teletubbies watch Matthew, James and 
"&amp;"Mark collect eggs before the Sun Baby giggles for Tubby Bye-Bye. 
Featuring: Matthew, James and Mark Carnie")</f>
        <v>In Teletubbyland, Dipsy was out for a walk, when he saw Tinky Winky, he saw 
Dipsy, reminding him to watch out for a wind, when Dipsy arrives at the 
trees (same trees from The Lion and Bear) he suddenly notices the wind, so 
it blew Dipsy's hat into the air. And Tinky Winky noticed that Dipsy's Hat 
is on the air, so Tinky Winky reminds Dipsy to catch his hat before the 
wind blows it somewhere else in Teletubbyland, so Dipsy goes try to catch 
his hat before it blows away. Meanwhile, Laa Laa and Po were having Tubby 
Toast inside the house. Suddenly, they heard the wind, the wind blew 
Dipsy's hat in front of the house, then goes in the hole, it takes it down 
the slide. Then, Po got Dipsy's hat. Suddenly, the Noo Noo manages to tidy 
up Dipsy's hat. Naughty Noo Noo! Laa Laa and Po chase him around the house. 
Then, the Noo Noo untidies Dipsy's Hat, and Dipsy's Hat goes up the slide. 
It manages to return to Dipsy, first it goes out of the hole on the Home 
Hill. Dipsy was worried about his hat, and just then, Dipsy's hat is back 
on Dipsy. And then the Magic Windmill spins so Laa Laa and Po runs out and 
Dipsy walks to join the other Teletubbies and he suddenly noticed his hat 
is left behind on the path. Then the Teletubbies watch Matthew, James and 
Mark collect eggs before the Sun Baby giggles for Tubby Bye-Bye. 
Featuring: Matthew, James and Mark Carnie</v>
      </c>
    </row>
    <row r="138">
      <c r="A138">
        <f>IFERROR(__xludf.DUMMYFUNCTION("""COMPUTED_VALUE"""),187.0)</f>
        <v>187</v>
      </c>
      <c r="B138" t="str">
        <f>IFERROR(__xludf.DUMMYFUNCTION("""COMPUTED_VALUE"""),"""Hovercraft""")</f>
        <v>"Hovercraft"</v>
      </c>
      <c r="C138" t="str">
        <f>IFERROR(__xludf.DUMMYFUNCTION("""COMPUTED_VALUE"""),"14 July 1998 (1998-07-14)")</f>
        <v>14 July 1998 (1998-07-14)</v>
      </c>
    </row>
    <row r="139">
      <c r="A139" t="str">
        <f>IFERROR(__xludf.DUMMYFUNCTION("""COMPUTED_VALUE"""),"The Teletubbies pop up from some hills, then they watch two children travel 
on a hovercraft. The Teletubbies wake up after a little sleep and they make 
their beds up, but Po drops her blanket, The Noo-Noo tidies it up and the 
Teletubbies chase him arou"&amp;"nd the house, the Teletubbies love the Noo-Noo 
very much. The Magic Windmill starts spinning and the Teletubbies watch The 
Three Ships before the Magic Windmill stops spinning and it is time for 
Tubby Bye-Bye. 
Featuring: Zack Adams, Traci &amp; Hannah Car"&amp;"roll and Monique Gordon")</f>
        <v>The Teletubbies pop up from some hills, then they watch two children travel 
on a hovercraft. The Teletubbies wake up after a little sleep and they make 
their beds up, but Po drops her blanket, The Noo-Noo tidies it up and the 
Teletubbies chase him around the house, the Teletubbies love the Noo-Noo 
very much. The Magic Windmill starts spinning and the Teletubbies watch The 
Three Ships before the Magic Windmill stops spinning and it is time for 
Tubby Bye-Bye. 
Featuring: Zack Adams, Traci &amp; Hannah Carroll and Monique Gordon</v>
      </c>
    </row>
    <row r="140">
      <c r="A140">
        <f>IFERROR(__xludf.DUMMYFUNCTION("""COMPUTED_VALUE"""),188.0)</f>
        <v>188</v>
      </c>
      <c r="B140" t="str">
        <f>IFERROR(__xludf.DUMMYFUNCTION("""COMPUTED_VALUE"""),"""Robin""")</f>
        <v>"Robin"</v>
      </c>
      <c r="C140" t="str">
        <f>IFERROR(__xludf.DUMMYFUNCTION("""COMPUTED_VALUE"""),"15 July 1998 (1998-07-15)")</f>
        <v>15 July 1998 (1998-07-15)</v>
      </c>
    </row>
    <row r="141">
      <c r="A141" t="str">
        <f>IFERROR(__xludf.DUMMYFUNCTION("""COMPUTED_VALUE"""),"The Teletubbies run and Po says 'boo' before the Magic Windmill spins and 
the Teletubbies watch Andy Brown and two children watch a robin in the 
garden. The Teletubbies are ""Calling Out!"" to each other. 
Featuring: Andy Brown with Emily and Jack Baker")</f>
        <v>The Teletubbies run and Po says 'boo' before the Magic Windmill spins and 
the Teletubbies watch Andy Brown and two children watch a robin in the 
garden. The Teletubbies are "Calling Out!" to each other. 
Featuring: Andy Brown with Emily and Jack Baker</v>
      </c>
    </row>
    <row r="142">
      <c r="A142">
        <f>IFERROR(__xludf.DUMMYFUNCTION("""COMPUTED_VALUE"""),189.0)</f>
        <v>189</v>
      </c>
      <c r="B142" t="str">
        <f>IFERROR(__xludf.DUMMYFUNCTION("""COMPUTED_VALUE"""),"""Feeding My Baby Sister""")</f>
        <v>"Feeding My Baby Sister"</v>
      </c>
      <c r="C142" t="str">
        <f>IFERROR(__xludf.DUMMYFUNCTION("""COMPUTED_VALUE"""),"16 July 1998 (1998-07-16)")</f>
        <v>16 July 1998 (1998-07-16)</v>
      </c>
    </row>
    <row r="143">
      <c r="A143" t="str">
        <f>IFERROR(__xludf.DUMMYFUNCTION("""COMPUTED_VALUE"""),"Dipsy enters the house and made Tubby custard but the Magic Windmill spins 
and the Teletubbies watch a little girl help feed her baby sister. Po makes 
some Tubby Custard for Dipsy. The Magic Windmill stops spinning and it's 
time for Tubby Bye Bye. 
Fea"&amp;"turing: Tamsin and Georgina George")</f>
        <v>Dipsy enters the house and made Tubby custard but the Magic Windmill spins 
and the Teletubbies watch a little girl help feed her baby sister. Po makes 
some Tubby Custard for Dipsy. The Magic Windmill stops spinning and it's 
time for Tubby Bye Bye. 
Featuring: Tamsin and Georgina George</v>
      </c>
    </row>
    <row r="144">
      <c r="A144">
        <f>IFERROR(__xludf.DUMMYFUNCTION("""COMPUTED_VALUE"""),190.0)</f>
        <v>190</v>
      </c>
      <c r="B144" t="str">
        <f>IFERROR(__xludf.DUMMYFUNCTION("""COMPUTED_VALUE"""),"""Long Horns""")</f>
        <v>"Long Horns"</v>
      </c>
      <c r="C144" t="str">
        <f>IFERROR(__xludf.DUMMYFUNCTION("""COMPUTED_VALUE"""),"17 July 1998 (1998-07-17)")</f>
        <v>17 July 1998 (1998-07-17)</v>
      </c>
    </row>
    <row r="145">
      <c r="A145" t="str">
        <f>IFERROR(__xludf.DUMMYFUNCTION("""COMPUTED_VALUE"""),"Inside the Home Hill, Laa-Laa makes some adjustments on the control panel. 
Suddenly, the Magic Windmill spins. The Teletubbies watch Sam and his mum 
visit a Temple to hear the horns. Annie is teaching Sam how to play the 
horn. They have fun blowing it "&amp;"and making noises and Sam shows how the horn 
closes. Then, in Teletubbyland, the Teletubbies go to the path to do the 
Jumping Dance by the Windmill. Then the Windmill starts to spin. The 
Teletubbies run down the path to watch the Magical Event of the L"&amp;"ion and 
Bear . The Sun Baby Giggles and The ""Tubby Bye-Bye"" sequence takes place 
and the Baby Sun sets. 
Featuring: Samye Adgo")</f>
        <v>Inside the Home Hill, Laa-Laa makes some adjustments on the control panel. 
Suddenly, the Magic Windmill spins. The Teletubbies watch Sam and his mum 
visit a Temple to hear the horns. Annie is teaching Sam how to play the 
horn. They have fun blowing it and making noises and Sam shows how the horn 
closes. Then, in Teletubbyland, the Teletubbies go to the path to do the 
Jumping Dance by the Windmill. Then the Windmill starts to spin. The 
Teletubbies run down the path to watch the Magical Event of the Lion and 
Bear . The Sun Baby Giggles and The "Tubby Bye-Bye" sequence takes place 
and the Baby Sun sets. 
Featuring: Samye Adgo</v>
      </c>
    </row>
    <row r="146">
      <c r="A146">
        <f>IFERROR(__xludf.DUMMYFUNCTION("""COMPUTED_VALUE"""),191.0)</f>
        <v>191</v>
      </c>
      <c r="B146" t="str">
        <f>IFERROR(__xludf.DUMMYFUNCTION("""COMPUTED_VALUE"""),"""Colours – Purple""")</f>
        <v>"Colours – Purple"</v>
      </c>
      <c r="C146" t="str">
        <f>IFERROR(__xludf.DUMMYFUNCTION("""COMPUTED_VALUE"""),"31 August 1998 (1998-08-31)")</f>
        <v>31 August 1998 (1998-08-31)</v>
      </c>
    </row>
    <row r="147">
      <c r="A147" t="str">
        <f>IFERROR(__xludf.DUMMYFUNCTION("""COMPUTED_VALUE"""),"Po listen to a voice trumpet say 'Purple' and she sees a purple cloud. The 
Teletubbbies watch children learn about the colour purple. A purple flower 
appears from far away in Teletubbyland. Laa-Laa and Dipsy don't like the 
smell of it but Tinky-Winky d"&amp;"oes. 
Featuring: The Children of Oxhey Infants School, Watford")</f>
        <v>Po listen to a voice trumpet say 'Purple' and she sees a purple cloud. The 
Teletubbbies watch children learn about the colour purple. A purple flower 
appears from far away in Teletubbyland. Laa-Laa and Dipsy don't like the 
smell of it but Tinky-Winky does. 
Featuring: The Children of Oxhey Infants School, Watford</v>
      </c>
    </row>
    <row r="148">
      <c r="A148">
        <f>IFERROR(__xludf.DUMMYFUNCTION("""COMPUTED_VALUE"""),192.0)</f>
        <v>192</v>
      </c>
      <c r="B148" t="str">
        <f>IFERROR(__xludf.DUMMYFUNCTION("""COMPUTED_VALUE"""),"""Ballet – Jack In The Box""")</f>
        <v>"Ballet – Jack In The Box"</v>
      </c>
      <c r="C148" t="str">
        <f>IFERROR(__xludf.DUMMYFUNCTION("""COMPUTED_VALUE"""),"1 September 1998 (1998-09-01)")</f>
        <v>1 September 1998 (1998-09-01)</v>
      </c>
    </row>
    <row r="149">
      <c r="A149" t="str">
        <f>IFERROR(__xludf.DUMMYFUNCTION("""COMPUTED_VALUE"""),"The Teletubbies are sitting at the table and saying; 'Eh-oh!' then a Voice 
trumpet rises and the Teletubbies bounce up and down on their seats to some 
piano music until the Magic Windmill spins and the Teletubbies watch some 
children perform a Jack in "&amp;"the Box dance, then a pair of curtains appears. 
Dipsy and Laa-Laa have great fun as the curtains open and close. 
Featuring: The Children of The Heidi Rhodes School of Dance")</f>
        <v>The Teletubbies are sitting at the table and saying; 'Eh-oh!' then a Voice 
trumpet rises and the Teletubbies bounce up and down on their seats to some 
piano music until the Magic Windmill spins and the Teletubbies watch some 
children perform a Jack in the Box dance, then a pair of curtains appears. 
Dipsy and Laa-Laa have great fun as the curtains open and close. 
Featuring: The Children of The Heidi Rhodes School of Dance</v>
      </c>
    </row>
    <row r="150">
      <c r="A150">
        <f>IFERROR(__xludf.DUMMYFUNCTION("""COMPUTED_VALUE"""),193.0)</f>
        <v>193</v>
      </c>
      <c r="B150" t="str">
        <f>IFERROR(__xludf.DUMMYFUNCTION("""COMPUTED_VALUE"""),"""Spiders""")</f>
        <v>"Spiders"</v>
      </c>
      <c r="C150" t="str">
        <f>IFERROR(__xludf.DUMMYFUNCTION("""COMPUTED_VALUE"""),"2 September 1998 (1998-09-02)")</f>
        <v>2 September 1998 (1998-09-02)</v>
      </c>
    </row>
    <row r="151">
      <c r="A151" t="str">
        <f>IFERROR(__xludf.DUMMYFUNCTION("""COMPUTED_VALUE"""),"The Teletubbies go to sleep in the Superdome then the Magic windmill 
started to spin and wakes them up. The Teletubbies watch Georgina and Andy 
look at a Spider in the Garden. Then in the Superdome Tinky Winky hears two 
Voice Trumpets say the nursery r"&amp;"hyme called Incy Wincy Spider. The Windmill 
starts spinning and the Animal Parade marches through Teletubbyland. The 
Teletubbies do a Calypso Dance before Tubby Bye Bye. 
Featuring: Andy Brown with Georgina Day")</f>
        <v>The Teletubbies go to sleep in the Superdome then the Magic windmill 
started to spin and wakes them up. The Teletubbies watch Georgina and Andy 
look at a Spider in the Garden. Then in the Superdome Tinky Winky hears two 
Voice Trumpets say the nursery rhyme called Incy Wincy Spider. The Windmill 
starts spinning and the Animal Parade marches through Teletubbyland. The 
Teletubbies do a Calypso Dance before Tubby Bye Bye. 
Featuring: Andy Brown with Georgina Day</v>
      </c>
    </row>
    <row r="152">
      <c r="A152">
        <f>IFERROR(__xludf.DUMMYFUNCTION("""COMPUTED_VALUE"""),194.0)</f>
        <v>194</v>
      </c>
      <c r="B152" t="str">
        <f>IFERROR(__xludf.DUMMYFUNCTION("""COMPUTED_VALUE"""),"""Blackberry Picking""")</f>
        <v>"Blackberry Picking"</v>
      </c>
      <c r="C152" t="str">
        <f>IFERROR(__xludf.DUMMYFUNCTION("""COMPUTED_VALUE"""),"2 September 1998 (1998-09-02)")</f>
        <v>2 September 1998 (1998-09-02)</v>
      </c>
    </row>
    <row r="153">
      <c r="A153" t="str">
        <f>IFERROR(__xludf.DUMMYFUNCTION("""COMPUTED_VALUE"""),"Po loves jumping. She jumps inside Home Hill. Then the magic windmill spins 
and she jumps off to watch some children go blackberry picking. Tinky 
Winky, Dipsy and Po play a hiding game while Laa-Laa is playing with her 
Ball. Then she found Tinky-Winky,"&amp;" Dipsy and Po by the bushes and say eh-oh 
to them until Po says eh-oh to Laa-Laa. Then they run for Laa-Laa by giving 
her a big hug until the magic windmill starts spinning and they run off to 
see the magic house, after that they do the tip toe dance b"&amp;"efore Tubby 
Bye-Bye. 
Featuring: Christabel &amp; Rose Cant, Beth Day and Harry &amp; Jack Jones")</f>
        <v>Po loves jumping. She jumps inside Home Hill. Then the magic windmill spins 
and she jumps off to watch some children go blackberry picking. Tinky 
Winky, Dipsy and Po play a hiding game while Laa-Laa is playing with her 
Ball. Then she found Tinky-Winky, Dipsy and Po by the bushes and say eh-oh 
to them until Po says eh-oh to Laa-Laa. Then they run for Laa-Laa by giving 
her a big hug until the magic windmill starts spinning and they run off to 
see the magic house, after that they do the tip toe dance before Tubby 
Bye-Bye. 
Featuring: Christabel &amp; Rose Cant, Beth Day and Harry &amp; Jack Jones</v>
      </c>
    </row>
    <row r="154">
      <c r="A154">
        <f>IFERROR(__xludf.DUMMYFUNCTION("""COMPUTED_VALUE"""),195.0)</f>
        <v>195</v>
      </c>
      <c r="B154" t="str">
        <f>IFERROR(__xludf.DUMMYFUNCTION("""COMPUTED_VALUE"""),"""Fancy Dress""")</f>
        <v>"Fancy Dress"</v>
      </c>
      <c r="C154" t="str">
        <f>IFERROR(__xludf.DUMMYFUNCTION("""COMPUTED_VALUE"""),"4 September 1998 (1998-09-04)")</f>
        <v>4 September 1998 (1998-09-04)</v>
      </c>
    </row>
    <row r="155">
      <c r="A155" t="str">
        <f>IFERROR(__xludf.DUMMYFUNCTION("""COMPUTED_VALUE"""),"Laa-Laa and Dipsy hug and run off to watch some children making some fancy 
dress clothes. A crown appears in Teletubbyland and when Tinky-Winky wears 
the crown he becomes King Tinky-Winky. He walks around Teletubbyland 
pretending to be king. 
Featuring"&amp;": Augustus Betz, Leia Kennedy, Duncan MacKinnon and Claire Sheil")</f>
        <v>Laa-Laa and Dipsy hug and run off to watch some children making some fancy 
dress clothes. A crown appears in Teletubbyland and when Tinky-Winky wears 
the crown he becomes King Tinky-Winky. He walks around Teletubbyland 
pretending to be king. 
Featuring: Augustus Betz, Leia Kennedy, Duncan MacKinnon and Claire Sheil</v>
      </c>
    </row>
    <row r="156">
      <c r="A156">
        <f>IFERROR(__xludf.DUMMYFUNCTION("""COMPUTED_VALUE"""),196.0)</f>
        <v>196</v>
      </c>
      <c r="B156" t="str">
        <f>IFERROR(__xludf.DUMMYFUNCTION("""COMPUTED_VALUE"""),"""Numbers – 5 (version 3)""")</f>
        <v>"Numbers – 5 (version 3)"</v>
      </c>
      <c r="C156" t="str">
        <f>IFERROR(__xludf.DUMMYFUNCTION("""COMPUTED_VALUE"""),"7 September 1998 (1998-09-07)")</f>
        <v>7 September 1998 (1998-09-07)</v>
      </c>
    </row>
    <row r="157">
      <c r="A157" t="str">
        <f>IFERROR(__xludf.DUMMYFUNCTION("""COMPUTED_VALUE"""),"A voice trumpet rises and counts five. Tinky Winky jumps five times and 
then runs off to watch some children learn about the number five. Five 
voice trumpets rise and play some lovely music for the Teletubbies. 
Featuring: The Children at Treasure Islan"&amp;"d School, Florida")</f>
        <v>A voice trumpet rises and counts five. Tinky Winky jumps five times and 
then runs off to watch some children learn about the number five. Five 
voice trumpets rise and play some lovely music for the Teletubbies. 
Featuring: The Children at Treasure Island School, Florida</v>
      </c>
    </row>
    <row r="158">
      <c r="A158">
        <f>IFERROR(__xludf.DUMMYFUNCTION("""COMPUTED_VALUE"""),197.0)</f>
        <v>197</v>
      </c>
      <c r="B158" t="str">
        <f>IFERROR(__xludf.DUMMYFUNCTION("""COMPUTED_VALUE"""),"""Rebecca's Dogs""")</f>
        <v>"Rebecca's Dogs"</v>
      </c>
      <c r="C158" t="str">
        <f>IFERROR(__xludf.DUMMYFUNCTION("""COMPUTED_VALUE"""),"8 September 1998 (1998-09-08)")</f>
        <v>8 September 1998 (1998-09-08)</v>
      </c>
    </row>
    <row r="159">
      <c r="A159" t="str">
        <f>IFERROR(__xludf.DUMMYFUNCTION("""COMPUTED_VALUE"""),"The Teletubbies run out the back door saying hello to the audience. Just as 
they stand outside, the Windmill starts spinning and they run off to watch 
a girl called Rebecca, who shows us her dogs doing some tricks. A swing 
appears in Teletubbyland and "&amp;"Laa-Laa plays on the swing. Po has a go but 
she keeps falling off. So Laa-Laa shows Po how to play. 
Featuring: Rebecca Winfield")</f>
        <v>The Teletubbies run out the back door saying hello to the audience. Just as 
they stand outside, the Windmill starts spinning and they run off to watch 
a girl called Rebecca, who shows us her dogs doing some tricks. A swing 
appears in Teletubbyland and Laa-Laa plays on the swing. Po has a go but 
she keeps falling off. So Laa-Laa shows Po how to play. 
Featuring: Rebecca Winfield</v>
      </c>
    </row>
    <row r="160">
      <c r="A160">
        <f>IFERROR(__xludf.DUMMYFUNCTION("""COMPUTED_VALUE"""),198.0)</f>
        <v>198</v>
      </c>
      <c r="B160" t="str">
        <f>IFERROR(__xludf.DUMMYFUNCTION("""COMPUTED_VALUE"""),"""Clogs""")</f>
        <v>"Clogs"</v>
      </c>
      <c r="C160" t="str">
        <f>IFERROR(__xludf.DUMMYFUNCTION("""COMPUTED_VALUE"""),"9 September 1998 (1998-09-09)")</f>
        <v>9 September 1998 (1998-09-09)</v>
      </c>
    </row>
    <row r="161">
      <c r="A161" t="str">
        <f>IFERROR(__xludf.DUMMYFUNCTION("""COMPUTED_VALUE"""),"A Voice Trumpet rises, and Tinky Winky plays a there-and-back game on the 
path. Some children watch clogs being made. Laa-Laa goes for a walk, but 
outside it is raining. She goes inside and chases the Noo Noo then catches 
the other Teletubbies to watch"&amp;" The Tap Dancing Teddy Bear inside the 
carousel, the Magic Windmill stops spinning and it is time for Tubby Bye 
Bye. 
Featuring: Gordon Rush, Paige &amp; Devon Gibson, Rosaleen Howorth and Jake 
Rigby")</f>
        <v>A Voice Trumpet rises, and Tinky Winky plays a there-and-back game on the 
path. Some children watch clogs being made. Laa-Laa goes for a walk, but 
outside it is raining. She goes inside and chases the Noo Noo then catches 
the other Teletubbies to watch The Tap Dancing Teddy Bear inside the 
carousel, the Magic Windmill stops spinning and it is time for Tubby Bye 
Bye. 
Featuring: Gordon Rush, Paige &amp; Devon Gibson, Rosaleen Howorth and Jake 
Rigby</v>
      </c>
    </row>
    <row r="162">
      <c r="A162">
        <f>IFERROR(__xludf.DUMMYFUNCTION("""COMPUTED_VALUE"""),199.0)</f>
        <v>199</v>
      </c>
      <c r="B162" t="str">
        <f>IFERROR(__xludf.DUMMYFUNCTION("""COMPUTED_VALUE"""),"""Cuddles Gets Lost""")</f>
        <v>"Cuddles Gets Lost"</v>
      </c>
      <c r="C162" t="str">
        <f>IFERROR(__xludf.DUMMYFUNCTION("""COMPUTED_VALUE"""),"10 September 1998 (1998-09-10)")</f>
        <v>10 September 1998 (1998-09-10)</v>
      </c>
    </row>
    <row r="163">
      <c r="A163" t="str">
        <f>IFERROR(__xludf.DUMMYFUNCTION("""COMPUTED_VALUE"""),"Laa Laa fetches the others to watch Brian Cant tell some children a story 
about a teddy bear called Cuddles. Laa Laa is playing with her ball then 
Tinky Winky and Dipsy are walking together and Po appears. They all 
wondered where Laa Laa was. and they "&amp;"found her and all the Teletubbies had 
a big hug. 
Featuring: Brian Cant, Aneesha Pomerenke, Sam Whitworth and Rachel Yip")</f>
        <v>Laa Laa fetches the others to watch Brian Cant tell some children a story 
about a teddy bear called Cuddles. Laa Laa is playing with her ball then 
Tinky Winky and Dipsy are walking together and Po appears. They all 
wondered where Laa Laa was. and they found her and all the Teletubbies had 
a big hug. 
Featuring: Brian Cant, Aneesha Pomerenke, Sam Whitworth and Rachel Yip</v>
      </c>
    </row>
    <row r="164">
      <c r="A164">
        <f>IFERROR(__xludf.DUMMYFUNCTION("""COMPUTED_VALUE"""),200.0)</f>
        <v>200</v>
      </c>
      <c r="B164" t="str">
        <f>IFERROR(__xludf.DUMMYFUNCTION("""COMPUTED_VALUE"""),"""Squeezy Painting""")</f>
        <v>"Squeezy Painting"</v>
      </c>
      <c r="C164" t="str">
        <f>IFERROR(__xludf.DUMMYFUNCTION("""COMPUTED_VALUE"""),"11 September 1998 (1998-09-11)")</f>
        <v>11 September 1998 (1998-09-11)</v>
      </c>
    </row>
    <row r="165">
      <c r="A165" t="str">
        <f>IFERROR(__xludf.DUMMYFUNCTION("""COMPUTED_VALUE"""),"Inside the Home Hill, Po has to eat her Tubby Custard, but the Magic 
Windmill stops her and she watches some children painting in a garden. 
After that, Po and the other Teletubbies prepare for some Tubby Custard 
again. The Teletubbies also try to be ve"&amp;"ry careful not to spill their Tubby 
Custard, but if they do, the Noo-Noo will have to tidy up. The Teletubbies 
have a big hug before Tubby Bye Bye. 
Featuring: Louise Condon with Julien Jallane, Leia Kennedy and Bernadette 
Marron")</f>
        <v>Inside the Home Hill, Po has to eat her Tubby Custard, but the Magic 
Windmill stops her and she watches some children painting in a garden. 
After that, Po and the other Teletubbies prepare for some Tubby Custard 
again. The Teletubbies also try to be very careful not to spill their Tubby 
Custard, but if they do, the Noo-Noo will have to tidy up. The Teletubbies 
have a big hug before Tubby Bye Bye. 
Featuring: Louise Condon with Julien Jallane, Leia Kennedy and Bernadette 
Marron</v>
      </c>
    </row>
    <row r="166">
      <c r="A166">
        <f>IFERROR(__xludf.DUMMYFUNCTION("""COMPUTED_VALUE"""),201.0)</f>
        <v>201</v>
      </c>
      <c r="B166" t="str">
        <f>IFERROR(__xludf.DUMMYFUNCTION("""COMPUTED_VALUE"""),"""Woodlice""")</f>
        <v>"Woodlice"</v>
      </c>
      <c r="C166" t="str">
        <f>IFERROR(__xludf.DUMMYFUNCTION("""COMPUTED_VALUE"""),"14 September 1998 (1998-09-14)")</f>
        <v>14 September 1998 (1998-09-14)</v>
      </c>
    </row>
    <row r="167">
      <c r="A167" t="str">
        <f>IFERROR(__xludf.DUMMYFUNCTION("""COMPUTED_VALUE"""),"Tinky Winky and Po give each other a Big Hug before the Magic Windmill 
spins, and the Teletubbies watch Andy Brown and some children looking for 
creatures. They find some woodlice under a log. Tinky Winky, Dipsy and 
Laa-Laa go in, and out of the rounda"&amp;"bout with the Tubbytronic Superdome. 
The Teletubbies play an in and out and roundabout game. 
Featuring: Andy Brown with Emily and Jack Baker, Josh Reynolds and Jodie 
Wiltshire")</f>
        <v>Tinky Winky and Po give each other a Big Hug before the Magic Windmill 
spins, and the Teletubbies watch Andy Brown and some children looking for 
creatures. They find some woodlice under a log. Tinky Winky, Dipsy and 
Laa-Laa go in, and out of the roundabout with the Tubbytronic Superdome. 
The Teletubbies play an in and out and roundabout game. 
Featuring: Andy Brown with Emily and Jack Baker, Josh Reynolds and Jodie 
Wiltshire</v>
      </c>
    </row>
    <row r="168">
      <c r="A168">
        <f>IFERROR(__xludf.DUMMYFUNCTION("""COMPUTED_VALUE"""),202.0)</f>
        <v>202</v>
      </c>
      <c r="B168" t="str">
        <f>IFERROR(__xludf.DUMMYFUNCTION("""COMPUTED_VALUE"""),"""Land Yachting""")</f>
        <v>"Land Yachting"</v>
      </c>
      <c r="C168" t="str">
        <f>IFERROR(__xludf.DUMMYFUNCTION("""COMPUTED_VALUE"""),"15 September 1998 (1998-09-15)")</f>
        <v>15 September 1998 (1998-09-15)</v>
      </c>
    </row>
    <row r="169">
      <c r="A169" t="str">
        <f>IFERROR(__xludf.DUMMYFUNCTION("""COMPUTED_VALUE"""),"Dipsy jumps indoors, then the Teletubbies run off to watch Annie and her 
dad land-yachting on a beach. The Teletubbies are having a very busy day 
until a big wind blows. The wind is so strong that it blows the Teletubbies 
favourite things away. The Tel"&amp;"etubbies decide to sing a Come back 
everything song and then the wind drops and their favourite things come 
back to them. The Teletubbies are very happy again. 
Featuring: Megan &amp; Abigail Gosbee and Annie &amp; Jim Moran")</f>
        <v>Dipsy jumps indoors, then the Teletubbies run off to watch Annie and her 
dad land-yachting on a beach. The Teletubbies are having a very busy day 
until a big wind blows. The wind is so strong that it blows the Teletubbies 
favourite things away. The Teletubbies decide to sing a Come back 
everything song and then the wind drops and their favourite things come 
back to them. The Teletubbies are very happy again. 
Featuring: Megan &amp; Abigail Gosbee and Annie &amp; Jim Moran</v>
      </c>
    </row>
    <row r="170">
      <c r="A170">
        <f>IFERROR(__xludf.DUMMYFUNCTION("""COMPUTED_VALUE"""),203.0)</f>
        <v>203</v>
      </c>
      <c r="B170" t="str">
        <f>IFERROR(__xludf.DUMMYFUNCTION("""COMPUTED_VALUE"""),"""Tropical Fish""")</f>
        <v>"Tropical Fish"</v>
      </c>
      <c r="C170" t="str">
        <f>IFERROR(__xludf.DUMMYFUNCTION("""COMPUTED_VALUE"""),"16 September 1998 (1998-09-16)")</f>
        <v>16 September 1998 (1998-09-16)</v>
      </c>
    </row>
    <row r="171">
      <c r="A171" t="str">
        <f>IFERROR(__xludf.DUMMYFUNCTION("""COMPUTED_VALUE"""),"The Teletubbies are asleep in bed. They sit up to listen as five voice 
trumpets rise playing some lovely music. The Teletubbies join hands and 
dance round and round in a circle. Then the Teletubbies watch a group of 
children at an aquarium store. They "&amp;"look in all the tanks at the different 
fish. Tinky Winky pretends to swim. He swims round the table, then swims 
off to find the other Teletubbies and the magical event with The Three 
Ships sailing past occurs before the Magic Windmill stops spinning an"&amp;"d it 
is time for Tubby Bye-Bye. 
Featuring: Sinead Gabriel and Donnette Harry")</f>
        <v>The Teletubbies are asleep in bed. They sit up to listen as five voice 
trumpets rise playing some lovely music. The Teletubbies join hands and 
dance round and round in a circle. Then the Teletubbies watch a group of 
children at an aquarium store. They look in all the tanks at the different 
fish. Tinky Winky pretends to swim. He swims round the table, then swims 
off to find the other Teletubbies and the magical event with The Three 
Ships sailing past occurs before the Magic Windmill stops spinning and it 
is time for Tubby Bye-Bye. 
Featuring: Sinead Gabriel and Donnette Harry</v>
      </c>
    </row>
    <row r="172">
      <c r="A172">
        <f>IFERROR(__xludf.DUMMYFUNCTION("""COMPUTED_VALUE"""),204.0)</f>
        <v>204</v>
      </c>
      <c r="B172" t="str">
        <f>IFERROR(__xludf.DUMMYFUNCTION("""COMPUTED_VALUE"""),"""My Piano""")</f>
        <v>"My Piano"</v>
      </c>
      <c r="C172" t="str">
        <f>IFERROR(__xludf.DUMMYFUNCTION("""COMPUTED_VALUE"""),"17 September 1998 (1998-09-17)")</f>
        <v>17 September 1998 (1998-09-17)</v>
      </c>
    </row>
    <row r="173">
      <c r="A173" t="str">
        <f>IFERROR(__xludf.DUMMYFUNCTION("""COMPUTED_VALUE"""),"Tinky Winky, Dipsy, Laa Laa and Po are playing with their favourite things 
on the path while listening to piano music from a Voice Trumpet before the 
Magic Windmill starts spinning, and the Teletubbies watch a little girl 
play her piano. A voice trumpe"&amp;"t makes a big roaring noise. Tinky Winky, 
Dipsy and Laa Laa have lots of fun running away from the Voice Trumpet's 
roars. 
Featuring: Bryony Kay")</f>
        <v>Tinky Winky, Dipsy, Laa Laa and Po are playing with their favourite things 
on the path while listening to piano music from a Voice Trumpet before the 
Magic Windmill starts spinning, and the Teletubbies watch a little girl 
play her piano. A voice trumpet makes a big roaring noise. Tinky Winky, 
Dipsy and Laa Laa have lots of fun running away from the Voice Trumpet's 
roars. 
Featuring: Bryony Kay</v>
      </c>
    </row>
    <row r="174">
      <c r="A174">
        <f>IFERROR(__xludf.DUMMYFUNCTION("""COMPUTED_VALUE"""),205.0)</f>
        <v>205</v>
      </c>
      <c r="B174" t="str">
        <f>IFERROR(__xludf.DUMMYFUNCTION("""COMPUTED_VALUE"""),"""Twirlers""")</f>
        <v>"Twirlers"</v>
      </c>
      <c r="C174" t="str">
        <f>IFERROR(__xludf.DUMMYFUNCTION("""COMPUTED_VALUE"""),"18 September 1998 (1998-09-18)")</f>
        <v>18 September 1998 (1998-09-18)</v>
      </c>
    </row>
    <row r="175">
      <c r="A175" t="str">
        <f>IFERROR(__xludf.DUMMYFUNCTION("""COMPUTED_VALUE"""),"Tinky Winky listens to a voice trumpet make the sound of a whistle blowing 
and he runs away from the repeating noise. The Teletubbies watch some 
children marching and dancing with Twirlers. Then the Teletubbies march 
with their Favourite Things, after "&amp;"that the Windmill starts to spin and the 
Teletubbies watch The Animal Parade, then the Windmill stops spinning for 
Tubby Bye-Bye. 
Featuring: Pouneh Almasi, Annette Borg, Gabriella Franco, Mary &amp; Charlie 
Sands and Carrie &amp; Joliene Wade")</f>
        <v>Tinky Winky listens to a voice trumpet make the sound of a whistle blowing 
and he runs away from the repeating noise. The Teletubbies watch some 
children marching and dancing with Twirlers. Then the Teletubbies march 
with their Favourite Things, after that the Windmill starts to spin and the 
Teletubbies watch The Animal Parade, then the Windmill stops spinning for 
Tubby Bye-Bye. 
Featuring: Pouneh Almasi, Annette Borg, Gabriella Franco, Mary &amp; Charlie 
Sands and Carrie &amp; Joliene Wade</v>
      </c>
    </row>
    <row r="176">
      <c r="A176">
        <f>IFERROR(__xludf.DUMMYFUNCTION("""COMPUTED_VALUE"""),206.0)</f>
        <v>206</v>
      </c>
      <c r="B176" t="str">
        <f>IFERROR(__xludf.DUMMYFUNCTION("""COMPUTED_VALUE"""),"""The Very Proud Crown""")</f>
        <v>"The Very Proud Crown"</v>
      </c>
      <c r="C176" t="str">
        <f>IFERROR(__xludf.DUMMYFUNCTION("""COMPUTED_VALUE"""),"21 September 1998 (1998-09-21)")</f>
        <v>21 September 1998 (1998-09-21)</v>
      </c>
    </row>
    <row r="177">
      <c r="A177" t="str">
        <f>IFERROR(__xludf.DUMMYFUNCTION("""COMPUTED_VALUE"""),"Tinky Winky comes down the slide and says 'eh-oh!' to Po. A voice trumpet 
comes up and plays some music. Tinky Winky and Po dance around the inside 
of Home Hill until the Magic Windmill spins and the Teletubbies Watch 
Tamzin Griffin pretending to be th"&amp;"e Funny Lady and telling a story of a 
very proud crown. Laa Laa invites Dipsy to go for a walk over the hills. 
Featuring: Tamzin Griffin, The Children of Ravenor Infant's School, 
Greenford")</f>
        <v>Tinky Winky comes down the slide and says 'eh-oh!' to Po. A voice trumpet 
comes up and plays some music. Tinky Winky and Po dance around the inside 
of Home Hill until the Magic Windmill spins and the Teletubbies Watch 
Tamzin Griffin pretending to be the Funny Lady and telling a story of a 
very proud crown. Laa Laa invites Dipsy to go for a walk over the hills. 
Featuring: Tamzin Griffin, The Children of Ravenor Infant's School, 
Greenford</v>
      </c>
    </row>
    <row r="178">
      <c r="A178">
        <f>IFERROR(__xludf.DUMMYFUNCTION("""COMPUTED_VALUE"""),207.0)</f>
        <v>207</v>
      </c>
      <c r="B178" t="str">
        <f>IFERROR(__xludf.DUMMYFUNCTION("""COMPUTED_VALUE"""),"""Boom Boom Dance""")</f>
        <v>"Boom Boom Dance"</v>
      </c>
      <c r="C178" t="str">
        <f>IFERROR(__xludf.DUMMYFUNCTION("""COMPUTED_VALUE"""),"22 September 1998 (1998-09-22)")</f>
        <v>22 September 1998 (1998-09-22)</v>
      </c>
    </row>
    <row r="179">
      <c r="A179" t="str">
        <f>IFERROR(__xludf.DUMMYFUNCTION("""COMPUTED_VALUE"""),"The Teletubbies all sit down on a hill before watching some people do a 
dance called ""The Boom-Boom Dance"" to bongo music. In Teletubbyland, 
Tinky-Winky is sleeping and he does the Boom-Boom dance when he wakes up. 
Dipsy is going on a walk, and then "&amp;"does the Boom-boom dance. Laa-Laa is 
eating Tubby toast and then does the Boom-Boom dance. Po is riding on her 
scooter, and then does the Boom-Boom dance. The Teletubbies meet up and do 
the Boom-Boom dance together, even the Noo-Noo joins in. The ""Tub"&amp;"by 
Bye-Bye"" sequence takes place and The Baby Sun sets. 
Featuring: The Kokuma Dance Company, The Children of Birmingham Settlement 
Nursery")</f>
        <v>The Teletubbies all sit down on a hill before watching some people do a 
dance called "The Boom-Boom Dance" to bongo music. In Teletubbyland, 
Tinky-Winky is sleeping and he does the Boom-Boom dance when he wakes up. 
Dipsy is going on a walk, and then does the Boom-boom dance. Laa-Laa is 
eating Tubby toast and then does the Boom-Boom dance. Po is riding on her 
scooter, and then does the Boom-Boom dance. The Teletubbies meet up and do 
the Boom-Boom dance together, even the Noo-Noo joins in. The "Tubby 
Bye-Bye" sequence takes place and The Baby Sun sets. 
Featuring: The Kokuma Dance Company, The Children of Birmingham Settlement 
Nursery</v>
      </c>
    </row>
    <row r="180">
      <c r="A180">
        <f>IFERROR(__xludf.DUMMYFUNCTION("""COMPUTED_VALUE"""),208.0)</f>
        <v>208</v>
      </c>
      <c r="B180" t="str">
        <f>IFERROR(__xludf.DUMMYFUNCTION("""COMPUTED_VALUE"""),"""Peacocks""")</f>
        <v>"Peacocks"</v>
      </c>
      <c r="C180" t="str">
        <f>IFERROR(__xludf.DUMMYFUNCTION("""COMPUTED_VALUE"""),"23 September 1998 (1998-09-23)")</f>
        <v>23 September 1998 (1998-09-23)</v>
      </c>
    </row>
    <row r="181">
      <c r="A181" t="str">
        <f>IFERROR(__xludf.DUMMYFUNCTION("""COMPUTED_VALUE"""),"In Teletubbyland Dipsy came in to say eh-oh then run back out to fetch the 
others back inside before they say eh-oh also. Then they bump their tummies 
before giving Big hugs. Then the magic windmill starts spinning and they 
rushed out to watch Andy Bro"&amp;"wn and some children looking at peacocks. Then 
the windmill spins again and they arrived to watch the magical tree that 
appears in Teletubbyland. A voice trumpet rises and Laa Laa and Po march to 
the music and the ""Tubby Bye-Bye"" sequence takes place"&amp;". 
Featuring: Andy Brown with Harriet Spilsbury and Philip Taylor")</f>
        <v>In Teletubbyland Dipsy came in to say eh-oh then run back out to fetch the 
others back inside before they say eh-oh also. Then they bump their tummies 
before giving Big hugs. Then the magic windmill starts spinning and they 
rushed out to watch Andy Brown and some children looking at peacocks. Then 
the windmill spins again and they arrived to watch the magical tree that 
appears in Teletubbyland. A voice trumpet rises and Laa Laa and Po march to 
the music and the "Tubby Bye-Bye" sequence takes place. 
Featuring: Andy Brown with Harriet Spilsbury and Philip Taylor</v>
      </c>
    </row>
    <row r="182">
      <c r="A182">
        <f>IFERROR(__xludf.DUMMYFUNCTION("""COMPUTED_VALUE"""),209.0)</f>
        <v>209</v>
      </c>
      <c r="B182" t="str">
        <f>IFERROR(__xludf.DUMMYFUNCTION("""COMPUTED_VALUE"""),"""Numbers – 6 (version 2)""")</f>
        <v>"Numbers – 6 (version 2)"</v>
      </c>
      <c r="C182" t="str">
        <f>IFERROR(__xludf.DUMMYFUNCTION("""COMPUTED_VALUE"""),"24 September 1998 (1998-09-24)")</f>
        <v>24 September 1998 (1998-09-24)</v>
      </c>
    </row>
    <row r="183">
      <c r="A183" t="str">
        <f>IFERROR(__xludf.DUMMYFUNCTION("""COMPUTED_VALUE"""),"Inside the Home Hill, the Teletubbies were having Tubby Toast, but there's 
no toast for Laa Laa after she pushed a button. So Laa Laa pushes a button 
again, and Laa Laa still doesn't have toast. Laa Laa tries again one more 
time. But there's still toas"&amp;"t for Laa Laa. Laa Laa was very sad, and she 
sings about Tubby Toast very sadly. So Tinky Winky, Dipsy and Po decided to 
share their toast with Laa Laa. And Laa Laa has six toast on her plate. And 
Laa Laa was happy again. Then the Magic Windmill starts"&amp;" spinning and the 
Teletubbies run off to watch some children learn about the number six 
before the Sun baby giggles for Tubby Bye Bye. 
Featuring: The Children of Duncombe School, London")</f>
        <v>Inside the Home Hill, the Teletubbies were having Tubby Toast, but there's 
no toast for Laa Laa after she pushed a button. So Laa Laa pushes a button 
again, and Laa Laa still doesn't have toast. Laa Laa tries again one more 
time. But there's still toast for Laa Laa. Laa Laa was very sad, and she 
sings about Tubby Toast very sadly. So Tinky Winky, Dipsy and Po decided to 
share their toast with Laa Laa. And Laa Laa has six toast on her plate. And 
Laa Laa was happy again. Then the Magic Windmill starts spinning and the 
Teletubbies run off to watch some children learn about the number six 
before the Sun baby giggles for Tubby Bye Bye. 
Featuring: The Children of Duncombe School, London</v>
      </c>
    </row>
    <row r="184">
      <c r="A184">
        <f>IFERROR(__xludf.DUMMYFUNCTION("""COMPUTED_VALUE"""),210.0)</f>
        <v>210</v>
      </c>
      <c r="B184" t="str">
        <f>IFERROR(__xludf.DUMMYFUNCTION("""COMPUTED_VALUE"""),"""Basketball""")</f>
        <v>"Basketball"</v>
      </c>
      <c r="C184" t="str">
        <f>IFERROR(__xludf.DUMMYFUNCTION("""COMPUTED_VALUE"""),"25 September 1998 (1998-09-25)")</f>
        <v>25 September 1998 (1998-09-25)</v>
      </c>
    </row>
    <row r="185">
      <c r="A185" t="str">
        <f>IFERROR(__xludf.DUMMYFUNCTION("""COMPUTED_VALUE"""),"The Teletubbies put their arms in the air with a Voice Trumpet, then the 
Magic Windmill started to spin, so they go see some basketball. The little 
boy got a basket, yay for him! Then the Teletubbies have Tubby Toast, 
except for Tinky Winky, because hi"&amp;"s toast was on the floor, so Noo-Noo 
cleans it up, then the Teletubbies chase him around for a hug, then the 
magic windmill started to spin again. When they say uh-oh, they rush off to 
see the dancing bear in a stage to end the episode. After the Danci"&amp;"ng Bear 
had finished, the Magic Windmill stopped spinning and it was time for Tubby 
Bye Bye. 
Featuring: Jordan &amp; Philip Mathews")</f>
        <v>The Teletubbies put their arms in the air with a Voice Trumpet, then the 
Magic Windmill started to spin, so they go see some basketball. The little 
boy got a basket, yay for him! Then the Teletubbies have Tubby Toast, 
except for Tinky Winky, because his toast was on the floor, so Noo-Noo 
cleans it up, then the Teletubbies chase him around for a hug, then the 
magic windmill started to spin again. When they say uh-oh, they rush off to 
see the dancing bear in a stage to end the episode. After the Dancing Bear 
had finished, the Magic Windmill stopped spinning and it was time for Tubby 
Bye Bye. 
Featuring: Jordan &amp; Philip Mathews</v>
      </c>
    </row>
    <row r="186">
      <c r="A186">
        <f>IFERROR(__xludf.DUMMYFUNCTION("""COMPUTED_VALUE"""),211.0)</f>
        <v>211</v>
      </c>
      <c r="B186" t="str">
        <f>IFERROR(__xludf.DUMMYFUNCTION("""COMPUTED_VALUE"""),"""Rangoli""")</f>
        <v>"Rangoli"</v>
      </c>
      <c r="C186" t="str">
        <f>IFERROR(__xludf.DUMMYFUNCTION("""COMPUTED_VALUE"""),"28 September 1998 (1998-09-28)")</f>
        <v>28 September 1998 (1998-09-28)</v>
      </c>
    </row>
    <row r="187">
      <c r="A187" t="str">
        <f>IFERROR(__xludf.DUMMYFUNCTION("""COMPUTED_VALUE"""),"The Teletubbies walk in and out before the Magic Windmill spins and the 
Teletubbies watch a little boy and his mum paint some Rangoli pictures for 
the Hindu and Sikh festival of Diwali. A decoration appears in 
Teletubbyland. The Tubbies think the decor"&amp;"ation is very decorative, but 
Dipsy is not too pleased when the decoration decorates him! 
Featuring: Rikesh Karsan")</f>
        <v>The Teletubbies walk in and out before the Magic Windmill spins and the 
Teletubbies watch a little boy and his mum paint some Rangoli pictures for 
the Hindu and Sikh festival of Diwali. A decoration appears in 
Teletubbyland. The Tubbies think the decoration is very decorative, but 
Dipsy is not too pleased when the decoration decorates him! 
Featuring: Rikesh Karsan</v>
      </c>
    </row>
    <row r="188">
      <c r="A188">
        <f>IFERROR(__xludf.DUMMYFUNCTION("""COMPUTED_VALUE"""),212.0)</f>
        <v>212</v>
      </c>
      <c r="B188" t="str">
        <f>IFERROR(__xludf.DUMMYFUNCTION("""COMPUTED_VALUE"""),"""Frogs""")</f>
        <v>"Frogs"</v>
      </c>
      <c r="C188" t="str">
        <f>IFERROR(__xludf.DUMMYFUNCTION("""COMPUTED_VALUE"""),"29 September 1998 (1998-09-29)")</f>
        <v>29 September 1998 (1998-09-29)</v>
      </c>
    </row>
    <row r="189">
      <c r="A189" t="str">
        <f>IFERROR(__xludf.DUMMYFUNCTION("""COMPUTED_VALUE"""),"The Teletubbies watch Andy Brown and two children looking into a pool of 
frogs. Laa-Laa looks at the flowers, but Dipsy keeps getting in the way. 
Featuring: Andy Brown with Emily &amp; Jack Baker")</f>
        <v>The Teletubbies watch Andy Brown and two children looking into a pool of 
frogs. Laa-Laa looks at the flowers, but Dipsy keeps getting in the way. 
Featuring: Andy Brown with Emily &amp; Jack Baker</v>
      </c>
    </row>
    <row r="190">
      <c r="A190">
        <f>IFERROR(__xludf.DUMMYFUNCTION("""COMPUTED_VALUE"""),213.0)</f>
        <v>213</v>
      </c>
      <c r="B190" t="str">
        <f>IFERROR(__xludf.DUMMYFUNCTION("""COMPUTED_VALUE"""),"""Old King Cole""")</f>
        <v>"Old King Cole"</v>
      </c>
      <c r="C190" t="str">
        <f>IFERROR(__xludf.DUMMYFUNCTION("""COMPUTED_VALUE"""),"30 September 1998 (1998-09-30)")</f>
        <v>30 September 1998 (1998-09-30)</v>
      </c>
    </row>
    <row r="191">
      <c r="A191" t="str">
        <f>IFERROR(__xludf.DUMMYFUNCTION("""COMPUTED_VALUE"""),"Laa-Laa watches some children sing and act out the nursery rhyme Old King 
Cole. Then the Teletubbies act out their own version of Old King Cole. 
Featuring: The Children of Hardwick Primary School, Banbury")</f>
        <v>Laa-Laa watches some children sing and act out the nursery rhyme Old King 
Cole. Then the Teletubbies act out their own version of Old King Cole. 
Featuring: The Children of Hardwick Primary School, Banbury</v>
      </c>
    </row>
    <row r="192">
      <c r="A192">
        <f>IFERROR(__xludf.DUMMYFUNCTION("""COMPUTED_VALUE"""),214.0)</f>
        <v>214</v>
      </c>
      <c r="B192" t="str">
        <f>IFERROR(__xludf.DUMMYFUNCTION("""COMPUTED_VALUE"""),"""Jigsaw – Elephant""")</f>
        <v>"Jigsaw – Elephant"</v>
      </c>
      <c r="C192" t="str">
        <f>IFERROR(__xludf.DUMMYFUNCTION("""COMPUTED_VALUE"""),"1 October 1998 (1998-10-01)")</f>
        <v>1 October 1998 (1998-10-01)</v>
      </c>
    </row>
    <row r="193">
      <c r="A193" t="str">
        <f>IFERROR(__xludf.DUMMYFUNCTION("""COMPUTED_VALUE"""),"Inside the Teletubbies' Superdome, the Teletubbies giggle together as they 
hold hands and side step around Home Hill. Then they rush outside to watch 
three children build a jigsaw puzzle of an elephant. Later, the Bear and 
Lion appear and play hide and"&amp;" seek in Teletubbyland before the Magic 
Windmill stops spinning and it is time for Tubby Bye-Bye. 
Featuring: Aaron Ellis, Danielle Miller and Sally Sadler")</f>
        <v>Inside the Teletubbies' Superdome, the Teletubbies giggle together as they 
hold hands and side step around Home Hill. Then they rush outside to watch 
three children build a jigsaw puzzle of an elephant. Later, the Bear and 
Lion appear and play hide and seek in Teletubbyland before the Magic 
Windmill stops spinning and it is time for Tubby Bye-Bye. 
Featuring: Aaron Ellis, Danielle Miller and Sally Sadler</v>
      </c>
    </row>
    <row r="194">
      <c r="A194">
        <f>IFERROR(__xludf.DUMMYFUNCTION("""COMPUTED_VALUE"""),215.0)</f>
        <v>215</v>
      </c>
      <c r="B194" t="str">
        <f>IFERROR(__xludf.DUMMYFUNCTION("""COMPUTED_VALUE"""),"""Naughty Soap""")</f>
        <v>"Naughty Soap"</v>
      </c>
      <c r="C194" t="str">
        <f>IFERROR(__xludf.DUMMYFUNCTION("""COMPUTED_VALUE"""),"2 October 1998 (1998-10-02)")</f>
        <v>2 October 1998 (1998-10-02)</v>
      </c>
    </row>
    <row r="195">
      <c r="A195" t="str">
        <f>IFERROR(__xludf.DUMMYFUNCTION("""COMPUTED_VALUE"""),"The Noo Noo helps Po wash with her Tubby sponge. Meanwhile, funny lady 
Tamzin Griffin tells the story of a silly, soppy soap. 
Featuring: Tamzin Griffin, The Children of Chater Infants School, Watford")</f>
        <v>The Noo Noo helps Po wash with her Tubby sponge. Meanwhile, funny lady 
Tamzin Griffin tells the story of a silly, soppy soap. 
Featuring: Tamzin Griffin, The Children of Chater Infants School, Watford</v>
      </c>
    </row>
    <row r="196">
      <c r="A196">
        <f>IFERROR(__xludf.DUMMYFUNCTION("""COMPUTED_VALUE"""),216.0)</f>
        <v>216</v>
      </c>
      <c r="B196" t="str">
        <f>IFERROR(__xludf.DUMMYFUNCTION("""COMPUTED_VALUE"""),"""Dad's Portrait""")</f>
        <v>"Dad's Portrait"</v>
      </c>
      <c r="C196" t="str">
        <f>IFERROR(__xludf.DUMMYFUNCTION("""COMPUTED_VALUE"""),"5 October 1998 (1998-10-05)")</f>
        <v>5 October 1998 (1998-10-05)</v>
      </c>
    </row>
    <row r="197">
      <c r="A197" t="str">
        <f>IFERROR(__xludf.DUMMYFUNCTION("""COMPUTED_VALUE"""),"The Teletubbies hide from Noo-Noo, whenever Noo-Noo looks to see whats 
behind him the Teletubbies go back to their hiding places. They come out 
from their hiding places when it is time for the video clip. The 
Teletubbies watch a girl painting a picture"&amp;" of her dad and repeatedly dance 
to a voice trumpet singing the nursery rhyme Here We Go Looby Loo. Then the 
Windmill stops spinning and it is time for Tubby Bye-Bye. 
Featuring: Thena and Peter Mimmack")</f>
        <v>The Teletubbies hide from Noo-Noo, whenever Noo-Noo looks to see whats 
behind him the Teletubbies go back to their hiding places. They come out 
from their hiding places when it is time for the video clip. The 
Teletubbies watch a girl painting a picture of her dad and repeatedly dance 
to a voice trumpet singing the nursery rhyme Here We Go Looby Loo. Then the 
Windmill stops spinning and it is time for Tubby Bye-Bye. 
Featuring: Thena and Peter Mimmack</v>
      </c>
    </row>
    <row r="198">
      <c r="A198">
        <f>IFERROR(__xludf.DUMMYFUNCTION("""COMPUTED_VALUE"""),217.0)</f>
        <v>217</v>
      </c>
      <c r="B198" t="str">
        <f>IFERROR(__xludf.DUMMYFUNCTION("""COMPUTED_VALUE"""),"""Colours – Orange""")</f>
        <v>"Colours – Orange"</v>
      </c>
      <c r="C198" t="str">
        <f>IFERROR(__xludf.DUMMYFUNCTION("""COMPUTED_VALUE"""),"6 October 1998 (1998-10-06)")</f>
        <v>6 October 1998 (1998-10-06)</v>
      </c>
    </row>
    <row r="199">
      <c r="A199" t="str">
        <f>IFERROR(__xludf.DUMMYFUNCTION("""COMPUTED_VALUE"""),"A Voice Trumpet appears, which draws the attention of Noo-Noo, and Laa-Laa. 
It says the word 'Orange' .The Teletubbies watch some children finding out 
about things that are coloured orange and Laa-Laa's ball is also bright 
orange . Laa-Laa keeps losing"&amp;" her ball, she meets the other Teletubbies, 
they learn that Tinky Winky's bag is red, Dipsy's hat is black and white 
and Po's scooter is pink and blue. Laa Laa finally catches her ball. Then 
the Windmill stops spinning for tubby bye bye. 
Featuring: Th"&amp;"e Children of Oxhey Infants School, Watford")</f>
        <v>A Voice Trumpet appears, which draws the attention of Noo-Noo, and Laa-Laa. 
It says the word 'Orange' .The Teletubbies watch some children finding out 
about things that are coloured orange and Laa-Laa's ball is also bright 
orange . Laa-Laa keeps losing her ball, she meets the other Teletubbies, 
they learn that Tinky Winky's bag is red, Dipsy's hat is black and white 
and Po's scooter is pink and blue. Laa Laa finally catches her ball. Then 
the Windmill stops spinning for tubby bye bye. 
Featuring: The Children of Oxhey Infants School, Watford</v>
      </c>
    </row>
    <row r="200">
      <c r="A200">
        <f>IFERROR(__xludf.DUMMYFUNCTION("""COMPUTED_VALUE"""),218.0)</f>
        <v>218</v>
      </c>
      <c r="B200" t="str">
        <f>IFERROR(__xludf.DUMMYFUNCTION("""COMPUTED_VALUE"""),"""Piglets""")</f>
        <v>"Piglets"</v>
      </c>
      <c r="C200" t="str">
        <f>IFERROR(__xludf.DUMMYFUNCTION("""COMPUTED_VALUE"""),"7 October 1998 (1998-10-07)")</f>
        <v>7 October 1998 (1998-10-07)</v>
      </c>
    </row>
    <row r="201">
      <c r="A201" t="str">
        <f>IFERROR(__xludf.DUMMYFUNCTION("""COMPUTED_VALUE"""),"The Teletubbies run back and forth past some trees, then they watch 
Matthew, James, Mark, Angus and their Dad playing with their piglets. 
Inside the Tubbytronic Superdome, the Teletubbies laugh at the noises their 
bottoms make when they sit down, then "&amp;"they watch the Animal Parade march 
through Teletubbyland. The Teletubbies do the Stamping and Stepping Dance 
before the Tubby Bye-Bye sequence takes place and the Baby Sun sets. 
Featuring: Matthew, James, Mark and Angus Carnie")</f>
        <v>The Teletubbies run back and forth past some trees, then they watch 
Matthew, James, Mark, Angus and their Dad playing with their piglets. 
Inside the Tubbytronic Superdome, the Teletubbies laugh at the noises their 
bottoms make when they sit down, then they watch the Animal Parade march 
through Teletubbyland. The Teletubbies do the Stamping and Stepping Dance 
before the Tubby Bye-Bye sequence takes place and the Baby Sun sets. 
Featuring: Matthew, James, Mark and Angus Carnie</v>
      </c>
    </row>
    <row r="202">
      <c r="A202">
        <f>IFERROR(__xludf.DUMMYFUNCTION("""COMPUTED_VALUE"""),219.0)</f>
        <v>219</v>
      </c>
      <c r="B202" t="str">
        <f>IFERROR(__xludf.DUMMYFUNCTION("""COMPUTED_VALUE"""),"""Water""")</f>
        <v>"Water"</v>
      </c>
      <c r="C202" t="str">
        <f>IFERROR(__xludf.DUMMYFUNCTION("""COMPUTED_VALUE"""),"8 October 1998 (1998-10-08)")</f>
        <v>8 October 1998 (1998-10-08)</v>
      </c>
    </row>
    <row r="203">
      <c r="A203" t="str">
        <f>IFERROR(__xludf.DUMMYFUNCTION("""COMPUTED_VALUE"""),"In Teletubbyland, Dipsy listens to a Voice Trumpet say the nursery rhyme 
'Doctor Foster'. Then the Teletubbies watch some children playing with 
water. A cloud appears in Teletubbyland. The cloud rains and makes a 
puddle. Laa Laa steps into the puddle, "&amp;"Dipsy steps around the puddle, Tinky 
Winky steps over the puddle and Po rides her Scooter through the puddle 
spraying the other Teletubbies. The Teletubbies love Po very much. 
Featuring: Amy and Harry Scott")</f>
        <v>In Teletubbyland, Dipsy listens to a Voice Trumpet say the nursery rhyme 
'Doctor Foster'. Then the Teletubbies watch some children playing with 
water. A cloud appears in Teletubbyland. The cloud rains and makes a 
puddle. Laa Laa steps into the puddle, Dipsy steps around the puddle, Tinky 
Winky steps over the puddle and Po rides her Scooter through the puddle 
spraying the other Teletubbies. The Teletubbies love Po very much. 
Featuring: Amy and Harry Scott</v>
      </c>
    </row>
    <row r="204">
      <c r="A204">
        <f>IFERROR(__xludf.DUMMYFUNCTION("""COMPUTED_VALUE"""),220.0)</f>
        <v>220</v>
      </c>
      <c r="B204" t="str">
        <f>IFERROR(__xludf.DUMMYFUNCTION("""COMPUTED_VALUE"""),"""Wrapping""")</f>
        <v>"Wrapping"</v>
      </c>
      <c r="C204" t="str">
        <f>IFERROR(__xludf.DUMMYFUNCTION("""COMPUTED_VALUE"""),"9 October 1998 (1998-10-09)")</f>
        <v>9 October 1998 (1998-10-09)</v>
      </c>
    </row>
    <row r="205">
      <c r="A205" t="str">
        <f>IFERROR(__xludf.DUMMYFUNCTION("""COMPUTED_VALUE"""),"The Teletubbies dance The Swinging Dance before watching some children 
wrapping presents for their friend. The Teletubbies are asleep before Noo 
Noo comes along and tidies up. The Teletubbies chase the Noo Noo before the 
Magic Windmill spins. The Singi"&amp;"ng Man in the Pink House also appears in 
Teletubbyland before the sun baby giggles for ""Tubby Bye-Bye."" 
Featuring: Christine Liang, Lupondo Lyambo, Stacey Mulryan and Minh Nguyen")</f>
        <v>The Teletubbies dance The Swinging Dance before watching some children 
wrapping presents for their friend. The Teletubbies are asleep before Noo 
Noo comes along and tidies up. The Teletubbies chase the Noo Noo before the 
Magic Windmill spins. The Singing Man in the Pink House also appears in 
Teletubbyland before the sun baby giggles for "Tubby Bye-Bye." 
Featuring: Christine Liang, Lupondo Lyambo, Stacey Mulryan and Minh Nguyen</v>
      </c>
    </row>
    <row r="206">
      <c r="A206">
        <f>IFERROR(__xludf.DUMMYFUNCTION("""COMPUTED_VALUE"""),221.0)</f>
        <v>221</v>
      </c>
      <c r="B206" t="str">
        <f>IFERROR(__xludf.DUMMYFUNCTION("""COMPUTED_VALUE"""),"""Making Bread""")</f>
        <v>"Making Bread"</v>
      </c>
      <c r="C206" t="str">
        <f>IFERROR(__xludf.DUMMYFUNCTION("""COMPUTED_VALUE"""),"12 October 1998 (1998-10-12)")</f>
        <v>12 October 1998 (1998-10-12)</v>
      </c>
    </row>
    <row r="207">
      <c r="A207" t="str">
        <f>IFERROR(__xludf.DUMMYFUNCTION("""COMPUTED_VALUE"""),"The Teletubbies go in and out of the house before the Magic Windmill spins 
and the Teletubbies watch two little boys making some bread. After the 
Stretching dance, they then watch The Three Ships sail through 
Teletubbyland, the Baby Sun giggles while t"&amp;"he Voice Trumpet rises for Tubby 
Bye-Bye. 
Featuring: George and Thomas Griffiths")</f>
        <v>The Teletubbies go in and out of the house before the Magic Windmill spins 
and the Teletubbies watch two little boys making some bread. After the 
Stretching dance, they then watch The Three Ships sail through 
Teletubbyland, the Baby Sun giggles while the Voice Trumpet rises for Tubby 
Bye-Bye. 
Featuring: George and Thomas Griffiths</v>
      </c>
    </row>
    <row r="208">
      <c r="A208">
        <f>IFERROR(__xludf.DUMMYFUNCTION("""COMPUTED_VALUE"""),222.0)</f>
        <v>222</v>
      </c>
      <c r="B208" t="str">
        <f>IFERROR(__xludf.DUMMYFUNCTION("""COMPUTED_VALUE"""),"""Ice Lollipops""")</f>
        <v>"Ice Lollipops"</v>
      </c>
      <c r="C208" t="str">
        <f>IFERROR(__xludf.DUMMYFUNCTION("""COMPUTED_VALUE"""),"13 October 1998 (1998-10-13)")</f>
        <v>13 October 1998 (1998-10-13)</v>
      </c>
    </row>
    <row r="209">
      <c r="A209" t="str">
        <f>IFERROR(__xludf.DUMMYFUNCTION("""COMPUTED_VALUE"""),"Laa Laa appears and tries to make some Tubby Custard but the Magic Windmill 
spins and Po watches some children making ice-lollies by freezing their 
favourite juice. The Teletubbies walk around Home Hill smelling the flowers 
but they all fall over. The "&amp;"Teletubbies all try to go indoors but it is not 
possible and then they have to go in one at a time. The Teletubbies decided 
to go up the slide but they fell down. They get up and go up the slide one 
at a time. 
Featuring: Becky, Toby &amp; Connor Knight, M"&amp;"anjot Singh, Kyle Strudwick, 
Antonia Suckling and Christopher Wiggans")</f>
        <v>Laa Laa appears and tries to make some Tubby Custard but the Magic Windmill 
spins and Po watches some children making ice-lollies by freezing their 
favourite juice. The Teletubbies walk around Home Hill smelling the flowers 
but they all fall over. The Teletubbies all try to go indoors but it is not 
possible and then they have to go in one at a time. The Teletubbies decided 
to go up the slide but they fell down. They get up and go up the slide one 
at a time. 
Featuring: Becky, Toby &amp; Connor Knight, Manjot Singh, Kyle Strudwick, 
Antonia Suckling and Christopher Wiggans</v>
      </c>
    </row>
    <row r="210">
      <c r="A210">
        <f>IFERROR(__xludf.DUMMYFUNCTION("""COMPUTED_VALUE"""),223.0)</f>
        <v>223</v>
      </c>
      <c r="B210" t="str">
        <f>IFERROR(__xludf.DUMMYFUNCTION("""COMPUTED_VALUE"""),"""Orange Picking""")</f>
        <v>"Orange Picking"</v>
      </c>
      <c r="C210" t="str">
        <f>IFERROR(__xludf.DUMMYFUNCTION("""COMPUTED_VALUE"""),"14 October 1998 (1998-10-14)")</f>
        <v>14 October 1998 (1998-10-14)</v>
      </c>
    </row>
    <row r="211">
      <c r="A211" t="str">
        <f>IFERROR(__xludf.DUMMYFUNCTION("""COMPUTED_VALUE"""),"Dipsy comes out of the house. He looks and listens before going inside of 
the house. The Teletubbies come out of the house and the Magic Windmill 
spins. The Teletubbies watch children picking fresh oranges. Tinky Winky 
and Po are eating Tubby Toast. La"&amp;"a Laa comes into Home Hill and she plays 
with the ball but it bounces all over home hill and the ball is stuck up 
the top of the slide. Tinky Winky reaches but he is too short. Po comes up 
the slide but she slides back down. Noo Noo comes along and he "&amp;"sucks the 
ball up. Noo Noo gives the ball back to Laa Laa The Teletubbies chase Noo 
Noo around Home Hill. 
Featuring: Wil and Leah Flannery")</f>
        <v>Dipsy comes out of the house. He looks and listens before going inside of 
the house. The Teletubbies come out of the house and the Magic Windmill 
spins. The Teletubbies watch children picking fresh oranges. Tinky Winky 
and Po are eating Tubby Toast. Laa Laa comes into Home Hill and she plays 
with the ball but it bounces all over home hill and the ball is stuck up 
the top of the slide. Tinky Winky reaches but he is too short. Po comes up 
the slide but she slides back down. Noo Noo comes along and he sucks the 
ball up. Noo Noo gives the ball back to Laa Laa The Teletubbies chase Noo 
Noo around Home Hill. 
Featuring: Wil and Leah Flannery</v>
      </c>
    </row>
    <row r="212">
      <c r="A212">
        <f>IFERROR(__xludf.DUMMYFUNCTION("""COMPUTED_VALUE"""),224.0)</f>
        <v>224</v>
      </c>
      <c r="B212" t="str">
        <f>IFERROR(__xludf.DUMMYFUNCTION("""COMPUTED_VALUE"""),"""Double Bass""")</f>
        <v>"Double Bass"</v>
      </c>
      <c r="C212" t="str">
        <f>IFERROR(__xludf.DUMMYFUNCTION("""COMPUTED_VALUE"""),"15 October 1998 (1998-10-15)")</f>
        <v>15 October 1998 (1998-10-15)</v>
      </c>
    </row>
    <row r="213">
      <c r="A213" t="str">
        <f>IFERROR(__xludf.DUMMYFUNCTION("""COMPUTED_VALUE"""),"A Voice Trumpet appears to make music for Laa-Laa, and the pals, Then Po 
receives a video watch children visit their friend who plays the double 
bass. The Teletubbies do the Calypso dance and Dipsy has a go on the switch 
panel before the Magic Windmill"&amp;" stops spinning and it is time for Tubby 
Bye-Bye. 
Featuring: Gary Crosby with Kadeem Clarke, Rehanna Mundle and Shanice 
Weekes-Brown")</f>
        <v>A Voice Trumpet appears to make music for Laa-Laa, and the pals, Then Po 
receives a video watch children visit their friend who plays the double 
bass. The Teletubbies do the Calypso dance and Dipsy has a go on the switch 
panel before the Magic Windmill stops spinning and it is time for Tubby 
Bye-Bye. 
Featuring: Gary Crosby with Kadeem Clarke, Rehanna Mundle and Shanice 
Weekes-Brown</v>
      </c>
    </row>
    <row r="214">
      <c r="A214">
        <f>IFERROR(__xludf.DUMMYFUNCTION("""COMPUTED_VALUE"""),225.0)</f>
        <v>225</v>
      </c>
      <c r="B214" t="str">
        <f>IFERROR(__xludf.DUMMYFUNCTION("""COMPUTED_VALUE"""),"""Numbers – 7""")</f>
        <v>"Numbers – 7"</v>
      </c>
      <c r="C214" t="str">
        <f>IFERROR(__xludf.DUMMYFUNCTION("""COMPUTED_VALUE"""),"18 October 1998 (1998-10-18)")</f>
        <v>18 October 1998 (1998-10-18)</v>
      </c>
    </row>
    <row r="215">
      <c r="A215" t="str">
        <f>IFERROR(__xludf.DUMMYFUNCTION("""COMPUTED_VALUE"""),"Seven clouds appear but they quickly go away. The Teletubbies watch some 
children learning about the number 7. The Teletubbies join each other on 
the table and a Voice Trumpet rises and counts to 7. The Teletubbies do the 
round and round dance before T"&amp;"ubby Bye-Bye. 
Featuring: The Children of Duncombe School, London")</f>
        <v>Seven clouds appear but they quickly go away. The Teletubbies watch some 
children learning about the number 7. The Teletubbies join each other on 
the table and a Voice Trumpet rises and counts to 7. The Teletubbies do the 
round and round dance before Tubby Bye-Bye. 
Featuring: The Children of Duncombe School, London</v>
      </c>
    </row>
    <row r="216">
      <c r="A216">
        <f>IFERROR(__xludf.DUMMYFUNCTION("""COMPUTED_VALUE"""),226.0)</f>
        <v>226</v>
      </c>
      <c r="B216" t="str">
        <f>IFERROR(__xludf.DUMMYFUNCTION("""COMPUTED_VALUE"""),"""Sparkly Spider""")</f>
        <v>"Sparkly Spider"</v>
      </c>
      <c r="C216" t="str">
        <f>IFERROR(__xludf.DUMMYFUNCTION("""COMPUTED_VALUE"""),"19 October 1998 (1998-10-19)")</f>
        <v>19 October 1998 (1998-10-19)</v>
      </c>
    </row>
    <row r="217">
      <c r="A217" t="str">
        <f>IFERROR(__xludf.DUMMYFUNCTION("""COMPUTED_VALUE"""),"The Teletubbies walk in a line and they walk up a hill and walk down the 
hill before they meet in the middle and say 'Eh-oh!' before the Magic 
Windmill spins and the Teletubbies watch the Funny Lady tell the story of 
the Sparkly Spider. The Teletubbies"&amp;" do the Dizzy dance before the Magic 
Windmill Spins and the Teletubbies watch the Magic Tree before the Magic 
Windmill stops spinning for Tubby Bye Bye. 
Featuring: Tamzin Griffin, The Children of Ravenor School, Greenford")</f>
        <v>The Teletubbies walk in a line and they walk up a hill and walk down the 
hill before they meet in the middle and say 'Eh-oh!' before the Magic 
Windmill spins and the Teletubbies watch the Funny Lady tell the story of 
the Sparkly Spider. The Teletubbies do the Dizzy dance before the Magic 
Windmill Spins and the Teletubbies watch the Magic Tree before the Magic 
Windmill stops spinning for Tubby Bye Bye. 
Featuring: Tamzin Griffin, The Children of Ravenor School, Greenford</v>
      </c>
    </row>
    <row r="218">
      <c r="A218">
        <f>IFERROR(__xludf.DUMMYFUNCTION("""COMPUTED_VALUE"""),227.0)</f>
        <v>227</v>
      </c>
      <c r="B218" t="str">
        <f>IFERROR(__xludf.DUMMYFUNCTION("""COMPUTED_VALUE"""),"""Cat's Night Out""")</f>
        <v>"Cat's Night Out"</v>
      </c>
      <c r="C218" t="str">
        <f>IFERROR(__xludf.DUMMYFUNCTION("""COMPUTED_VALUE"""),"20 October 1998 (1998-10-20)")</f>
        <v>20 October 1998 (1998-10-20)</v>
      </c>
    </row>
    <row r="219">
      <c r="A219" t="str">
        <f>IFERROR(__xludf.DUMMYFUNCTION("""COMPUTED_VALUE"""),"The Teletubbies walk down the Path, into the House and up the other Path. 
Then they watch Nathan talk about what his Cat Grace does at night. Inside 
the House, Po wakes up and hears the other Teletubbies shouting outside, 
she runs out to them for a Big"&amp;" Hug, the Windmill starts spinning and they 
all watch the Animal Parade. The Teletubbies do the Walking Dance before 
Tubby Bye Bye. 
Featuring: Nathan Grammell and Grace the Cat")</f>
        <v>The Teletubbies walk down the Path, into the House and up the other Path. 
Then they watch Nathan talk about what his Cat Grace does at night. Inside 
the House, Po wakes up and hears the other Teletubbies shouting outside, 
she runs out to them for a Big Hug, the Windmill starts spinning and they 
all watch the Animal Parade. The Teletubbies do the Walking Dance before 
Tubby Bye Bye. 
Featuring: Nathan Grammell and Grace the Cat</v>
      </c>
    </row>
    <row r="220">
      <c r="A220">
        <f>IFERROR(__xludf.DUMMYFUNCTION("""COMPUTED_VALUE"""),228.0)</f>
        <v>228</v>
      </c>
      <c r="B220" t="str">
        <f>IFERROR(__xludf.DUMMYFUNCTION("""COMPUTED_VALUE"""),"""Chicks""")</f>
        <v>"Chicks"</v>
      </c>
      <c r="C220" t="str">
        <f>IFERROR(__xludf.DUMMYFUNCTION("""COMPUTED_VALUE"""),"21 October 1998 (1998-10-21)")</f>
        <v>21 October 1998 (1998-10-21)</v>
      </c>
    </row>
    <row r="221">
      <c r="A221" t="str">
        <f>IFERROR(__xludf.DUMMYFUNCTION("""COMPUTED_VALUE"""),"The Teletubbies walk around some hills before watching Matthew, James and 
Mark talking about their chicks on a farm. Dipsy watches Po riding on her 
scooter, Laa-Laa playing with her ball and Tinky Winky running with his 
bag. So Dipsy gives each other a"&amp;" big hug before tubby bye bye. 
Featuring: Matthew, James, Mark and Angus Carnie")</f>
        <v>The Teletubbies walk around some hills before watching Matthew, James and 
Mark talking about their chicks on a farm. Dipsy watches Po riding on her 
scooter, Laa-Laa playing with her ball and Tinky Winky running with his 
bag. So Dipsy gives each other a big hug before tubby bye bye. 
Featuring: Matthew, James, Mark and Angus Carnie</v>
      </c>
    </row>
    <row r="222">
      <c r="A222">
        <f>IFERROR(__xludf.DUMMYFUNCTION("""COMPUTED_VALUE"""),229.0)</f>
        <v>229</v>
      </c>
      <c r="B222" t="str">
        <f>IFERROR(__xludf.DUMMYFUNCTION("""COMPUTED_VALUE"""),"""Body to Body""")</f>
        <v>"Body to Body"</v>
      </c>
      <c r="C222" t="str">
        <f>IFERROR(__xludf.DUMMYFUNCTION("""COMPUTED_VALUE"""),"22 October 1998 (1998-10-22)")</f>
        <v>22 October 1998 (1998-10-22)</v>
      </c>
    </row>
    <row r="223">
      <c r="A223" t="str">
        <f>IFERROR(__xludf.DUMMYFUNCTION("""COMPUTED_VALUE"""),"The Teletubbies bump into each other indoors than watch some children play 
a body to body game. The Teletubbies then play a falling down game before 
watching the Tap Dancing Teddy Bear before the Magic Windmill stops 
spinning for Tubby Bye-Bye. 
Featur"&amp;"ing: The Children of Earlsfield Primary School")</f>
        <v>The Teletubbies bump into each other indoors than watch some children play 
a body to body game. The Teletubbies then play a falling down game before 
watching the Tap Dancing Teddy Bear before the Magic Windmill stops 
spinning for Tubby Bye-Bye. 
Featuring: The Children of Earlsfield Primary School</v>
      </c>
    </row>
    <row r="224">
      <c r="A224">
        <f>IFERROR(__xludf.DUMMYFUNCTION("""COMPUTED_VALUE"""),230.0)</f>
        <v>230</v>
      </c>
      <c r="B224" t="str">
        <f>IFERROR(__xludf.DUMMYFUNCTION("""COMPUTED_VALUE"""),"""Camping""")</f>
        <v>"Camping"</v>
      </c>
      <c r="C224" t="str">
        <f>IFERROR(__xludf.DUMMYFUNCTION("""COMPUTED_VALUE"""),"23 October 1998 (1998-10-23)")</f>
        <v>23 October 1998 (1998-10-23)</v>
      </c>
    </row>
    <row r="225">
      <c r="A225" t="str">
        <f>IFERROR(__xludf.DUMMYFUNCTION("""COMPUTED_VALUE"""),"A door appears in Teletubbyland. Po comes and founds it. She opens the door 
and goes in. Then comes Laa-Laa and knocks the door, so Po opens the door 
and Laa-Laa goes with Po. Soon comes Dipsy who knocks the door and goes 
with Laa-Laa and Po. Finally c"&amp;"omes Tinky Winky and knocks the door and goes 
with the other Teletubbies. The door then disappears and the magic windmill 
starts spinning and the Teletubbies watch children go camping with their 
parents before the baby sun giggles for Tubby Bye-Bye. 
F"&amp;"eaturing: Joel and Kiri Wood")</f>
        <v>A door appears in Teletubbyland. Po comes and founds it. She opens the door 
and goes in. Then comes Laa-Laa and knocks the door, so Po opens the door 
and Laa-Laa goes with Po. Soon comes Dipsy who knocks the door and goes 
with Laa-Laa and Po. Finally comes Tinky Winky and knocks the door and goes 
with the other Teletubbies. The door then disappears and the magic windmill 
starts spinning and the Teletubbies watch children go camping with their 
parents before the baby sun giggles for Tubby Bye-Bye. 
Featuring: Joel and Kiri Wood</v>
      </c>
    </row>
    <row r="226">
      <c r="A226">
        <f>IFERROR(__xludf.DUMMYFUNCTION("""COMPUTED_VALUE"""),231.0)</f>
        <v>231</v>
      </c>
      <c r="B226" t="str">
        <f>IFERROR(__xludf.DUMMYFUNCTION("""COMPUTED_VALUE"""),"""Colours – Black""")</f>
        <v>"Colours – Black"</v>
      </c>
      <c r="C226" t="str">
        <f>IFERROR(__xludf.DUMMYFUNCTION("""COMPUTED_VALUE"""),"14 December 1998 (1998-12-14)")</f>
        <v>14 December 1998 (1998-12-14)</v>
      </c>
    </row>
    <row r="227">
      <c r="A227" t="str">
        <f>IFERROR(__xludf.DUMMYFUNCTION("""COMPUTED_VALUE"""),"A black and white cloud appears in Teletubbyland. The Teletubbies watch 
some children finding out about things that are coloured black. Dipsy 
leaves his hat behind, but when he comes to find it, the Noo-Noo has tidied 
up. Later, the Noo-Noo blows it ou"&amp;"t before the Magic Windmill stops 
spinning as the Tubby Bye-Bye sequence takes place. 
Featuring: The Children of Oxhey Infants School, Watford")</f>
        <v>A black and white cloud appears in Teletubbyland. The Teletubbies watch 
some children finding out about things that are coloured black. Dipsy 
leaves his hat behind, but when he comes to find it, the Noo-Noo has tidied 
up. Later, the Noo-Noo blows it out before the Magic Windmill stops 
spinning as the Tubby Bye-Bye sequence takes place. 
Featuring: The Children of Oxhey Infants School, Watford</v>
      </c>
    </row>
    <row r="228">
      <c r="A228">
        <f>IFERROR(__xludf.DUMMYFUNCTION("""COMPUTED_VALUE"""),232.0)</f>
        <v>232</v>
      </c>
      <c r="B228" t="str">
        <f>IFERROR(__xludf.DUMMYFUNCTION("""COMPUTED_VALUE"""),"""Pebbles""")</f>
        <v>"Pebbles"</v>
      </c>
      <c r="C228" t="str">
        <f>IFERROR(__xludf.DUMMYFUNCTION("""COMPUTED_VALUE"""),"15 December 1998 (1998-12-15)")</f>
        <v>15 December 1998 (1998-12-15)</v>
      </c>
    </row>
    <row r="229">
      <c r="A229" t="str">
        <f>IFERROR(__xludf.DUMMYFUNCTION("""COMPUTED_VALUE"""),"The Teletubbies walk around the tree and the windmill starts to spin when 
they watch two boys and two girls pick up pebbles to create a smile face in 
the sand with their dad. Later, in Teletubbyland, It Was Time for Tubby 
Toast, But The Tubby Toast Mac"&amp;"hine Wouldn't Work. So Tinky-Winky Tried It 
Again But It Still Wouldn't Work. So He Tried It Again But It Beeped 3 
Times, But Then The Tubby Toast Made 3 Tubby Toasts for 4 Teletubbies. (The 
Tubby Toast Has Made a Happy Pattern On The Table). Then The "&amp;"Teletubbies Do 
The Stretching Dance, And Then The Magic Windmill stopped spinning as The 
Tubby Bye-Bye Takes Place. 
Featuring: Eloise Casey, Harry Fellows, Aisha Merrick, Jordan Yahya")</f>
        <v>The Teletubbies walk around the tree and the windmill starts to spin when 
they watch two boys and two girls pick up pebbles to create a smile face in 
the sand with their dad. Later, in Teletubbyland, It Was Time for Tubby 
Toast, But The Tubby Toast Machine Wouldn't Work. So Tinky-Winky Tried It 
Again But It Still Wouldn't Work. So He Tried It Again But It Beeped 3 
Times, But Then The Tubby Toast Made 3 Tubby Toasts for 4 Teletubbies. (The 
Tubby Toast Has Made a Happy Pattern On The Table). Then The Teletubbies Do 
The Stretching Dance, And Then The Magic Windmill stopped spinning as The 
Tubby Bye-Bye Takes Place. 
Featuring: Eloise Casey, Harry Fellows, Aisha Merrick, Jordan Yahya</v>
      </c>
    </row>
    <row r="230">
      <c r="A230">
        <f>IFERROR(__xludf.DUMMYFUNCTION("""COMPUTED_VALUE"""),233.0)</f>
        <v>233</v>
      </c>
      <c r="B230" t="str">
        <f>IFERROR(__xludf.DUMMYFUNCTION("""COMPUTED_VALUE"""),"""Otters""")</f>
        <v>"Otters"</v>
      </c>
      <c r="C230" t="str">
        <f>IFERROR(__xludf.DUMMYFUNCTION("""COMPUTED_VALUE"""),"16 December 1998 (1998-12-16)")</f>
        <v>16 December 1998 (1998-12-16)</v>
      </c>
    </row>
    <row r="231">
      <c r="A231" t="str">
        <f>IFERROR(__xludf.DUMMYFUNCTION("""COMPUTED_VALUE"""),"Dipsy and Po watch the clouds together and children look for otters. 
Featuring: Andy Brown with Letesha Gray, Jamie McCullum and Louie Whatling")</f>
        <v>Dipsy and Po watch the clouds together and children look for otters. 
Featuring: Andy Brown with Letesha Gray, Jamie McCullum and Louie Whatling</v>
      </c>
    </row>
    <row r="232">
      <c r="A232">
        <f>IFERROR(__xludf.DUMMYFUNCTION("""COMPUTED_VALUE"""),234.0)</f>
        <v>234</v>
      </c>
      <c r="B232" t="str">
        <f>IFERROR(__xludf.DUMMYFUNCTION("""COMPUTED_VALUE"""),"""Decorating Boxes""")</f>
        <v>"Decorating Boxes"</v>
      </c>
      <c r="C232" t="str">
        <f>IFERROR(__xludf.DUMMYFUNCTION("""COMPUTED_VALUE"""),"17 December 1998 (1998-12-17)")</f>
        <v>17 December 1998 (1998-12-17)</v>
      </c>
    </row>
    <row r="233">
      <c r="A233" t="str">
        <f>IFERROR(__xludf.DUMMYFUNCTION("""COMPUTED_VALUE"""),"The Teletubbies do the Bumping Dance and then watch children making boxes 
into a caterpillar. A Box appears from Far Away but it's no ordinary Box. 
The Teletubbies want to know what's in the box. It's a Jack in the Box. The 
Teletubbies think that the J"&amp;"ack in the Box is very surprising, then they 
all run away before the Jack in the Box disappears. 
Featuring: Christopher &amp; Stephen Bone, Sarah &amp; Jason Brooker, Lawrence &amp; 
Catherine Smith, Lucienne Spencer and Oliver Taylor")</f>
        <v>The Teletubbies do the Bumping Dance and then watch children making boxes 
into a caterpillar. A Box appears from Far Away but it's no ordinary Box. 
The Teletubbies want to know what's in the box. It's a Jack in the Box. The 
Teletubbies think that the Jack in the Box is very surprising, then they 
all run away before the Jack in the Box disappears. 
Featuring: Christopher &amp; Stephen Bone, Sarah &amp; Jason Brooker, Lawrence &amp; 
Catherine Smith, Lucienne Spencer and Oliver Taylor</v>
      </c>
    </row>
    <row r="234">
      <c r="A234">
        <f>IFERROR(__xludf.DUMMYFUNCTION("""COMPUTED_VALUE"""),235.0)</f>
        <v>235</v>
      </c>
      <c r="B234" t="str">
        <f>IFERROR(__xludf.DUMMYFUNCTION("""COMPUTED_VALUE"""),"""Kathak Dancing""")</f>
        <v>"Kathak Dancing"</v>
      </c>
      <c r="C234" t="str">
        <f>IFERROR(__xludf.DUMMYFUNCTION("""COMPUTED_VALUE"""),"18 December 1998 (1998-12-18)")</f>
        <v>18 December 1998 (1998-12-18)</v>
      </c>
    </row>
    <row r="235">
      <c r="A235" t="str">
        <f>IFERROR(__xludf.DUMMYFUNCTION("""COMPUTED_VALUE"""),"The Teletubbies bump tummies and then watch five girls dance a Kathak 
dance. The Teletubbies play a game and swap their favorite things, but they 
are very happy when they each have their own special favourite things back. 
Featuring: Pooja Chapenara, Ne"&amp;"elam Gohil, Ritika Mehrotra, Saijal Reahal 
and Devina Vig")</f>
        <v>The Teletubbies bump tummies and then watch five girls dance a Kathak 
dance. The Teletubbies play a game and swap their favorite things, but they 
are very happy when they each have their own special favourite things back. 
Featuring: Pooja Chapenara, Neelam Gohil, Ritika Mehrotra, Saijal Reahal 
and Devina Vig</v>
      </c>
    </row>
    <row r="236">
      <c r="A236">
        <f>IFERROR(__xludf.DUMMYFUNCTION("""COMPUTED_VALUE"""),236.0)</f>
        <v>236</v>
      </c>
      <c r="B236" t="str">
        <f>IFERROR(__xludf.DUMMYFUNCTION("""COMPUTED_VALUE"""),"""Christmas in South Africa""")</f>
        <v>"Christmas in South Africa"</v>
      </c>
      <c r="C236" t="str">
        <f>IFERROR(__xludf.DUMMYFUNCTION("""COMPUTED_VALUE"""),"21 December 1998 (1998-12-21)")</f>
        <v>21 December 1998 (1998-12-21)</v>
      </c>
    </row>
    <row r="237">
      <c r="A237" t="str">
        <f>IFERROR(__xludf.DUMMYFUNCTION("""COMPUTED_VALUE"""),"The Teletubbies are playing with their favorite things, but stop to learn 
about a South African Christmas. Lots of clouds appear in Teletubbyland and 
it begins to snow. The excited Teletubbies run inside their Tubbytronic 
Superdome and watch the snow f"&amp;"rom the window before running out to dance a 
snowy dance. 
Featuring: Eira &amp; Catherine Palme and The Children from Sante Sana Game 
Reserve, South Africa")</f>
        <v>The Teletubbies are playing with their favorite things, but stop to learn 
about a South African Christmas. Lots of clouds appear in Teletubbyland and 
it begins to snow. The excited Teletubbies run inside their Tubbytronic 
Superdome and watch the snow from the window before running out to dance a 
snowy dance. 
Featuring: Eira &amp; Catherine Palme and The Children from Sante Sana Game 
Reserve, South Africa</v>
      </c>
    </row>
    <row r="238">
      <c r="A238">
        <f>IFERROR(__xludf.DUMMYFUNCTION("""COMPUTED_VALUE"""),237.0)</f>
        <v>237</v>
      </c>
      <c r="B238" t="str">
        <f>IFERROR(__xludf.DUMMYFUNCTION("""COMPUTED_VALUE"""),"""Christmas in Finland""")</f>
        <v>"Christmas in Finland"</v>
      </c>
      <c r="C238" t="str">
        <f>IFERROR(__xludf.DUMMYFUNCTION("""COMPUTED_VALUE"""),"22 December 1998 (1998-12-22)")</f>
        <v>22 December 1998 (1998-12-22)</v>
      </c>
    </row>
    <row r="239">
      <c r="A239" t="str">
        <f>IFERROR(__xludf.DUMMYFUNCTION("""COMPUTED_VALUE"""),"Po remembers the snow and looks outside through the window at the snow. She 
rushes to the other Teletubbies due to the Windmill Spinning and all the 
Teletubbies watch some Finnish children sing ""The Elves' Christmas Night."" 
When the Teletubbies take "&amp;"a walk and look at the things that are covered in 
snow, they find out that their favourite things are covered in snow, too. 
First, Tinky Winky finds his bag. Second, Dipsy finds his hat. Third, 
Laa-Laa finds her ball. At last, Po finds her scooter. Aft"&amp;"erwards, the 
Teletubbies are happy playing with them. Po rides too fast and slips around 
Teletubbyland and crashes into a tree, which covers her in snow when she 
says ""Uh-oh!"" and then giggles all the time. The other Teletubbies go find 
out what hap"&amp;"pened. When Tinky Winky, Dipsy and Laa-Laa find something 
covered in snow and they don't know what it is, Po pops out of the snow 
when she sits up and they all have a Big Hug. 
Featuring: Tuomas, Natias, Katarina, Sofia, Aleksi, Daniel, Alexander, 
Mika"&amp;", Anni, Vilma, Jaaskelainan, Henrietta, Emma, Tuuli, Ella, Hanna, Riku, 
Suvi and Annika")</f>
        <v>Po remembers the snow and looks outside through the window at the snow. She 
rushes to the other Teletubbies due to the Windmill Spinning and all the 
Teletubbies watch some Finnish children sing "The Elves' Christmas Night." 
When the Teletubbies take a walk and look at the things that are covered in 
snow, they find out that their favourite things are covered in snow, too. 
First, Tinky Winky finds his bag. Second, Dipsy finds his hat. Third, 
Laa-Laa finds her ball. At last, Po finds her scooter. Afterwards, the 
Teletubbies are happy playing with them. Po rides too fast and slips around 
Teletubbyland and crashes into a tree, which covers her in snow when she 
says "Uh-oh!" and then giggles all the time. The other Teletubbies go find 
out what happened. When Tinky Winky, Dipsy and Laa-Laa find something 
covered in snow and they don't know what it is, Po pops out of the snow 
when she sits up and they all have a Big Hug. 
Featuring: Tuomas, Natias, Katarina, Sofia, Aleksi, Daniel, Alexander, 
Mika, Anni, Vilma, Jaaskelainan, Henrietta, Emma, Tuuli, Ella, Hanna, Riku, 
Suvi and Annika</v>
      </c>
    </row>
    <row r="240">
      <c r="A240">
        <f>IFERROR(__xludf.DUMMYFUNCTION("""COMPUTED_VALUE"""),238.0)</f>
        <v>238</v>
      </c>
      <c r="B240" t="str">
        <f>IFERROR(__xludf.DUMMYFUNCTION("""COMPUTED_VALUE"""),"""Christmas in the UK""")</f>
        <v>"Christmas in the UK"</v>
      </c>
      <c r="C240" t="str">
        <f>IFERROR(__xludf.DUMMYFUNCTION("""COMPUTED_VALUE"""),"23 December 1998 (1998-12-23)")</f>
        <v>23 December 1998 (1998-12-23)</v>
      </c>
    </row>
    <row r="241">
      <c r="A241" t="str">
        <f>IFERROR(__xludf.DUMMYFUNCTION("""COMPUTED_VALUE"""),"Dipsy remembers the snow. The Teletubbies watch some children gospel 
singing and go into the snow. They are walking very carefully because the 
snow can be very slippery. When Tinky Winky slips, he begins to slide. It 
looks like fun so the other Teletub"&amp;"bies slide in the snow too. Laa-Laa 
wants to slide too so she slips and slides down the snow. It is Po's turn 
so she slides down the snow too. Tinky Winky, Laa-Laa and Po want Dipsy to 
play sliding, but he is too scared until he slides down the snow. H"&amp;"e is not 
scared anymore when the other Teletubbies and narrator say ""What clever 
sliding"". 
Featuring: The New Testament Church of God, Birmingham")</f>
        <v>Dipsy remembers the snow. The Teletubbies watch some children gospel 
singing and go into the snow. They are walking very carefully because the 
snow can be very slippery. When Tinky Winky slips, he begins to slide. It 
looks like fun so the other Teletubbies slide in the snow too. Laa-Laa 
wants to slide too so she slips and slides down the snow. It is Po's turn 
so she slides down the snow too. Tinky Winky, Laa-Laa and Po want Dipsy to 
play sliding, but he is too scared until he slides down the snow. He is not 
scared anymore when the other Teletubbies and narrator say "What clever 
sliding". 
Featuring: The New Testament Church of God, Birmingham</v>
      </c>
    </row>
    <row r="242">
      <c r="A242">
        <f>IFERROR(__xludf.DUMMYFUNCTION("""COMPUTED_VALUE"""),239.0)</f>
        <v>239</v>
      </c>
      <c r="B242" t="str">
        <f>IFERROR(__xludf.DUMMYFUNCTION("""COMPUTED_VALUE"""),"""Christmas in Spain""")</f>
        <v>"Christmas in Spain"</v>
      </c>
      <c r="C242" t="str">
        <f>IFERROR(__xludf.DUMMYFUNCTION("""COMPUTED_VALUE"""),"24 December 1998 (1998-12-24)")</f>
        <v>24 December 1998 (1998-12-24)</v>
      </c>
    </row>
    <row r="243">
      <c r="A243" t="str">
        <f>IFERROR(__xludf.DUMMYFUNCTION("""COMPUTED_VALUE"""),"Inside the House, Laa Laa was asleep in her bed and then she remembers the 
snow. The Teletubbies learn about a Spanish Christmas. The Teletubbies are 
very busy in the snow, Tinky Winky and Dipsy make foot prints, Po makes a 
Po print and Laa-Laa makes a"&amp;" very small snowball. Laa Laa's snowball rolls 
away and grows bigger and bigger, the Teletubbies chase after it until it 
rolls up a hill and back down, the Teletubbies all run away from the big 
snowball. The big snowball rolls into the house and crashe"&amp;"s into Noo Noo. 
The Teletubbies run inside to find Noo Noo covered in snow, what a snowy 
mess, then Noo Noo tidies up all the snow. Clever Noo Noo. 
Featuring: Maria Ballester, The Duesa Family and The Juanet Family")</f>
        <v>Inside the House, Laa Laa was asleep in her bed and then she remembers the 
snow. The Teletubbies learn about a Spanish Christmas. The Teletubbies are 
very busy in the snow, Tinky Winky and Dipsy make foot prints, Po makes a 
Po print and Laa-Laa makes a very small snowball. Laa Laa's snowball rolls 
away and grows bigger and bigger, the Teletubbies chase after it until it 
rolls up a hill and back down, the Teletubbies all run away from the big 
snowball. The big snowball rolls into the house and crashes into Noo Noo. 
The Teletubbies run inside to find Noo Noo covered in snow, what a snowy 
mess, then Noo Noo tidies up all the snow. Clever Noo Noo. 
Featuring: Maria Ballester, The Duesa Family and The Juanet Family</v>
      </c>
    </row>
    <row r="244">
      <c r="A244">
        <f>IFERROR(__xludf.DUMMYFUNCTION("""COMPUTED_VALUE"""),240.0)</f>
        <v>240</v>
      </c>
      <c r="B244" t="str">
        <f>IFERROR(__xludf.DUMMYFUNCTION("""COMPUTED_VALUE"""),"""Nativity Play""")</f>
        <v>"Nativity Play"</v>
      </c>
      <c r="C244" t="str">
        <f>IFERROR(__xludf.DUMMYFUNCTION("""COMPUTED_VALUE"""),"25 December 1998 (1998-12-25)")</f>
        <v>25 December 1998 (1998-12-25)</v>
      </c>
    </row>
    <row r="245">
      <c r="A245" t="str">
        <f>IFERROR(__xludf.DUMMYFUNCTION("""COMPUTED_VALUE"""),"Tinky Winky remembers the snow, Just then he suddenly sees the Magic 
Windmill spinning. The Teletubbies watch some children perform a Nativity 
Play, then they get busy making snowballs. All the snowballs are different 
sizes, so the Teletubbies decide t"&amp;"o use their snowballs to make a 
snowtubby. They all love their Snowtubby so much they give him their 
favourite things. 
Featuring: Overdale Nursery School, Scarborough")</f>
        <v>Tinky Winky remembers the snow, Just then he suddenly sees the Magic 
Windmill spinning. The Teletubbies watch some children perform a Nativity 
Play, then they get busy making snowballs. All the snowballs are different 
sizes, so the Teletubbies decide to use their snowballs to make a 
snowtubby. They all love their Snowtubby so much they give him their 
favourite things. 
Featuring: Overdale Nursery School, Scarborough</v>
      </c>
    </row>
    <row r="246">
      <c r="A246">
        <f>IFERROR(__xludf.DUMMYFUNCTION("""COMPUTED_VALUE"""),241.0)</f>
        <v>241</v>
      </c>
      <c r="B246" t="str">
        <f>IFERROR(__xludf.DUMMYFUNCTION("""COMPUTED_VALUE"""),"""Towers""")</f>
        <v>"Towers"</v>
      </c>
      <c r="C246" t="str">
        <f>IFERROR(__xludf.DUMMYFUNCTION("""COMPUTED_VALUE"""),"28 December 1998 (1998-12-28)")</f>
        <v>28 December 1998 (1998-12-28)</v>
      </c>
    </row>
    <row r="247">
      <c r="A247" t="str">
        <f>IFERROR(__xludf.DUMMYFUNCTION("""COMPUTED_VALUE"""),"The Teletubbies walk on some hills before watching some children making 
towers out of bricks. Dipsy and Laa-Laa have fun going up and down. 
Featuring: The Children of Bartlemas Nursery School, Oxford")</f>
        <v>The Teletubbies walk on some hills before watching some children making 
towers out of bricks. Dipsy and Laa-Laa have fun going up and down. 
Featuring: The Children of Bartlemas Nursery School, Oxford</v>
      </c>
    </row>
    <row r="248">
      <c r="A248">
        <f>IFERROR(__xludf.DUMMYFUNCTION("""COMPUTED_VALUE"""),242.0)</f>
        <v>242</v>
      </c>
      <c r="B248" t="str">
        <f>IFERROR(__xludf.DUMMYFUNCTION("""COMPUTED_VALUE"""),"""Oranges and Lemons""")</f>
        <v>"Oranges and Lemons"</v>
      </c>
      <c r="C248" t="str">
        <f>IFERROR(__xludf.DUMMYFUNCTION("""COMPUTED_VALUE"""),"29 December 1998 (1998-12-29)")</f>
        <v>29 December 1998 (1998-12-29)</v>
      </c>
    </row>
    <row r="249">
      <c r="A249" t="str">
        <f>IFERROR(__xludf.DUMMYFUNCTION("""COMPUTED_VALUE"""),"The Teletubbies are inside Home Hill when a voice trumpet rises and plays 
church bell noises, then the Magic Windmill spins and the Teletubbies watch 
some children playing a game called Oranges and Lemons. Later, a ringing 
bell appears in Teletubbyland"&amp;". Dipsy rings the bell, and it makes a very 
loud ringing sound. After the ringing bell disappears, the Magic Windmill 
stops spinning, and it is time for Tubby Bye Bye. 
Featuring: Children from the Heidi Rhodes School of Dancing")</f>
        <v>The Teletubbies are inside Home Hill when a voice trumpet rises and plays 
church bell noises, then the Magic Windmill spins and the Teletubbies watch 
some children playing a game called Oranges and Lemons. Later, a ringing 
bell appears in Teletubbyland. Dipsy rings the bell, and it makes a very 
loud ringing sound. After the ringing bell disappears, the Magic Windmill 
stops spinning, and it is time for Tubby Bye Bye. 
Featuring: Children from the Heidi Rhodes School of Dancing</v>
      </c>
    </row>
    <row r="250">
      <c r="A250">
        <f>IFERROR(__xludf.DUMMYFUNCTION("""COMPUTED_VALUE"""),243.0)</f>
        <v>243</v>
      </c>
      <c r="B250" t="str">
        <f>IFERROR(__xludf.DUMMYFUNCTION("""COMPUTED_VALUE"""),"""Feeding Baby Penguins""")</f>
        <v>"Feeding Baby Penguins"</v>
      </c>
      <c r="C250" t="str">
        <f>IFERROR(__xludf.DUMMYFUNCTION("""COMPUTED_VALUE"""),"30 December 1998 (1998-12-30)")</f>
        <v>30 December 1998 (1998-12-30)</v>
      </c>
    </row>
    <row r="251">
      <c r="A251" t="str">
        <f>IFERROR(__xludf.DUMMYFUNCTION("""COMPUTED_VALUE"""),"Inside the Teletubbies' Superdome, Tinky Winky is starting to have Tubby 
Custard, when the Windmill spins. Tinky Winky turns off the Tubby Custard 
Machine and rushes outside to fetch the other Teletubbies and they watch 
group of youngsters feed a flock"&amp;" of baby penguins. The Magic Windmill 
starts to spin and the Teletubbies run off to the Magical Event of the Bear 
and the Lion appear playing hide and seek in the Teletubbyland. After that 
the Teletubbies go to the path to do the Jumping Dance before t"&amp;"he Magic 
Windmill spins, the Teletubbies said ""Uh Oh"" and the Magic Windmill stops 
spinning for Tubby Bye-Bye. 
Featuring: Hannah Mackay, Alex, Jess &amp; Jo Osborne and Catherine Watkins")</f>
        <v>Inside the Teletubbies' Superdome, Tinky Winky is starting to have Tubby 
Custard, when the Windmill spins. Tinky Winky turns off the Tubby Custard 
Machine and rushes outside to fetch the other Teletubbies and they watch 
group of youngsters feed a flock of baby penguins. The Magic Windmill 
starts to spin and the Teletubbies run off to the Magical Event of the Bear 
and the Lion appear playing hide and seek in the Teletubbyland. After that 
the Teletubbies go to the path to do the Jumping Dance before the Magic 
Windmill spins, the Teletubbies said "Uh Oh" and the Magic Windmill stops 
spinning for Tubby Bye-Bye. 
Featuring: Hannah Mackay, Alex, Jess &amp; Jo Osborne and Catherine Watkins</v>
      </c>
    </row>
    <row r="252">
      <c r="A252">
        <f>IFERROR(__xludf.DUMMYFUNCTION("""COMPUTED_VALUE"""),244.0)</f>
        <v>244</v>
      </c>
      <c r="B252" t="str">
        <f>IFERROR(__xludf.DUMMYFUNCTION("""COMPUTED_VALUE"""),"""Trickle Painting""")</f>
        <v>"Trickle Painting"</v>
      </c>
      <c r="C252" t="str">
        <f>IFERROR(__xludf.DUMMYFUNCTION("""COMPUTED_VALUE"""),"31 December 1998 (1998-12-31)")</f>
        <v>31 December 1998 (1998-12-31)</v>
      </c>
    </row>
    <row r="253">
      <c r="A253" t="str">
        <f>IFERROR(__xludf.DUMMYFUNCTION("""COMPUTED_VALUE"""),"The Teletubbies walk round some hills, then they watch some children make 
pictures called Trickle Paintings. Inside the house, it's time for Po to 
have Tubby Custard, but the Tubby Custard Machine won't stop and makes more 
and more Tubby Custard, Po tu"&amp;"rns the Tubby Custard Machine off and it's 
time for the Noo Noo to tidy up, the Teletubbies love Noo Noo very much. 
Featuring: Christopher &amp; Stephen Bone and Lawrence &amp; Catherine Smith")</f>
        <v>The Teletubbies walk round some hills, then they watch some children make 
pictures called Trickle Paintings. Inside the house, it's time for Po to 
have Tubby Custard, but the Tubby Custard Machine won't stop and makes more 
and more Tubby Custard, Po turns the Tubby Custard Machine off and it's 
time for the Noo Noo to tidy up, the Teletubbies love Noo Noo very much. 
Featuring: Christopher &amp; Stephen Bone and Lawrence &amp; Catherine Smith</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IFERROR(__xludf.DUMMYFUNCTION("IMPORTHTML(""https://fr.wikipedia.org/wiki/Ang%C3%A8le_(chanteuse)"", ""table"")"),"Nom de naissance")</f>
        <v>Nom de naissance</v>
      </c>
      <c r="B1" t="str">
        <f>IFERROR(__xludf.DUMMYFUNCTION("""COMPUTED_VALUE"""),"Angèle Joséphine Aimée Van Laeken")</f>
        <v>Angèle Joséphine Aimée Van Laeken</v>
      </c>
    </row>
    <row r="2">
      <c r="A2" t="str">
        <f>IFERROR(__xludf.DUMMYFUNCTION("""COMPUTED_VALUE"""),"Naissance")</f>
        <v>Naissance</v>
      </c>
      <c r="B2" t="str">
        <f>IFERROR(__xludf.DUMMYFUNCTION("""COMPUTED_VALUE"""),"3décembre1995(30 ans)
Uccle (Belgique)")</f>
        <v>3décembre1995(30 ans)
Uccle (Belgique)</v>
      </c>
    </row>
    <row r="3">
      <c r="A3" t="str">
        <f>IFERROR(__xludf.DUMMYFUNCTION("""COMPUTED_VALUE"""),"Nationalité")</f>
        <v>Nationalité</v>
      </c>
      <c r="B3" t="str">
        <f>IFERROR(__xludf.DUMMYFUNCTION("""COMPUTED_VALUE"""),"Belge")</f>
        <v>Belge</v>
      </c>
    </row>
    <row r="4">
      <c r="A4" t="str">
        <f>IFERROR(__xludf.DUMMYFUNCTION("""COMPUTED_VALUE"""),"Activité principale")</f>
        <v>Activité principale</v>
      </c>
      <c r="B4" t="str">
        <f>IFERROR(__xludf.DUMMYFUNCTION("""COMPUTED_VALUE"""),"Auteure-compositrice-interprète
Musicienne
Productrice
Actrice
Mannequin")</f>
        <v>Auteure-compositrice-interprète
Musicienne
Productrice
Actrice
Mannequin</v>
      </c>
    </row>
    <row r="5">
      <c r="A5" t="str">
        <f>IFERROR(__xludf.DUMMYFUNCTION("""COMPUTED_VALUE"""),"Genre musical")</f>
        <v>Genre musical</v>
      </c>
      <c r="B5" t="str">
        <f>IFERROR(__xludf.DUMMYFUNCTION("""COMPUTED_VALUE"""),"- Chanson
   - Pop")</f>
        <v>- Chanson
   - Pop</v>
      </c>
    </row>
    <row r="6">
      <c r="A6" t="str">
        <f>IFERROR(__xludf.DUMMYFUNCTION("""COMPUTED_VALUE"""),"Instruments")</f>
        <v>Instruments</v>
      </c>
      <c r="B6" t="str">
        <f>IFERROR(__xludf.DUMMYFUNCTION("""COMPUTED_VALUE"""),"- Voix
   - Piano")</f>
        <v>- Voix
   - Piano</v>
      </c>
    </row>
    <row r="7">
      <c r="A7" t="str">
        <f>IFERROR(__xludf.DUMMYFUNCTION("""COMPUTED_VALUE"""),"Années actives")</f>
        <v>Années actives</v>
      </c>
      <c r="B7" t="str">
        <f>IFERROR(__xludf.DUMMYFUNCTION("""COMPUTED_VALUE"""),"Depuis 2015")</f>
        <v>Depuis 2015</v>
      </c>
    </row>
    <row r="8">
      <c r="A8" t="str">
        <f>IFERROR(__xludf.DUMMYFUNCTION("""COMPUTED_VALUE"""),"Labels")</f>
        <v>Labels</v>
      </c>
      <c r="B8" t="str">
        <f>IFERROR(__xludf.DUMMYFUNCTION("""COMPUTED_VALUE"""),"- Angèle VL
   - Initial Artist Services
   - Universal Music France")</f>
        <v>- Angèle VL
   - Initial Artist Services
   - Universal Music France</v>
      </c>
    </row>
    <row r="9">
      <c r="A9" t="str">
        <f>IFERROR(__xludf.DUMMYFUNCTION("""COMPUTED_VALUE"""),"Site officiel")</f>
        <v>Site officiel</v>
      </c>
      <c r="B9" s="7" t="str">
        <f>IFERROR(__xludf.DUMMYFUNCTION("""COMPUTED_VALUE"""),"www.angelevl.be")</f>
        <v>www.angelevl.be</v>
      </c>
    </row>
    <row r="11">
      <c r="E11" s="1" t="s">
        <v>33</v>
      </c>
    </row>
    <row r="12">
      <c r="E12" s="1" t="s">
        <v>34</v>
      </c>
    </row>
    <row r="13">
      <c r="E13" s="1" t="s">
        <v>35</v>
      </c>
    </row>
    <row r="16">
      <c r="E16" s="1" t="s">
        <v>36</v>
      </c>
    </row>
    <row r="17">
      <c r="E17" s="1" t="s">
        <v>37</v>
      </c>
    </row>
  </sheetData>
  <hyperlinks>
    <hyperlink r:id="rId1" ref="B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tr">
        <f>IFERROR(__xludf.DUMMYFUNCTION(" IMPORTHTML(""https://en.wikipedia.org/wiki/List_of_Teletubbies_episodes_and_videos"",""table"")"),"No.")</f>
        <v>No.</v>
      </c>
      <c r="B1" s="8" t="str">
        <f>IFERROR(__xludf.DUMMYFUNCTION("""COMPUTED_VALUE"""),"Title")</f>
        <v>Title</v>
      </c>
      <c r="C1" s="8" t="str">
        <f>IFERROR(__xludf.DUMMYFUNCTION("""COMPUTED_VALUE"""),"Original release date")</f>
        <v>Original release date</v>
      </c>
      <c r="D1" s="8"/>
      <c r="E1" s="8"/>
      <c r="F1" s="8"/>
      <c r="G1" s="9"/>
      <c r="H1" s="8"/>
      <c r="I1" s="8"/>
      <c r="J1" s="8"/>
      <c r="K1" s="8"/>
      <c r="L1" s="8"/>
      <c r="M1" s="8"/>
      <c r="N1" s="8"/>
      <c r="O1" s="8"/>
      <c r="P1" s="8"/>
      <c r="Q1" s="8"/>
      <c r="R1" s="8"/>
      <c r="S1" s="8"/>
      <c r="T1" s="8"/>
      <c r="U1" s="8"/>
      <c r="V1" s="8"/>
      <c r="W1" s="8"/>
      <c r="X1" s="8"/>
      <c r="Y1" s="8"/>
      <c r="Z1" s="8"/>
    </row>
    <row r="2">
      <c r="A2" s="8">
        <f>IFERROR(__xludf.DUMMYFUNCTION("""COMPUTED_VALUE"""),119.0)</f>
        <v>119</v>
      </c>
      <c r="B2" s="8" t="str">
        <f>IFERROR(__xludf.DUMMYFUNCTION("""COMPUTED_VALUE"""),"""Colours – Pink""")</f>
        <v>"Colours – Pink"</v>
      </c>
      <c r="C2" s="8" t="str">
        <f>IFERROR(__xludf.DUMMYFUNCTION("""COMPUTED_VALUE"""),"1 January 1998 (1998-01-01)")</f>
        <v>1 January 1998 (1998-01-01)</v>
      </c>
      <c r="D2" s="8"/>
      <c r="E2" s="8"/>
      <c r="F2" s="8"/>
      <c r="G2" s="8"/>
      <c r="H2" s="8"/>
      <c r="I2" s="8"/>
      <c r="J2" s="8"/>
      <c r="K2" s="8"/>
      <c r="L2" s="8"/>
      <c r="M2" s="8"/>
      <c r="N2" s="8"/>
      <c r="O2" s="8"/>
      <c r="P2" s="8"/>
      <c r="Q2" s="8"/>
      <c r="R2" s="8"/>
      <c r="S2" s="8"/>
      <c r="T2" s="8"/>
      <c r="U2" s="8"/>
      <c r="V2" s="8"/>
      <c r="W2" s="8"/>
      <c r="X2" s="8"/>
      <c r="Y2" s="8"/>
      <c r="Z2" s="8"/>
    </row>
    <row r="3">
      <c r="A3" s="8" t="str">
        <f>IFERROR(__xludf.DUMMYFUNCTION("""COMPUTED_VALUE"""),"The Teletubbies march up and down the hill and then they watch some 
children explore the colour pink. Po makes Tubby Custard which is pink too. 
She gets a Tubby Custard bowl, uses a Tubby Custard tap and turns on the 
Tubby Custard and the Tubby Cusard "&amp;"enter her bowl. Finally, when Po gets a 
bowl of Tubby Custard, she sees and hears Tinky-Winky coming around her. 
She shows him her bowl of Tubby Custard. Tinky Winky wants some Tubby 
Custard too, but he doesn't know how to make it. When Po tells him he"&amp;" needs 
a bowl, Tinky Winky gets it too but accidentally makes a mess around Home 
Hill. She was so surprised when he was accidentally spreading Tubby Custard 
all over her. He accidentally spreads it on the Noo-Noo as well. Just then, 
Laa-Laa comes in t"&amp;"o play with her ball when she sees Tubby Custard 
splattering all over her ball. The Noo-Noo tidies up the mess and around 
himself, too. Teletubbies give him a big hug before the Pink Tubby Custard 
Spots segment is over. 
Featuring: The Children of Oxhe"&amp;"y Infants School, Watford")</f>
        <v>The Teletubbies march up and down the hill and then they watch some 
children explore the colour pink. Po makes Tubby Custard which is pink too. 
She gets a Tubby Custard bowl, uses a Tubby Custard tap and turns on the 
Tubby Custard and the Tubby Cusard enter her bowl. Finally, when Po gets a 
bowl of Tubby Custard, she sees and hears Tinky-Winky coming around her. 
She shows him her bowl of Tubby Custard. Tinky Winky wants some Tubby 
Custard too, but he doesn't know how to make it. When Po tells him he needs 
a bowl, Tinky Winky gets it too but accidentally makes a mess around Home 
Hill. She was so surprised when he was accidentally spreading Tubby Custard 
all over her. He accidentally spreads it on the Noo-Noo as well. Just then, 
Laa-Laa comes in to play with her ball when she sees Tubby Custard 
splattering all over her ball. The Noo-Noo tidies up the mess and around 
himself, too. Teletubbies give him a big hug before the Pink Tubby Custard 
Spots segment is over. 
Featuring: The Children of Oxhey Infants School, Watford</v>
      </c>
      <c r="B3" s="8"/>
      <c r="C3" s="8"/>
      <c r="D3" s="8"/>
      <c r="E3" s="8"/>
      <c r="F3" s="8"/>
      <c r="G3" s="8"/>
      <c r="H3" s="8"/>
      <c r="I3" s="8"/>
      <c r="J3" s="8"/>
      <c r="K3" s="8"/>
      <c r="L3" s="8"/>
      <c r="M3" s="8"/>
      <c r="N3" s="8"/>
      <c r="O3" s="8"/>
      <c r="P3" s="8"/>
      <c r="Q3" s="8"/>
      <c r="R3" s="8"/>
      <c r="S3" s="8"/>
      <c r="T3" s="8"/>
      <c r="U3" s="8"/>
      <c r="V3" s="8"/>
      <c r="W3" s="8"/>
      <c r="X3" s="8"/>
      <c r="Y3" s="8"/>
      <c r="Z3" s="8"/>
    </row>
    <row r="4">
      <c r="A4" s="8">
        <f>IFERROR(__xludf.DUMMYFUNCTION("""COMPUTED_VALUE"""),120.0)</f>
        <v>120</v>
      </c>
      <c r="B4" s="8" t="str">
        <f>IFERROR(__xludf.DUMMYFUNCTION("""COMPUTED_VALUE"""),"""Living in Flats""")</f>
        <v>"Living in Flats"</v>
      </c>
      <c r="C4" s="8" t="str">
        <f>IFERROR(__xludf.DUMMYFUNCTION("""COMPUTED_VALUE"""),"2 January 1998 (1998-01-02)")</f>
        <v>2 January 1998 (1998-01-02)</v>
      </c>
      <c r="D4" s="8"/>
      <c r="E4" s="8"/>
      <c r="F4" s="8"/>
      <c r="G4" s="8"/>
      <c r="H4" s="8"/>
      <c r="I4" s="8"/>
      <c r="J4" s="8"/>
      <c r="K4" s="8"/>
      <c r="L4" s="8"/>
      <c r="M4" s="8"/>
      <c r="N4" s="8"/>
      <c r="O4" s="8"/>
      <c r="P4" s="8"/>
      <c r="Q4" s="8"/>
      <c r="R4" s="8"/>
      <c r="S4" s="8"/>
      <c r="T4" s="8"/>
      <c r="U4" s="8"/>
      <c r="V4" s="8"/>
      <c r="W4" s="8"/>
      <c r="X4" s="8"/>
      <c r="Y4" s="8"/>
      <c r="Z4" s="8"/>
    </row>
    <row r="5">
      <c r="A5" s="8" t="str">
        <f>IFERROR(__xludf.DUMMYFUNCTION("""COMPUTED_VALUE"""),"Laa-Laa dances with her ball and the Teletubbies watch a boy describing why 
he likes to live in flats. A balloon appears in Teletubbyland and the 
Teletubbies follow it around until Po catches it and they all take turns to 
hold it. After they have their"&amp;" turns, all the Teletubbies wanted to hold 
the balloon, but they let go of it and it flies away into the sky. 
Featuring: Alan Henderson, Sharon and Ramone Moody")</f>
        <v>Laa-Laa dances with her ball and the Teletubbies watch a boy describing why 
he likes to live in flats. A balloon appears in Teletubbyland and the 
Teletubbies follow it around until Po catches it and they all take turns to 
hold it. After they have their turns, all the Teletubbies wanted to hold 
the balloon, but they let go of it and it flies away into the sky. 
Featuring: Alan Henderson, Sharon and Ramone Moody</v>
      </c>
      <c r="B5" s="8"/>
      <c r="C5" s="8"/>
      <c r="D5" s="8"/>
      <c r="E5" s="8"/>
      <c r="F5" s="8"/>
      <c r="G5" s="8"/>
      <c r="H5" s="8"/>
      <c r="I5" s="8"/>
      <c r="J5" s="8"/>
      <c r="K5" s="8"/>
      <c r="L5" s="8"/>
      <c r="M5" s="8"/>
      <c r="N5" s="8"/>
      <c r="O5" s="8"/>
      <c r="P5" s="8"/>
      <c r="Q5" s="8"/>
      <c r="R5" s="8"/>
      <c r="S5" s="8"/>
      <c r="T5" s="8"/>
      <c r="U5" s="8"/>
      <c r="V5" s="8"/>
      <c r="W5" s="8"/>
      <c r="X5" s="8"/>
      <c r="Y5" s="8"/>
      <c r="Z5" s="8"/>
    </row>
    <row r="6">
      <c r="A6" s="8">
        <f>IFERROR(__xludf.DUMMYFUNCTION("""COMPUTED_VALUE"""),121.0)</f>
        <v>121</v>
      </c>
      <c r="B6" s="8" t="str">
        <f>IFERROR(__xludf.DUMMYFUNCTION("""COMPUTED_VALUE"""),"""Urban Walk""")</f>
        <v>"Urban Walk"</v>
      </c>
      <c r="C6" s="8" t="str">
        <f>IFERROR(__xludf.DUMMYFUNCTION("""COMPUTED_VALUE"""),"5 January 1998 (1998-01-05)")</f>
        <v>5 January 1998 (1998-01-05)</v>
      </c>
      <c r="D6" s="8"/>
      <c r="E6" s="8"/>
      <c r="F6" s="8"/>
      <c r="G6" s="8"/>
      <c r="H6" s="8"/>
      <c r="I6" s="8"/>
      <c r="J6" s="8"/>
      <c r="K6" s="8"/>
      <c r="L6" s="8"/>
      <c r="M6" s="8"/>
      <c r="N6" s="8"/>
      <c r="O6" s="8"/>
      <c r="P6" s="8"/>
      <c r="Q6" s="8"/>
      <c r="R6" s="8"/>
      <c r="S6" s="8"/>
      <c r="T6" s="8"/>
      <c r="U6" s="8"/>
      <c r="V6" s="8"/>
      <c r="W6" s="8"/>
      <c r="X6" s="8"/>
      <c r="Y6" s="8"/>
      <c r="Z6" s="8"/>
    </row>
    <row r="7">
      <c r="A7" s="8" t="str">
        <f>IFERROR(__xludf.DUMMYFUNCTION("""COMPUTED_VALUE"""),"The Teletubbies play their Through the Arch game. But the Windmill 
interrupts them, so they go off to watch a little girl and her dad go for a 
walk. A traffic light appears in Teletubbyland and Po admires the traffic 
lights changing and has to wait for"&amp;" the traffic lights to change to green. 
Then Dipsy who's wearing his hat arrives only to have to wait for the 
traffic lights to change to green. Laa Laa comes along with her ball and 
wants Dipsy to play with it. Tinky Winky comes along with his handbag"&amp;" and 
he wants to walk on the red light but can't and has to wait. The light 
turns green and the teletubbies go and then the traffic lights disappear. 
Featuring: Ellie, Trixie and Kevin Greening")</f>
        <v>The Teletubbies play their Through the Arch game. But the Windmill 
interrupts them, so they go off to watch a little girl and her dad go for a 
walk. A traffic light appears in Teletubbyland and Po admires the traffic 
lights changing and has to wait for the traffic lights to change to green. 
Then Dipsy who's wearing his hat arrives only to have to wait for the 
traffic lights to change to green. Laa Laa comes along with her ball and 
wants Dipsy to play with it. Tinky Winky comes along with his handbag and 
he wants to walk on the red light but can't and has to wait. The light 
turns green and the teletubbies go and then the traffic lights disappear. 
Featuring: Ellie, Trixie and Kevin Greening</v>
      </c>
      <c r="B7" s="8"/>
      <c r="C7" s="8"/>
      <c r="D7" s="8"/>
      <c r="E7" s="8"/>
      <c r="F7" s="8"/>
      <c r="G7" s="8"/>
      <c r="H7" s="8"/>
      <c r="I7" s="8"/>
      <c r="J7" s="8"/>
      <c r="K7" s="8"/>
      <c r="L7" s="8"/>
      <c r="M7" s="8"/>
      <c r="N7" s="8"/>
      <c r="O7" s="8"/>
      <c r="P7" s="8"/>
      <c r="Q7" s="8"/>
      <c r="R7" s="8"/>
      <c r="S7" s="8"/>
      <c r="T7" s="8"/>
      <c r="U7" s="8"/>
      <c r="V7" s="8"/>
      <c r="W7" s="8"/>
      <c r="X7" s="8"/>
      <c r="Y7" s="8"/>
      <c r="Z7" s="8"/>
    </row>
    <row r="8">
      <c r="A8" s="8">
        <f>IFERROR(__xludf.DUMMYFUNCTION("""COMPUTED_VALUE"""),122.0)</f>
        <v>122</v>
      </c>
      <c r="B8" s="8" t="str">
        <f>IFERROR(__xludf.DUMMYFUNCTION("""COMPUTED_VALUE"""),"""Our Calf Treacle""")</f>
        <v>"Our Calf Treacle"</v>
      </c>
      <c r="C8" s="8" t="str">
        <f>IFERROR(__xludf.DUMMYFUNCTION("""COMPUTED_VALUE"""),"6 January 1998 (1998-01-06)")</f>
        <v>6 January 1998 (1998-01-06)</v>
      </c>
      <c r="D8" s="8"/>
      <c r="E8" s="8"/>
      <c r="F8" s="8"/>
      <c r="G8" s="8"/>
      <c r="H8" s="8"/>
      <c r="I8" s="8"/>
      <c r="J8" s="8"/>
      <c r="K8" s="8"/>
      <c r="L8" s="8"/>
      <c r="M8" s="8"/>
      <c r="N8" s="8"/>
      <c r="O8" s="8"/>
      <c r="P8" s="8"/>
      <c r="Q8" s="8"/>
      <c r="R8" s="8"/>
      <c r="S8" s="8"/>
      <c r="T8" s="8"/>
      <c r="U8" s="8"/>
      <c r="V8" s="8"/>
      <c r="W8" s="8"/>
      <c r="X8" s="8"/>
      <c r="Y8" s="8"/>
      <c r="Z8" s="8"/>
    </row>
    <row r="9">
      <c r="A9" s="8" t="str">
        <f>IFERROR(__xludf.DUMMYFUNCTION("""COMPUTED_VALUE"""),"The Teletubbies are at the top of a hill and they say their names. They 
then run down the hill and run up a hill. Next, they run up the hill. The 
Magic Windmill spins and the Teletubbies watch Mark and Matthew feed a baby 
calf. Then they play a game to"&amp;" see who can eat their Tubby Custard the 
slowest, but Po can't wait and eats hers very fast. 
Featuring: Matthew &amp; Mark Carnie")</f>
        <v>The Teletubbies are at the top of a hill and they say their names. They 
then run down the hill and run up a hill. Next, they run up the hill. The 
Magic Windmill spins and the Teletubbies watch Mark and Matthew feed a baby 
calf. Then they play a game to see who can eat their Tubby Custard the 
slowest, but Po can't wait and eats hers very fast. 
Featuring: Matthew &amp; Mark Carnie</v>
      </c>
      <c r="B9" s="8"/>
      <c r="C9" s="9"/>
      <c r="D9" s="8"/>
      <c r="E9" s="8"/>
      <c r="F9" s="8"/>
      <c r="G9" s="8"/>
      <c r="H9" s="8"/>
      <c r="I9" s="8"/>
      <c r="J9" s="8"/>
      <c r="K9" s="8"/>
      <c r="L9" s="8"/>
      <c r="M9" s="8"/>
      <c r="N9" s="8"/>
      <c r="O9" s="8"/>
      <c r="P9" s="8"/>
      <c r="Q9" s="8"/>
      <c r="R9" s="8"/>
      <c r="S9" s="8"/>
      <c r="T9" s="8"/>
      <c r="U9" s="8"/>
      <c r="V9" s="8"/>
      <c r="W9" s="8"/>
      <c r="X9" s="8"/>
      <c r="Y9" s="8"/>
      <c r="Z9" s="8"/>
    </row>
    <row r="10">
      <c r="A10" s="9">
        <f>IFERROR(__xludf.DUMMYFUNCTION("""COMPUTED_VALUE"""),123.0)</f>
        <v>123</v>
      </c>
      <c r="B10" s="8" t="str">
        <f>IFERROR(__xludf.DUMMYFUNCTION("""COMPUTED_VALUE"""),"""Naughty Pig""")</f>
        <v>"Naughty Pig"</v>
      </c>
      <c r="C10" s="8" t="str">
        <f>IFERROR(__xludf.DUMMYFUNCTION("""COMPUTED_VALUE"""),"7 January 1998 (1998-01-07)")</f>
        <v>7 January 1998 (1998-01-07)</v>
      </c>
      <c r="D10" s="8"/>
      <c r="E10" s="9"/>
      <c r="F10" s="8"/>
      <c r="G10" s="8"/>
      <c r="H10" s="8"/>
      <c r="I10" s="8"/>
      <c r="J10" s="8"/>
      <c r="K10" s="8"/>
      <c r="L10" s="8"/>
      <c r="M10" s="8"/>
      <c r="N10" s="8"/>
      <c r="O10" s="8"/>
      <c r="P10" s="8"/>
      <c r="Q10" s="8"/>
      <c r="R10" s="8"/>
      <c r="S10" s="8"/>
      <c r="T10" s="8"/>
      <c r="U10" s="8"/>
      <c r="V10" s="8"/>
      <c r="W10" s="8"/>
      <c r="X10" s="8"/>
      <c r="Y10" s="8"/>
      <c r="Z10" s="8"/>
    </row>
    <row r="11">
      <c r="A11" s="8" t="str">
        <f>IFERROR(__xludf.DUMMYFUNCTION("""COMPUTED_VALUE"""),"The Noo Noo tidies up while Teletubbies come in the back entrance house 
saying hello. Just then, the Magic Windmill starts spinning and they run 
out the back door and they watch Tamzin Griffin pretends to be Funny Lady 
and tells the story of the naught"&amp;"y pig. Also, the wind blows off Dipsy's 
Hat. The Magic Tree appears in Teletubbyland before the Sun Baby giggles 
for Tubby Bye-Bye. 
Featuring: Tamzin Griffin with The Children of Chater Infants School, 
Watford")</f>
        <v>The Noo Noo tidies up while Teletubbies come in the back entrance house 
saying hello. Just then, the Magic Windmill starts spinning and they run 
out the back door and they watch Tamzin Griffin pretends to be Funny Lady 
and tells the story of the naughty pig. Also, the wind blows off Dipsy's 
Hat. The Magic Tree appears in Teletubbyland before the Sun Baby giggles 
for Tubby Bye-Bye. 
Featuring: Tamzin Griffin with The Children of Chater Infants School, 
Watford</v>
      </c>
      <c r="B11" s="8"/>
      <c r="C11" s="8"/>
      <c r="D11" s="8"/>
      <c r="E11" s="8"/>
      <c r="F11" s="8"/>
      <c r="G11" s="8"/>
      <c r="H11" s="8"/>
      <c r="I11" s="8"/>
      <c r="J11" s="8"/>
      <c r="K11" s="8"/>
      <c r="L11" s="8"/>
      <c r="M11" s="8"/>
      <c r="N11" s="8"/>
      <c r="O11" s="8"/>
      <c r="P11" s="8"/>
      <c r="Q11" s="8"/>
      <c r="R11" s="8"/>
      <c r="S11" s="8"/>
      <c r="T11" s="8"/>
      <c r="U11" s="8"/>
      <c r="V11" s="8"/>
      <c r="W11" s="8"/>
      <c r="X11" s="8"/>
      <c r="Y11" s="8"/>
      <c r="Z11" s="8"/>
    </row>
    <row r="12">
      <c r="A12" s="8">
        <f>IFERROR(__xludf.DUMMYFUNCTION("""COMPUTED_VALUE"""),124.0)</f>
        <v>124</v>
      </c>
      <c r="B12" s="8" t="str">
        <f>IFERROR(__xludf.DUMMYFUNCTION("""COMPUTED_VALUE"""),"""Washing the Car""")</f>
        <v>"Washing the Car"</v>
      </c>
      <c r="C12" s="8" t="str">
        <f>IFERROR(__xludf.DUMMYFUNCTION("""COMPUTED_VALUE"""),"8 January 1998 (1998-01-08)")</f>
        <v>8 January 1998 (1998-01-08)</v>
      </c>
      <c r="D12" s="8"/>
      <c r="E12" s="8"/>
      <c r="F12" s="8"/>
      <c r="G12" s="8"/>
      <c r="H12" s="8"/>
      <c r="I12" s="8"/>
      <c r="J12" s="8"/>
      <c r="K12" s="8"/>
      <c r="L12" s="8"/>
      <c r="M12" s="8"/>
      <c r="N12" s="8"/>
      <c r="O12" s="8"/>
      <c r="P12" s="8"/>
      <c r="Q12" s="8"/>
      <c r="R12" s="8"/>
      <c r="S12" s="8"/>
      <c r="T12" s="8"/>
      <c r="U12" s="8"/>
      <c r="V12" s="8"/>
      <c r="W12" s="8"/>
      <c r="X12" s="8"/>
      <c r="Y12" s="8"/>
      <c r="Z12" s="8"/>
    </row>
    <row r="13">
      <c r="A13" s="9" t="str">
        <f>IFERROR(__xludf.DUMMYFUNCTION("""COMPUTED_VALUE"""),"Tinky Winky, Dipsy, and Laa-Laa walk into the TubbyTronic Superdome, while 
Po zooms in on her scooter catching up with them. The Teletubbies watch 
Shannon, Nicolas, Cameron and their Dad wash the family car. The 
Teletubbies wash themselves with ""Tubby"&amp;" Sponges,"" in which each Teletubby 
has a Tubby wash and Noo-Noo gets a Tubby wash. Then the Magic Windmill 
stops spinning. The ""Tubby Bye-Bye"" sequence takes place and The Baby Sun 
sets. 
Featuring: Cameron and Shannon Patterson")</f>
        <v>Tinky Winky, Dipsy, and Laa-Laa walk into the TubbyTronic Superdome, while 
Po zooms in on her scooter catching up with them. The Teletubbies watch 
Shannon, Nicolas, Cameron and their Dad wash the family car. The 
Teletubbies wash themselves with "Tubby Sponges," in which each Teletubby 
has a Tubby wash and Noo-Noo gets a Tubby wash. Then the Magic Windmill 
stops spinning. The "Tubby Bye-Bye" sequence takes place and The Baby Sun 
sets. 
Featuring: Cameron and Shannon Patterson</v>
      </c>
      <c r="B13" s="8"/>
      <c r="C13" s="9"/>
      <c r="D13" s="8"/>
      <c r="E13" s="8"/>
      <c r="F13" s="8"/>
      <c r="G13" s="8"/>
      <c r="H13" s="8"/>
      <c r="I13" s="8"/>
      <c r="J13" s="8"/>
      <c r="K13" s="8"/>
      <c r="L13" s="8"/>
      <c r="M13" s="8"/>
      <c r="N13" s="8"/>
      <c r="O13" s="8"/>
      <c r="P13" s="8"/>
      <c r="Q13" s="8"/>
      <c r="R13" s="8"/>
      <c r="S13" s="8"/>
      <c r="T13" s="8"/>
      <c r="U13" s="8"/>
      <c r="V13" s="8"/>
      <c r="W13" s="8"/>
      <c r="X13" s="8"/>
      <c r="Y13" s="8"/>
      <c r="Z13" s="8"/>
    </row>
    <row r="14">
      <c r="A14" s="8">
        <f>IFERROR(__xludf.DUMMYFUNCTION("""COMPUTED_VALUE"""),125.0)</f>
        <v>125</v>
      </c>
      <c r="B14" s="8" t="str">
        <f>IFERROR(__xludf.DUMMYFUNCTION("""COMPUTED_VALUE"""),"""Handy Hands""")</f>
        <v>"Handy Hands"</v>
      </c>
      <c r="C14" s="8" t="str">
        <f>IFERROR(__xludf.DUMMYFUNCTION("""COMPUTED_VALUE"""),"9 January 1998 (1998-01-09)")</f>
        <v>9 January 1998 (1998-01-09)</v>
      </c>
      <c r="D14" s="9"/>
      <c r="E14" s="8"/>
      <c r="F14" s="8"/>
      <c r="G14" s="8"/>
      <c r="H14" s="8"/>
      <c r="I14" s="8"/>
      <c r="J14" s="8"/>
      <c r="K14" s="8"/>
      <c r="L14" s="8"/>
      <c r="M14" s="8"/>
      <c r="N14" s="8"/>
      <c r="O14" s="8"/>
      <c r="P14" s="8"/>
      <c r="Q14" s="8"/>
      <c r="R14" s="8"/>
      <c r="S14" s="8"/>
      <c r="T14" s="8"/>
      <c r="U14" s="8"/>
      <c r="V14" s="8"/>
      <c r="W14" s="8"/>
      <c r="X14" s="8"/>
      <c r="Y14" s="8"/>
      <c r="Z14" s="8"/>
    </row>
    <row r="15">
      <c r="A15" s="8" t="str">
        <f>IFERROR(__xludf.DUMMYFUNCTION("""COMPUTED_VALUE"""),"The Teletubbies crawl the arch in Home Hill and they go and watch Alex 
Pascall and some children sing handy hands. A pair of mittens appear in 
Teletubbyland, and Tinky Winky does a special dance wearing them. Next, Po 
wears the mittens, and she does a "&amp;"special dance too. 
Featuring: Alex Pascall, The Children of Earlsfield Primary School, London")</f>
        <v>The Teletubbies crawl the arch in Home Hill and they go and watch Alex 
Pascall and some children sing handy hands. A pair of mittens appear in 
Teletubbyland, and Tinky Winky does a special dance wearing them. Next, Po 
wears the mittens, and she does a special dance too. 
Featuring: Alex Pascall, The Children of Earlsfield Primary School, London</v>
      </c>
      <c r="B15" s="8"/>
      <c r="C15" s="8"/>
      <c r="D15" s="8"/>
      <c r="E15" s="8"/>
      <c r="F15" s="8"/>
      <c r="G15" s="8"/>
      <c r="H15" s="8"/>
      <c r="I15" s="8"/>
      <c r="J15" s="8"/>
      <c r="K15" s="8"/>
      <c r="L15" s="8"/>
      <c r="M15" s="8"/>
      <c r="N15" s="8"/>
      <c r="O15" s="8"/>
      <c r="P15" s="8"/>
      <c r="Q15" s="8"/>
      <c r="R15" s="8"/>
      <c r="S15" s="8"/>
      <c r="T15" s="8"/>
      <c r="U15" s="8"/>
      <c r="V15" s="8"/>
      <c r="W15" s="8"/>
      <c r="X15" s="8"/>
      <c r="Y15" s="8"/>
      <c r="Z15" s="8"/>
    </row>
    <row r="16">
      <c r="A16" s="8">
        <f>IFERROR(__xludf.DUMMYFUNCTION("""COMPUTED_VALUE"""),126.0)</f>
        <v>126</v>
      </c>
      <c r="B16" s="8" t="str">
        <f>IFERROR(__xludf.DUMMYFUNCTION("""COMPUTED_VALUE"""),"""Playing Ball""")</f>
        <v>"Playing Ball"</v>
      </c>
      <c r="C16" s="8" t="str">
        <f>IFERROR(__xludf.DUMMYFUNCTION("""COMPUTED_VALUE"""),"12 January 1998 (1998-01-12)")</f>
        <v>12 January 1998 (1998-01-12)</v>
      </c>
      <c r="D16" s="8"/>
      <c r="E16" s="8"/>
      <c r="F16" s="8"/>
      <c r="G16" s="8"/>
      <c r="H16" s="8"/>
      <c r="I16" s="8"/>
      <c r="J16" s="8"/>
      <c r="K16" s="8"/>
      <c r="L16" s="8"/>
      <c r="M16" s="8"/>
      <c r="N16" s="8"/>
      <c r="O16" s="8"/>
      <c r="P16" s="8"/>
      <c r="Q16" s="8"/>
      <c r="R16" s="8"/>
      <c r="S16" s="8"/>
      <c r="T16" s="8"/>
      <c r="U16" s="8"/>
      <c r="V16" s="8"/>
      <c r="W16" s="8"/>
      <c r="X16" s="8"/>
      <c r="Y16" s="8"/>
      <c r="Z16" s="8"/>
    </row>
    <row r="17">
      <c r="A17" s="8" t="str">
        <f>IFERROR(__xludf.DUMMYFUNCTION("""COMPUTED_VALUE"""),"The Teletubbies slide down the slide in the Home Hill and they fell down 
happily, then The Magic Windmill starts spinning and they run out and they 
watch some children play with balls of different shapes and sizes. In 
Teletubbyland, something happens t"&amp;"o Dipsy's hat. One moment it is too 
small, then it grows too big. Dipsy is very surprised when the other 
Tubbies tell him his hat is the wrong size. 
Featuring: Patrick Carvey, Henry Crossman, Marshall Ingham, Freya Knibb, 
Matthew Paine, Amelia Paul, O"&amp;"livia Phelps, Katie &amp; Georgina Phillipps, 
Candisha &amp; Kyishas Thompson and James Turner")</f>
        <v>The Teletubbies slide down the slide in the Home Hill and they fell down 
happily, then The Magic Windmill starts spinning and they run out and they 
watch some children play with balls of different shapes and sizes. In 
Teletubbyland, something happens to Dipsy's hat. One moment it is too 
small, then it grows too big. Dipsy is very surprised when the other 
Tubbies tell him his hat is the wrong size. 
Featuring: Patrick Carvey, Henry Crossman, Marshall Ingham, Freya Knibb, 
Matthew Paine, Amelia Paul, Olivia Phelps, Katie &amp; Georgina Phillipps, 
Candisha &amp; Kyishas Thompson and James Turner</v>
      </c>
      <c r="B17" s="8"/>
      <c r="C17" s="8"/>
      <c r="D17" s="8"/>
      <c r="E17" s="8"/>
      <c r="F17" s="8"/>
      <c r="G17" s="8"/>
      <c r="H17" s="8"/>
      <c r="I17" s="8"/>
      <c r="J17" s="8"/>
      <c r="K17" s="8"/>
      <c r="L17" s="8"/>
      <c r="M17" s="8"/>
      <c r="N17" s="8"/>
      <c r="O17" s="8"/>
      <c r="P17" s="8"/>
      <c r="Q17" s="8"/>
      <c r="R17" s="8"/>
      <c r="S17" s="8"/>
      <c r="T17" s="8"/>
      <c r="U17" s="8"/>
      <c r="V17" s="8"/>
      <c r="W17" s="8"/>
      <c r="X17" s="8"/>
      <c r="Y17" s="8"/>
      <c r="Z17" s="8"/>
    </row>
    <row r="18">
      <c r="A18" s="8">
        <f>IFERROR(__xludf.DUMMYFUNCTION("""COMPUTED_VALUE"""),127.0)</f>
        <v>127</v>
      </c>
      <c r="B18" s="8" t="str">
        <f>IFERROR(__xludf.DUMMYFUNCTION("""COMPUTED_VALUE"""),"""Irish Dancing""")</f>
        <v>"Irish Dancing"</v>
      </c>
      <c r="C18" s="8" t="str">
        <f>IFERROR(__xludf.DUMMYFUNCTION("""COMPUTED_VALUE"""),"13 January 1998 (1998-01-13)")</f>
        <v>13 January 1998 (1998-01-13)</v>
      </c>
      <c r="D18" s="8"/>
      <c r="E18" s="8"/>
      <c r="F18" s="8"/>
      <c r="G18" s="8"/>
      <c r="H18" s="8"/>
      <c r="I18" s="8"/>
      <c r="J18" s="8"/>
      <c r="K18" s="8"/>
      <c r="L18" s="8"/>
      <c r="M18" s="8"/>
      <c r="N18" s="8"/>
      <c r="O18" s="8"/>
      <c r="P18" s="8"/>
      <c r="Q18" s="8"/>
      <c r="R18" s="8"/>
      <c r="S18" s="8"/>
      <c r="T18" s="8"/>
      <c r="U18" s="8"/>
      <c r="V18" s="8"/>
      <c r="W18" s="8"/>
      <c r="X18" s="8"/>
      <c r="Y18" s="8"/>
      <c r="Z18" s="8"/>
    </row>
    <row r="19">
      <c r="A19" s="8" t="str">
        <f>IFERROR(__xludf.DUMMYFUNCTION("""COMPUTED_VALUE"""),"In the Home Hill, the voice trumpet rises while the Teletubbies eat Tubby 
Toast. When they are finished eating, they do exercises in the Home Hill. 
When they are tired out, they shout ""Run away, run away!"" before they rush 
outside to watch a video ab"&amp;"out a little girl named Becky doing Irish 
Dancing. 
Later, the Teletubbies go up to the path to do the Jumping Dance. Then The 
Magic Windmill starts to spin and the Teletubbies rush off to see the 
Magical Event of the Bear and Lion playing their hide "&amp;"and seek game in 
Teletubbyland. The Magic Windmill stops spinning. The ""Tubby Bye-Bye"" 
sequence then takes place and The Baby Sun sets in the sky. 
Featuring: The Dancers of Bennett's End Community Centre, Hemel Hempstead")</f>
        <v>In the Home Hill, the voice trumpet rises while the Teletubbies eat Tubby 
Toast. When they are finished eating, they do exercises in the Home Hill. 
When they are tired out, they shout "Run away, run away!" before they rush 
outside to watch a video about a little girl named Becky doing Irish 
Dancing. 
Later, the Teletubbies go up to the path to do the Jumping Dance. Then The 
Magic Windmill starts to spin and the Teletubbies rush off to see the 
Magical Event of the Bear and Lion playing their hide and seek game in 
Teletubbyland. The Magic Windmill stops spinning. The "Tubby Bye-Bye" 
sequence then takes place and The Baby Sun sets in the sky. 
Featuring: The Dancers of Bennett's End Community Centre, Hemel Hempstead</v>
      </c>
      <c r="B19" s="8"/>
      <c r="C19" s="8"/>
      <c r="D19" s="8"/>
      <c r="E19" s="8"/>
      <c r="F19" s="8"/>
      <c r="G19" s="8"/>
      <c r="H19" s="8"/>
      <c r="I19" s="8"/>
      <c r="J19" s="8"/>
      <c r="K19" s="8"/>
      <c r="L19" s="8"/>
      <c r="M19" s="8"/>
      <c r="N19" s="8"/>
      <c r="O19" s="8"/>
      <c r="P19" s="8"/>
      <c r="Q19" s="8"/>
      <c r="R19" s="8"/>
      <c r="S19" s="8"/>
      <c r="T19" s="8"/>
      <c r="U19" s="8"/>
      <c r="V19" s="8"/>
      <c r="W19" s="8"/>
      <c r="X19" s="8"/>
      <c r="Y19" s="8"/>
      <c r="Z19" s="8"/>
    </row>
    <row r="20">
      <c r="A20" s="8">
        <f>IFERROR(__xludf.DUMMYFUNCTION("""COMPUTED_VALUE"""),128.0)</f>
        <v>128</v>
      </c>
      <c r="B20" s="8" t="str">
        <f>IFERROR(__xludf.DUMMYFUNCTION("""COMPUTED_VALUE"""),"""Numbers – 2 (version 2)""")</f>
        <v>"Numbers – 2 (version 2)"</v>
      </c>
      <c r="C20" s="8" t="str">
        <f>IFERROR(__xludf.DUMMYFUNCTION("""COMPUTED_VALUE"""),"13 January 1998 (1998-01-13)")</f>
        <v>13 January 1998 (1998-01-13)</v>
      </c>
      <c r="D20" s="8"/>
      <c r="E20" s="8"/>
      <c r="F20" s="8"/>
      <c r="G20" s="8"/>
      <c r="H20" s="8"/>
      <c r="I20" s="8"/>
      <c r="J20" s="8"/>
      <c r="K20" s="8"/>
      <c r="L20" s="8"/>
      <c r="M20" s="8"/>
      <c r="N20" s="8"/>
      <c r="O20" s="8"/>
      <c r="P20" s="8"/>
      <c r="Q20" s="8"/>
      <c r="R20" s="8"/>
      <c r="S20" s="8"/>
      <c r="T20" s="8"/>
      <c r="U20" s="8"/>
      <c r="V20" s="8"/>
      <c r="W20" s="8"/>
      <c r="X20" s="8"/>
      <c r="Y20" s="8"/>
      <c r="Z20" s="8"/>
    </row>
    <row r="21">
      <c r="A21" s="8" t="str">
        <f>IFERROR(__xludf.DUMMYFUNCTION("""COMPUTED_VALUE"""),"The Teletubbies listen to a voice trumpet recite the nursery rhyme ""Two 
Little Dickie Birds"" before watching some children learning about number 2. 
Dipsy and Laa-Laa are eating Tubby Toast when they decide to play a game 
called ""Two Little Teletubbi"&amp;"es"", but the Noo-Noo tidies up the Tubby Toast 
while they are playing. The Teletubbies chase him around the house before 
the voice trumpet rises for Tubby Bye Bye. 
Featuring: The Children of Duncombe School, London")</f>
        <v>The Teletubbies listen to a voice trumpet recite the nursery rhyme "Two 
Little Dickie Birds" before watching some children learning about number 2. 
Dipsy and Laa-Laa are eating Tubby Toast when they decide to play a game 
called "Two Little Teletubbies", but the Noo-Noo tidies up the Tubby Toast 
while they are playing. The Teletubbies chase him around the house before 
the voice trumpet rises for Tubby Bye Bye. 
Featuring: The Children of Duncombe School, London</v>
      </c>
      <c r="B21" s="8"/>
      <c r="C21" s="8"/>
      <c r="D21" s="8"/>
      <c r="E21" s="8"/>
      <c r="F21" s="8"/>
      <c r="G21" s="8"/>
      <c r="H21" s="8"/>
      <c r="I21" s="8"/>
      <c r="J21" s="8"/>
      <c r="K21" s="8"/>
      <c r="L21" s="8"/>
      <c r="M21" s="8"/>
      <c r="N21" s="8"/>
      <c r="O21" s="8"/>
      <c r="P21" s="8"/>
      <c r="Q21" s="8"/>
      <c r="R21" s="8"/>
      <c r="S21" s="8"/>
      <c r="T21" s="8"/>
      <c r="U21" s="8"/>
      <c r="V21" s="8"/>
      <c r="W21" s="8"/>
      <c r="X21" s="8"/>
      <c r="Y21" s="8"/>
      <c r="Z21" s="8"/>
    </row>
    <row r="22">
      <c r="A22" s="8">
        <f>IFERROR(__xludf.DUMMYFUNCTION("""COMPUTED_VALUE"""),129.0)</f>
        <v>129</v>
      </c>
      <c r="B22" s="8" t="str">
        <f>IFERROR(__xludf.DUMMYFUNCTION("""COMPUTED_VALUE"""),"""Giraffes""")</f>
        <v>"Giraffes"</v>
      </c>
      <c r="C22" s="8" t="str">
        <f>IFERROR(__xludf.DUMMYFUNCTION("""COMPUTED_VALUE"""),"15 January 1998 (1998-01-15)")</f>
        <v>15 January 1998 (1998-01-15)</v>
      </c>
      <c r="D22" s="8"/>
      <c r="E22" s="8"/>
      <c r="F22" s="8"/>
      <c r="G22" s="8"/>
      <c r="H22" s="8"/>
      <c r="I22" s="8"/>
      <c r="J22" s="8"/>
      <c r="K22" s="8"/>
      <c r="L22" s="8"/>
      <c r="M22" s="8"/>
      <c r="N22" s="8"/>
      <c r="O22" s="8"/>
      <c r="P22" s="8"/>
      <c r="Q22" s="8"/>
      <c r="R22" s="8"/>
      <c r="S22" s="8"/>
      <c r="T22" s="8"/>
      <c r="U22" s="8"/>
      <c r="V22" s="8"/>
      <c r="W22" s="8"/>
      <c r="X22" s="8"/>
      <c r="Y22" s="8"/>
      <c r="Z22" s="8"/>
    </row>
    <row r="23">
      <c r="A23" s="8" t="str">
        <f>IFERROR(__xludf.DUMMYFUNCTION("""COMPUTED_VALUE"""),"The Teletubbies take turns standing on a Hill, in front of the House, in 
front of a Tree and under a Cloud, then they all have Tubby Toast before 
the Windmill spins. The Teletubbies watch Andy Brown and the children visit 
some giraffes. The Teletubbies"&amp;" watch The Animal Parade before the Sun Baby 
giggles for Tubby Bye Bye. 
Featuring: Andy Brown with Charelle Handford, Oliver Hooper and Daniel 
Salmon")</f>
        <v>The Teletubbies take turns standing on a Hill, in front of the House, in 
front of a Tree and under a Cloud, then they all have Tubby Toast before 
the Windmill spins. The Teletubbies watch Andy Brown and the children visit 
some giraffes. The Teletubbies watch The Animal Parade before the Sun Baby 
giggles for Tubby Bye Bye. 
Featuring: Andy Brown with Charelle Handford, Oliver Hooper and Daniel 
Salmon</v>
      </c>
      <c r="B23" s="8"/>
      <c r="C23" s="8"/>
      <c r="D23" s="8"/>
      <c r="E23" s="8"/>
      <c r="F23" s="8"/>
      <c r="G23" s="8"/>
      <c r="H23" s="8"/>
      <c r="I23" s="8"/>
      <c r="J23" s="8"/>
      <c r="K23" s="8"/>
      <c r="L23" s="8"/>
      <c r="M23" s="8"/>
      <c r="N23" s="8"/>
      <c r="O23" s="8"/>
      <c r="P23" s="8"/>
      <c r="Q23" s="8"/>
      <c r="R23" s="8"/>
      <c r="S23" s="8"/>
      <c r="T23" s="8"/>
      <c r="U23" s="8"/>
      <c r="V23" s="8"/>
      <c r="W23" s="8"/>
      <c r="X23" s="8"/>
      <c r="Y23" s="8"/>
      <c r="Z23" s="8"/>
    </row>
    <row r="24">
      <c r="A24" s="8">
        <f>IFERROR(__xludf.DUMMYFUNCTION("""COMPUTED_VALUE"""),130.0)</f>
        <v>130</v>
      </c>
      <c r="B24" s="8" t="str">
        <f>IFERROR(__xludf.DUMMYFUNCTION("""COMPUTED_VALUE"""),"""Amy's Pasta""")</f>
        <v>"Amy's Pasta"</v>
      </c>
      <c r="C24" s="8" t="str">
        <f>IFERROR(__xludf.DUMMYFUNCTION("""COMPUTED_VALUE"""),"16 January 1998 (1998-01-16)")</f>
        <v>16 January 1998 (1998-01-16)</v>
      </c>
      <c r="D24" s="8"/>
      <c r="E24" s="8"/>
      <c r="F24" s="8"/>
      <c r="G24" s="8"/>
      <c r="H24" s="8"/>
      <c r="I24" s="8"/>
      <c r="J24" s="8"/>
      <c r="K24" s="8"/>
      <c r="L24" s="8"/>
      <c r="M24" s="8"/>
      <c r="N24" s="8"/>
      <c r="O24" s="8"/>
      <c r="P24" s="8"/>
      <c r="Q24" s="8"/>
      <c r="R24" s="8"/>
      <c r="S24" s="8"/>
      <c r="T24" s="8"/>
      <c r="U24" s="8"/>
      <c r="V24" s="8"/>
      <c r="W24" s="8"/>
      <c r="X24" s="8"/>
      <c r="Y24" s="8"/>
      <c r="Z24" s="8"/>
    </row>
    <row r="25">
      <c r="A25" s="8" t="str">
        <f>IFERROR(__xludf.DUMMYFUNCTION("""COMPUTED_VALUE"""),"The Teletubbies are eating their tubby toast. They stop to watch Amy, her 
dad and her friend, Georgia making pasta. A ball of string appears in 
Teletubbyland. Po accidentally knocks the string into the air with her 
scooter and it makes a stringy mess a"&amp;"ll over Teletubbyland, but clever Noo 
Noo tidies up. 
Featuring: Georgia Habboo and The Esposito Family")</f>
        <v>The Teletubbies are eating their tubby toast. They stop to watch Amy, her 
dad and her friend, Georgia making pasta. A ball of string appears in 
Teletubbyland. Po accidentally knocks the string into the air with her 
scooter and it makes a stringy mess all over Teletubbyland, but clever Noo 
Noo tidies up. 
Featuring: Georgia Habboo and The Esposito Family</v>
      </c>
      <c r="B25" s="8"/>
      <c r="C25" s="8"/>
      <c r="D25" s="8"/>
      <c r="E25" s="8"/>
      <c r="F25" s="8"/>
      <c r="G25" s="8"/>
      <c r="H25" s="8"/>
      <c r="I25" s="8"/>
      <c r="J25" s="8"/>
      <c r="K25" s="8"/>
      <c r="L25" s="8"/>
      <c r="M25" s="8"/>
      <c r="N25" s="8"/>
      <c r="O25" s="8"/>
      <c r="P25" s="8"/>
      <c r="Q25" s="8"/>
      <c r="R25" s="8"/>
      <c r="S25" s="8"/>
      <c r="T25" s="8"/>
      <c r="U25" s="8"/>
      <c r="V25" s="8"/>
      <c r="W25" s="8"/>
      <c r="X25" s="8"/>
      <c r="Y25" s="8"/>
      <c r="Z25" s="8"/>
    </row>
    <row r="26">
      <c r="A26" s="8">
        <f>IFERROR(__xludf.DUMMYFUNCTION("""COMPUTED_VALUE"""),131.0)</f>
        <v>131</v>
      </c>
      <c r="B26" s="8" t="str">
        <f>IFERROR(__xludf.DUMMYFUNCTION("""COMPUTED_VALUE"""),"""Naughty Sock Returns""")</f>
        <v>"Naughty Sock Returns"</v>
      </c>
      <c r="C26" s="8" t="str">
        <f>IFERROR(__xludf.DUMMYFUNCTION("""COMPUTED_VALUE"""),"23 March 1998 (1998-03-23)")</f>
        <v>23 March 1998 (1998-03-23)</v>
      </c>
      <c r="D26" s="8"/>
      <c r="E26" s="8"/>
      <c r="F26" s="8"/>
      <c r="G26" s="8"/>
      <c r="H26" s="8"/>
      <c r="I26" s="8"/>
      <c r="J26" s="8"/>
      <c r="K26" s="8"/>
      <c r="L26" s="8"/>
      <c r="M26" s="8"/>
      <c r="N26" s="8"/>
      <c r="O26" s="8"/>
      <c r="P26" s="8"/>
      <c r="Q26" s="8"/>
      <c r="R26" s="8"/>
      <c r="S26" s="8"/>
      <c r="T26" s="8"/>
      <c r="U26" s="8"/>
      <c r="V26" s="8"/>
      <c r="W26" s="8"/>
      <c r="X26" s="8"/>
      <c r="Y26" s="8"/>
      <c r="Z26" s="8"/>
    </row>
    <row r="27">
      <c r="A27" s="8" t="str">
        <f>IFERROR(__xludf.DUMMYFUNCTION("""COMPUTED_VALUE"""),"Tinky Winky calls the other Teletubbies to come and watch Tamzin Griffin 
pretend to be Funny Lady, and tell another story about the Naughty Sock. 
The Teletubbies wake up when it's time for Tubby Toast. The Tubby Toast 
Machine makes a tower of tubby toa"&amp;"st. Laa Laa, Dipsy and Tinky Winky can't 
reach the top of the tower, so Po decides that she wanted the furthest 
piece. So she pulled the piece and the tower fell down. Now everybody can 
reach the Tubby Toast. The Teletubbies eat the tubby toast before "&amp;"the Magic 
Windmill spins. And then they watch the Singing Puppet Man in the Pink 
House before the Magic Windmill stops spinning and it is time for Tubby 
Bye-Bye. 
Featuring: Tamzin Griffin with The Children of Chater Infants School, 
Watford")</f>
        <v>Tinky Winky calls the other Teletubbies to come and watch Tamzin Griffin 
pretend to be Funny Lady, and tell another story about the Naughty Sock. 
The Teletubbies wake up when it's time for Tubby Toast. The Tubby Toast 
Machine makes a tower of tubby toast. Laa Laa, Dipsy and Tinky Winky can't 
reach the top of the tower, so Po decides that she wanted the furthest 
piece. So she pulled the piece and the tower fell down. Now everybody can 
reach the Tubby Toast. The Teletubbies eat the tubby toast before the Magic 
Windmill spins. And then they watch the Singing Puppet Man in the Pink 
House before the Magic Windmill stops spinning and it is time for Tubby 
Bye-Bye. 
Featuring: Tamzin Griffin with The Children of Chater Infants School, 
Watford</v>
      </c>
      <c r="B27" s="8"/>
      <c r="C27" s="8"/>
      <c r="D27" s="8"/>
      <c r="E27" s="8"/>
      <c r="F27" s="8"/>
      <c r="G27" s="8"/>
      <c r="H27" s="8"/>
      <c r="I27" s="8"/>
      <c r="J27" s="8"/>
      <c r="K27" s="8"/>
      <c r="L27" s="8"/>
      <c r="M27" s="8"/>
      <c r="N27" s="8"/>
      <c r="O27" s="8"/>
      <c r="P27" s="8"/>
      <c r="Q27" s="8"/>
      <c r="R27" s="8"/>
      <c r="S27" s="8"/>
      <c r="T27" s="8"/>
      <c r="U27" s="8"/>
      <c r="V27" s="8"/>
      <c r="W27" s="8"/>
      <c r="X27" s="8"/>
      <c r="Y27" s="8"/>
      <c r="Z27" s="8"/>
    </row>
    <row r="28">
      <c r="A28" s="8">
        <f>IFERROR(__xludf.DUMMYFUNCTION("""COMPUTED_VALUE"""),132.0)</f>
        <v>132</v>
      </c>
      <c r="B28" s="8" t="str">
        <f>IFERROR(__xludf.DUMMYFUNCTION("""COMPUTED_VALUE"""),"""Penguins""")</f>
        <v>"Penguins"</v>
      </c>
      <c r="C28" s="8" t="str">
        <f>IFERROR(__xludf.DUMMYFUNCTION("""COMPUTED_VALUE"""),"24 March 1998 (1998-03-24)")</f>
        <v>24 March 1998 (1998-03-24)</v>
      </c>
      <c r="D28" s="8"/>
      <c r="E28" s="8"/>
      <c r="F28" s="8"/>
      <c r="G28" s="8"/>
      <c r="H28" s="8"/>
      <c r="I28" s="8"/>
      <c r="J28" s="8"/>
      <c r="K28" s="8"/>
      <c r="L28" s="8"/>
      <c r="M28" s="8"/>
      <c r="N28" s="8"/>
      <c r="O28" s="8"/>
      <c r="P28" s="8"/>
      <c r="Q28" s="8"/>
      <c r="R28" s="8"/>
      <c r="S28" s="8"/>
      <c r="T28" s="8"/>
      <c r="U28" s="8"/>
      <c r="V28" s="8"/>
      <c r="W28" s="8"/>
      <c r="X28" s="8"/>
      <c r="Y28" s="8"/>
      <c r="Z28" s="8"/>
    </row>
    <row r="29">
      <c r="A29" s="8" t="str">
        <f>IFERROR(__xludf.DUMMYFUNCTION("""COMPUTED_VALUE"""),"The Noo Noo zooms around inside the Home Hill couple times before the 
Teletubbies come inside the front entrance to say hello to the viewers. 
Just afterwards, the Magic Windmill begins to spin and the Teletubbies run 
off and they watch some penguins wa"&amp;"ddling and swimming. In Teletubbyland, 
the Teletubbies walk in different ways until the Magic Windmill stops 
spinning (offscreen) and it was time for Tubby Bye Bye. 
Featuring: Hannah MacKay, Alex, Jess &amp; Jo Osborne and Catherine Watkins")</f>
        <v>The Noo Noo zooms around inside the Home Hill couple times before the 
Teletubbies come inside the front entrance to say hello to the viewers. 
Just afterwards, the Magic Windmill begins to spin and the Teletubbies run 
off and they watch some penguins waddling and swimming. In Teletubbyland, 
the Teletubbies walk in different ways until the Magic Windmill stops 
spinning (offscreen) and it was time for Tubby Bye Bye. 
Featuring: Hannah MacKay, Alex, Jess &amp; Jo Osborne and Catherine Watkins</v>
      </c>
      <c r="B29" s="8"/>
      <c r="C29" s="8"/>
      <c r="D29" s="8"/>
      <c r="E29" s="8"/>
      <c r="F29" s="8"/>
      <c r="G29" s="8"/>
      <c r="H29" s="8"/>
      <c r="I29" s="8"/>
      <c r="J29" s="8"/>
      <c r="K29" s="8"/>
      <c r="L29" s="8"/>
      <c r="M29" s="8"/>
      <c r="N29" s="8"/>
      <c r="O29" s="8"/>
      <c r="P29" s="8"/>
      <c r="Q29" s="8"/>
      <c r="R29" s="8"/>
      <c r="S29" s="8"/>
      <c r="T29" s="8"/>
      <c r="U29" s="8"/>
      <c r="V29" s="8"/>
      <c r="W29" s="8"/>
      <c r="X29" s="8"/>
      <c r="Y29" s="8"/>
      <c r="Z29" s="8"/>
    </row>
    <row r="30">
      <c r="A30" s="8">
        <f>IFERROR(__xludf.DUMMYFUNCTION("""COMPUTED_VALUE"""),133.0)</f>
        <v>133</v>
      </c>
      <c r="B30" s="8" t="str">
        <f>IFERROR(__xludf.DUMMYFUNCTION("""COMPUTED_VALUE"""),"""Ned's Geraniums""")</f>
        <v>"Ned's Geraniums"</v>
      </c>
      <c r="C30" s="8" t="str">
        <f>IFERROR(__xludf.DUMMYFUNCTION("""COMPUTED_VALUE"""),"25 March 1998 (1998-03-25)")</f>
        <v>25 March 1998 (1998-03-25)</v>
      </c>
      <c r="D30" s="8"/>
      <c r="E30" s="8"/>
      <c r="F30" s="8"/>
      <c r="G30" s="8"/>
      <c r="H30" s="8"/>
      <c r="I30" s="8"/>
      <c r="J30" s="8"/>
      <c r="K30" s="8"/>
      <c r="L30" s="8"/>
      <c r="M30" s="8"/>
      <c r="N30" s="8"/>
      <c r="O30" s="8"/>
      <c r="P30" s="8"/>
      <c r="Q30" s="8"/>
      <c r="R30" s="8"/>
      <c r="S30" s="8"/>
      <c r="T30" s="8"/>
      <c r="U30" s="8"/>
      <c r="V30" s="8"/>
      <c r="W30" s="8"/>
      <c r="X30" s="8"/>
      <c r="Y30" s="8"/>
      <c r="Z30" s="8"/>
    </row>
    <row r="31">
      <c r="A31" s="8" t="str">
        <f>IFERROR(__xludf.DUMMYFUNCTION("""COMPUTED_VALUE"""),"The Teletubbies play ""Boo"" in the House. The Windmill spins and the 
Teletubbies watch Ned picking some Geraniums. Dipsy and Laa-Laa see nine 
pretty flowers appear in Teletubbyland, a watering can appears, Dipsy and 
Laa-Laa want to water the flowers b"&amp;"ut they drop the watering can and it's 
now empty, then a cloud appears and rains on the flowers, then the 
Teletubbies do the splashing dance. 
Featuring: Ned and Nigel Frost")</f>
        <v>The Teletubbies play "Boo" in the House. The Windmill spins and the 
Teletubbies watch Ned picking some Geraniums. Dipsy and Laa-Laa see nine 
pretty flowers appear in Teletubbyland, a watering can appears, Dipsy and 
Laa-Laa want to water the flowers but they drop the watering can and it's 
now empty, then a cloud appears and rains on the flowers, then the 
Teletubbies do the splashing dance. 
Featuring: Ned and Nigel Frost</v>
      </c>
      <c r="B31" s="8"/>
      <c r="C31" s="8"/>
      <c r="D31" s="8"/>
      <c r="E31" s="8"/>
      <c r="F31" s="8"/>
      <c r="G31" s="8"/>
      <c r="H31" s="8"/>
      <c r="I31" s="8"/>
      <c r="J31" s="8"/>
      <c r="K31" s="8"/>
      <c r="L31" s="8"/>
      <c r="M31" s="8"/>
      <c r="N31" s="8"/>
      <c r="O31" s="8"/>
      <c r="P31" s="8"/>
      <c r="Q31" s="8"/>
      <c r="R31" s="8"/>
      <c r="S31" s="8"/>
      <c r="T31" s="8"/>
      <c r="U31" s="8"/>
      <c r="V31" s="8"/>
      <c r="W31" s="8"/>
      <c r="X31" s="8"/>
      <c r="Y31" s="8"/>
      <c r="Z31" s="8"/>
    </row>
    <row r="32">
      <c r="A32" s="8">
        <f>IFERROR(__xludf.DUMMYFUNCTION("""COMPUTED_VALUE"""),134.0)</f>
        <v>134</v>
      </c>
      <c r="B32" s="8" t="str">
        <f>IFERROR(__xludf.DUMMYFUNCTION("""COMPUTED_VALUE"""),"""Digging in the Sand for Crabs""")</f>
        <v>"Digging in the Sand for Crabs"</v>
      </c>
      <c r="C32" s="8" t="str">
        <f>IFERROR(__xludf.DUMMYFUNCTION("""COMPUTED_VALUE"""),"26 March 1998 (1998-03-26)")</f>
        <v>26 March 1998 (1998-03-26)</v>
      </c>
      <c r="D32" s="8"/>
      <c r="E32" s="8"/>
      <c r="F32" s="8"/>
      <c r="G32" s="8"/>
      <c r="H32" s="8"/>
      <c r="I32" s="8"/>
      <c r="J32" s="8"/>
      <c r="K32" s="8"/>
      <c r="L32" s="8"/>
      <c r="M32" s="8"/>
      <c r="N32" s="8"/>
      <c r="O32" s="8"/>
      <c r="P32" s="8"/>
      <c r="Q32" s="8"/>
      <c r="R32" s="8"/>
      <c r="S32" s="8"/>
      <c r="T32" s="8"/>
      <c r="U32" s="8"/>
      <c r="V32" s="8"/>
      <c r="W32" s="8"/>
      <c r="X32" s="8"/>
      <c r="Y32" s="8"/>
      <c r="Z32" s="8"/>
    </row>
    <row r="33">
      <c r="A33" s="8" t="str">
        <f>IFERROR(__xludf.DUMMYFUNCTION("""COMPUTED_VALUE"""),"The video is about digging for crabs and the Teletubbies are walking 
sideways. The magical event of the three ships features then the Magic 
Windmill stops spinning and it is time for Tubby Bye-Bye. 
Featuring: Andy Brown with Emily Fifield and Millie &amp; "&amp;"Francome May")</f>
        <v>The video is about digging for crabs and the Teletubbies are walking 
sideways. The magical event of the three ships features then the Magic 
Windmill stops spinning and it is time for Tubby Bye-Bye. 
Featuring: Andy Brown with Emily Fifield and Millie &amp; Francome May</v>
      </c>
      <c r="B33" s="8"/>
      <c r="C33" s="8"/>
      <c r="D33" s="8"/>
      <c r="E33" s="8"/>
      <c r="F33" s="8"/>
      <c r="G33" s="8"/>
      <c r="H33" s="8"/>
      <c r="I33" s="8"/>
      <c r="J33" s="8"/>
      <c r="K33" s="8"/>
      <c r="L33" s="8"/>
      <c r="M33" s="8"/>
      <c r="N33" s="8"/>
      <c r="O33" s="8"/>
      <c r="P33" s="8"/>
      <c r="Q33" s="8"/>
      <c r="R33" s="8"/>
      <c r="S33" s="8"/>
      <c r="T33" s="8"/>
      <c r="U33" s="8"/>
      <c r="V33" s="8"/>
      <c r="W33" s="8"/>
      <c r="X33" s="8"/>
      <c r="Y33" s="8"/>
      <c r="Z33" s="8"/>
    </row>
    <row r="34">
      <c r="A34" s="8">
        <f>IFERROR(__xludf.DUMMYFUNCTION("""COMPUTED_VALUE"""),135.0)</f>
        <v>135</v>
      </c>
      <c r="B34" s="8" t="str">
        <f>IFERROR(__xludf.DUMMYFUNCTION("""COMPUTED_VALUE"""),"""Samira's Gymnastics""")</f>
        <v>"Samira's Gymnastics"</v>
      </c>
      <c r="C34" s="8" t="str">
        <f>IFERROR(__xludf.DUMMYFUNCTION("""COMPUTED_VALUE"""),"27 March 1998 (1998-03-27)")</f>
        <v>27 March 1998 (1998-03-27)</v>
      </c>
      <c r="D34" s="8"/>
      <c r="E34" s="8"/>
      <c r="F34" s="8"/>
      <c r="G34" s="8"/>
      <c r="H34" s="8"/>
      <c r="I34" s="8"/>
      <c r="J34" s="8"/>
      <c r="K34" s="8"/>
      <c r="L34" s="8"/>
      <c r="M34" s="8"/>
      <c r="N34" s="8"/>
      <c r="O34" s="8"/>
      <c r="P34" s="8"/>
      <c r="Q34" s="8"/>
      <c r="R34" s="8"/>
      <c r="S34" s="8"/>
      <c r="T34" s="8"/>
      <c r="U34" s="8"/>
      <c r="V34" s="8"/>
      <c r="W34" s="8"/>
      <c r="X34" s="8"/>
      <c r="Y34" s="8"/>
      <c r="Z34" s="8"/>
    </row>
    <row r="35">
      <c r="A35" s="8" t="str">
        <f>IFERROR(__xludf.DUMMYFUNCTION("""COMPUTED_VALUE"""),"In Teletubbyland, the Teletubbies walked to in front of the trees to say 
hello to the viewers. Then the Windmill begins to spin and they run to 
watch kids doing gymnastics with Samira. Then back in Teletubbyland, the 
Teletubbies does some exercises bef"&amp;"ore Tubby Bye-Bye. 
Featuring: The Children and Staff of Coventry Olympic Gym Club, Coventry")</f>
        <v>In Teletubbyland, the Teletubbies walked to in front of the trees to say 
hello to the viewers. Then the Windmill begins to spin and they run to 
watch kids doing gymnastics with Samira. Then back in Teletubbyland, the 
Teletubbies does some exercises before Tubby Bye-Bye. 
Featuring: The Children and Staff of Coventry Olympic Gym Club, Coventry</v>
      </c>
      <c r="B35" s="8"/>
      <c r="C35" s="8"/>
      <c r="D35" s="8"/>
      <c r="E35" s="8"/>
      <c r="F35" s="8"/>
      <c r="G35" s="8"/>
      <c r="H35" s="8"/>
      <c r="I35" s="8"/>
      <c r="J35" s="8"/>
      <c r="K35" s="8"/>
      <c r="L35" s="8"/>
      <c r="M35" s="8"/>
      <c r="N35" s="8"/>
      <c r="O35" s="8"/>
      <c r="P35" s="8"/>
      <c r="Q35" s="8"/>
      <c r="R35" s="8"/>
      <c r="S35" s="8"/>
      <c r="T35" s="8"/>
      <c r="U35" s="8"/>
      <c r="V35" s="8"/>
      <c r="W35" s="8"/>
      <c r="X35" s="8"/>
      <c r="Y35" s="8"/>
      <c r="Z35" s="8"/>
    </row>
    <row r="36">
      <c r="A36" s="8">
        <f>IFERROR(__xludf.DUMMYFUNCTION("""COMPUTED_VALUE"""),136.0)</f>
        <v>136</v>
      </c>
      <c r="B36" s="8" t="str">
        <f>IFERROR(__xludf.DUMMYFUNCTION("""COMPUTED_VALUE"""),"""Milking Cows""")</f>
        <v>"Milking Cows"</v>
      </c>
      <c r="C36" s="8" t="str">
        <f>IFERROR(__xludf.DUMMYFUNCTION("""COMPUTED_VALUE"""),"30 March 1998 (1998-03-30)")</f>
        <v>30 March 1998 (1998-03-30)</v>
      </c>
      <c r="D36" s="8"/>
      <c r="E36" s="8"/>
      <c r="F36" s="8"/>
      <c r="G36" s="8"/>
      <c r="H36" s="8"/>
      <c r="I36" s="8"/>
      <c r="J36" s="8"/>
      <c r="K36" s="8"/>
      <c r="L36" s="8"/>
      <c r="M36" s="8"/>
      <c r="N36" s="8"/>
      <c r="O36" s="8"/>
      <c r="P36" s="8"/>
      <c r="Q36" s="8"/>
      <c r="R36" s="8"/>
      <c r="S36" s="8"/>
      <c r="T36" s="8"/>
      <c r="U36" s="8"/>
      <c r="V36" s="8"/>
      <c r="W36" s="8"/>
      <c r="X36" s="8"/>
      <c r="Y36" s="8"/>
      <c r="Z36" s="8"/>
    </row>
    <row r="37">
      <c r="A37" s="8" t="str">
        <f>IFERROR(__xludf.DUMMYFUNCTION("""COMPUTED_VALUE"""),"Po is out for a ride on her Scooter. The Teletubbies watch James and 
Matthew help their uncle Mark milk the cows . It's Time for Tubby Custard, 
but the Tubby Custard Machine won't work, so the Teletubbies decide to sing 
a special Tubby Custard song, th"&amp;"e Tubby Custard Machine makes some Tubby 
Custard Music, the Teletubbies try to make Tubby Custard and the Tubby 
Custard Machine is working again. 
Featuring: Matthew and James Carnie")</f>
        <v>Po is out for a ride on her Scooter. The Teletubbies watch James and 
Matthew help their uncle Mark milk the cows . It's Time for Tubby Custard, 
but the Tubby Custard Machine won't work, so the Teletubbies decide to sing 
a special Tubby Custard song, the Tubby Custard Machine makes some Tubby 
Custard Music, the Teletubbies try to make Tubby Custard and the Tubby 
Custard Machine is working again. 
Featuring: Matthew and James Carnie</v>
      </c>
      <c r="B37" s="8"/>
      <c r="C37" s="8"/>
      <c r="D37" s="8"/>
      <c r="E37" s="8"/>
      <c r="F37" s="8"/>
      <c r="G37" s="8"/>
      <c r="H37" s="8"/>
      <c r="I37" s="8"/>
      <c r="J37" s="8"/>
      <c r="K37" s="8"/>
      <c r="L37" s="8"/>
      <c r="M37" s="8"/>
      <c r="N37" s="8"/>
      <c r="O37" s="8"/>
      <c r="P37" s="8"/>
      <c r="Q37" s="8"/>
      <c r="R37" s="8"/>
      <c r="S37" s="8"/>
      <c r="T37" s="8"/>
      <c r="U37" s="8"/>
      <c r="V37" s="8"/>
      <c r="W37" s="8"/>
      <c r="X37" s="8"/>
      <c r="Y37" s="8"/>
      <c r="Z37" s="8"/>
    </row>
    <row r="38">
      <c r="A38" s="8">
        <f>IFERROR(__xludf.DUMMYFUNCTION("""COMPUTED_VALUE"""),137.0)</f>
        <v>137</v>
      </c>
      <c r="B38" s="8" t="str">
        <f>IFERROR(__xludf.DUMMYFUNCTION("""COMPUTED_VALUE"""),"""Flamenco Dancing""")</f>
        <v>"Flamenco Dancing"</v>
      </c>
      <c r="C38" s="8" t="str">
        <f>IFERROR(__xludf.DUMMYFUNCTION("""COMPUTED_VALUE"""),"31 March 1998 (1998-03-31)")</f>
        <v>31 March 1998 (1998-03-31)</v>
      </c>
      <c r="D38" s="8"/>
      <c r="E38" s="8"/>
      <c r="F38" s="8"/>
      <c r="G38" s="8"/>
      <c r="H38" s="8"/>
      <c r="I38" s="8"/>
      <c r="J38" s="8"/>
      <c r="K38" s="8"/>
      <c r="L38" s="8"/>
      <c r="M38" s="8"/>
      <c r="N38" s="8"/>
      <c r="O38" s="8"/>
      <c r="P38" s="8"/>
      <c r="Q38" s="8"/>
      <c r="R38" s="8"/>
      <c r="S38" s="8"/>
      <c r="T38" s="8"/>
      <c r="U38" s="8"/>
      <c r="V38" s="8"/>
      <c r="W38" s="8"/>
      <c r="X38" s="8"/>
      <c r="Y38" s="8"/>
      <c r="Z38" s="8"/>
    </row>
    <row r="39">
      <c r="A39" s="8" t="str">
        <f>IFERROR(__xludf.DUMMYFUNCTION("""COMPUTED_VALUE"""),"The Teletubbies are washing themselves with their Tubby Sponges when they 
listen to a Voice Trumpet play some Spanish music . Then they watch two 
children doing some Flamenco dancing lessons Again Again. The Teletubbies 
wash their feet with their Tubby"&amp;" Sponges, Tinky Winky washes his feet 
first, then Po and then Dipsy and Laa Laa wash each others feet. 
Featuring: Tito Heredia and Maribel La Manchega, Ellie Greening and Daisy 
White")</f>
        <v>The Teletubbies are washing themselves with their Tubby Sponges when they 
listen to a Voice Trumpet play some Spanish music . Then they watch two 
children doing some Flamenco dancing lessons Again Again. The Teletubbies 
wash their feet with their Tubby Sponges, Tinky Winky washes his feet 
first, then Po and then Dipsy and Laa Laa wash each others feet. 
Featuring: Tito Heredia and Maribel La Manchega, Ellie Greening and Daisy 
White</v>
      </c>
      <c r="B39" s="8"/>
      <c r="C39" s="8"/>
      <c r="D39" s="8"/>
      <c r="E39" s="8"/>
      <c r="F39" s="8"/>
      <c r="G39" s="8"/>
      <c r="H39" s="8"/>
      <c r="I39" s="8"/>
      <c r="J39" s="8"/>
      <c r="K39" s="8"/>
      <c r="L39" s="8"/>
      <c r="M39" s="8"/>
      <c r="N39" s="8"/>
      <c r="O39" s="8"/>
      <c r="P39" s="8"/>
      <c r="Q39" s="8"/>
      <c r="R39" s="8"/>
      <c r="S39" s="8"/>
      <c r="T39" s="8"/>
      <c r="U39" s="8"/>
      <c r="V39" s="8"/>
      <c r="W39" s="8"/>
      <c r="X39" s="8"/>
      <c r="Y39" s="8"/>
      <c r="Z39" s="8"/>
    </row>
    <row r="40">
      <c r="A40" s="8">
        <f>IFERROR(__xludf.DUMMYFUNCTION("""COMPUTED_VALUE"""),138.0)</f>
        <v>138</v>
      </c>
      <c r="B40" s="8" t="str">
        <f>IFERROR(__xludf.DUMMYFUNCTION("""COMPUTED_VALUE"""),"""Cafe Eggs""")</f>
        <v>"Cafe Eggs"</v>
      </c>
      <c r="C40" s="8" t="str">
        <f>IFERROR(__xludf.DUMMYFUNCTION("""COMPUTED_VALUE"""),"1 April 1998 (1998-04-01)")</f>
        <v>1 April 1998 (1998-04-01)</v>
      </c>
      <c r="D40" s="8"/>
      <c r="E40" s="8"/>
      <c r="F40" s="8"/>
      <c r="G40" s="8"/>
      <c r="H40" s="8"/>
      <c r="I40" s="8"/>
      <c r="J40" s="8"/>
      <c r="K40" s="8"/>
      <c r="L40" s="8"/>
      <c r="M40" s="8"/>
      <c r="N40" s="8"/>
      <c r="O40" s="8"/>
      <c r="P40" s="8"/>
      <c r="Q40" s="8"/>
      <c r="R40" s="8"/>
      <c r="S40" s="8"/>
      <c r="T40" s="8"/>
      <c r="U40" s="8"/>
      <c r="V40" s="8"/>
      <c r="W40" s="8"/>
      <c r="X40" s="8"/>
      <c r="Y40" s="8"/>
      <c r="Z40" s="8"/>
    </row>
    <row r="41">
      <c r="A41" s="8" t="str">
        <f>IFERROR(__xludf.DUMMYFUNCTION("""COMPUTED_VALUE"""),"The Teletubbies do the Tip Toe Dance before watching a little boy peel 
eggs, leaving eggshells in the eggs, He then mashes the eggs, and adds 
mayonnaise and then adds bread, then serves it to customers. The 
Teletubbies make Tubby Custard and they make "&amp;"musical slurping noises while 
they eat it. Then the Windmill starts spinning and they watch the Dancing 
Bear and then the Magic Windmill stops spinning and the ""Tubby Bye-Bye"" 
sequence takes place. 
Featuring: Obadiah Winter and Sandy Simmonds")</f>
        <v>The Teletubbies do the Tip Toe Dance before watching a little boy peel 
eggs, leaving eggshells in the eggs, He then mashes the eggs, and adds 
mayonnaise and then adds bread, then serves it to customers. The 
Teletubbies make Tubby Custard and they make musical slurping noises while 
they eat it. Then the Windmill starts spinning and they watch the Dancing 
Bear and then the Magic Windmill stops spinning and the "Tubby Bye-Bye" 
sequence takes place. 
Featuring: Obadiah Winter and Sandy Simmonds</v>
      </c>
      <c r="B41" s="8"/>
      <c r="C41" s="8"/>
      <c r="D41" s="8"/>
      <c r="E41" s="8"/>
      <c r="F41" s="8"/>
      <c r="G41" s="8"/>
      <c r="H41" s="8"/>
      <c r="I41" s="8"/>
      <c r="J41" s="8"/>
      <c r="K41" s="8"/>
      <c r="L41" s="8"/>
      <c r="M41" s="8"/>
      <c r="N41" s="8"/>
      <c r="O41" s="8"/>
      <c r="P41" s="8"/>
      <c r="Q41" s="8"/>
      <c r="R41" s="8"/>
      <c r="S41" s="8"/>
      <c r="T41" s="8"/>
      <c r="U41" s="8"/>
      <c r="V41" s="8"/>
      <c r="W41" s="8"/>
      <c r="X41" s="8"/>
      <c r="Y41" s="8"/>
      <c r="Z41" s="8"/>
    </row>
    <row r="42">
      <c r="A42" s="8">
        <f>IFERROR(__xludf.DUMMYFUNCTION("""COMPUTED_VALUE"""),139.0)</f>
        <v>139</v>
      </c>
      <c r="B42" s="8" t="str">
        <f>IFERROR(__xludf.DUMMYFUNCTION("""COMPUTED_VALUE"""),"""Drumming With Norris""")</f>
        <v>"Drumming With Norris"</v>
      </c>
      <c r="C42" s="8" t="str">
        <f>IFERROR(__xludf.DUMMYFUNCTION("""COMPUTED_VALUE"""),"2 April 1998 (1998-04-02)")</f>
        <v>2 April 1998 (1998-04-02)</v>
      </c>
      <c r="D42" s="8"/>
      <c r="E42" s="8"/>
      <c r="F42" s="8"/>
      <c r="G42" s="8"/>
      <c r="H42" s="8"/>
      <c r="I42" s="8"/>
      <c r="J42" s="8"/>
      <c r="K42" s="8"/>
      <c r="L42" s="8"/>
      <c r="M42" s="8"/>
      <c r="N42" s="8"/>
      <c r="O42" s="8"/>
      <c r="P42" s="8"/>
      <c r="Q42" s="8"/>
      <c r="R42" s="8"/>
      <c r="S42" s="8"/>
      <c r="T42" s="8"/>
      <c r="U42" s="8"/>
      <c r="V42" s="8"/>
      <c r="W42" s="8"/>
      <c r="X42" s="8"/>
      <c r="Y42" s="8"/>
      <c r="Z42" s="8"/>
    </row>
    <row r="43">
      <c r="A43" s="8" t="str">
        <f>IFERROR(__xludf.DUMMYFUNCTION("""COMPUTED_VALUE"""),"The Teletubbies watch some children drum with their friend Norris. Tinky 
Winky dances on top of the House which wakes up the other Teletubbies, then 
they all decide to dance, the Windmill starts spinning and they watch The 
Three Ships before the Windmi"&amp;"ll stops spinning for Tubby Bye-Bye. 
Featuring: Norris Johnson, Pa Hasum Conteh, Masha Floris and Ivana Alana 
Haggar")</f>
        <v>The Teletubbies watch some children drum with their friend Norris. Tinky 
Winky dances on top of the House which wakes up the other Teletubbies, then 
they all decide to dance, the Windmill starts spinning and they watch The 
Three Ships before the Windmill stops spinning for Tubby Bye-Bye. 
Featuring: Norris Johnson, Pa Hasum Conteh, Masha Floris and Ivana Alana 
Haggar</v>
      </c>
      <c r="B43" s="8"/>
      <c r="C43" s="8"/>
      <c r="D43" s="8"/>
      <c r="E43" s="8"/>
      <c r="F43" s="8"/>
      <c r="G43" s="8"/>
      <c r="H43" s="8"/>
      <c r="I43" s="8"/>
      <c r="J43" s="8"/>
      <c r="K43" s="8"/>
      <c r="L43" s="8"/>
      <c r="M43" s="8"/>
      <c r="N43" s="8"/>
      <c r="O43" s="8"/>
      <c r="P43" s="8"/>
      <c r="Q43" s="8"/>
      <c r="R43" s="8"/>
      <c r="S43" s="8"/>
      <c r="T43" s="8"/>
      <c r="U43" s="8"/>
      <c r="V43" s="8"/>
      <c r="W43" s="8"/>
      <c r="X43" s="8"/>
      <c r="Y43" s="8"/>
      <c r="Z43" s="8"/>
    </row>
    <row r="44">
      <c r="A44" s="8">
        <f>IFERROR(__xludf.DUMMYFUNCTION("""COMPUTED_VALUE"""),140.0)</f>
        <v>140</v>
      </c>
      <c r="B44" s="8" t="str">
        <f>IFERROR(__xludf.DUMMYFUNCTION("""COMPUTED_VALUE"""),"""Making Fantastic Animals""")</f>
        <v>"Making Fantastic Animals"</v>
      </c>
      <c r="C44" s="8" t="str">
        <f>IFERROR(__xludf.DUMMYFUNCTION("""COMPUTED_VALUE"""),"3 April 1998 (1998-04-03)")</f>
        <v>3 April 1998 (1998-04-03)</v>
      </c>
      <c r="D44" s="8"/>
      <c r="E44" s="8"/>
      <c r="F44" s="8"/>
      <c r="G44" s="8"/>
      <c r="H44" s="8"/>
      <c r="I44" s="8"/>
      <c r="J44" s="8"/>
      <c r="K44" s="8"/>
      <c r="L44" s="8"/>
      <c r="M44" s="8"/>
      <c r="N44" s="8"/>
      <c r="O44" s="8"/>
      <c r="P44" s="8"/>
      <c r="Q44" s="8"/>
      <c r="R44" s="8"/>
      <c r="S44" s="8"/>
      <c r="T44" s="8"/>
      <c r="U44" s="8"/>
      <c r="V44" s="8"/>
      <c r="W44" s="8"/>
      <c r="X44" s="8"/>
      <c r="Y44" s="8"/>
      <c r="Z44" s="8"/>
    </row>
    <row r="45">
      <c r="A45" s="8" t="str">
        <f>IFERROR(__xludf.DUMMYFUNCTION("""COMPUTED_VALUE"""),"Dipsy is out for a walk before the Windmill starts to spin.The Teletubbies 
watch children make animals from papier mache. A Little Lamb on red wheels 
appears from Far Away, Laa Laa thinks that the Little Lamb is sad so she 
decides to do a dance to chee"&amp;"r it up, but the Little Lamb is still sad. 
Tinky Winky brings the Little Lamb to the Flowers, Dipsy lets the Little 
Lamb wear his Hat and Po lets it ride her Scooter, but the Little Lamb is 
still sad until the Teletubbies hear a noise. Another Little L"&amp;"amb appears 
and the Little Lamb is Happy and so are the Teletubbies, then both Lambs 
leave Teletubbyland and it's time for Tubby Bye Bye. 
Featuring: Mia Heath, Joe Scott and Rowan Smith")</f>
        <v>Dipsy is out for a walk before the Windmill starts to spin.The Teletubbies 
watch children make animals from papier mache. A Little Lamb on red wheels 
appears from Far Away, Laa Laa thinks that the Little Lamb is sad so she 
decides to do a dance to cheer it up, but the Little Lamb is still sad. 
Tinky Winky brings the Little Lamb to the Flowers, Dipsy lets the Little 
Lamb wear his Hat and Po lets it ride her Scooter, but the Little Lamb is 
still sad until the Teletubbies hear a noise. Another Little Lamb appears 
and the Little Lamb is Happy and so are the Teletubbies, then both Lambs 
leave Teletubbyland and it's time for Tubby Bye Bye. 
Featuring: Mia Heath, Joe Scott and Rowan Smith</v>
      </c>
      <c r="B45" s="8"/>
      <c r="C45" s="8"/>
      <c r="D45" s="8"/>
      <c r="E45" s="8"/>
      <c r="F45" s="8"/>
      <c r="G45" s="8"/>
      <c r="H45" s="8"/>
      <c r="I45" s="8"/>
      <c r="J45" s="8"/>
      <c r="K45" s="8"/>
      <c r="L45" s="8"/>
      <c r="M45" s="8"/>
      <c r="N45" s="8"/>
      <c r="O45" s="8"/>
      <c r="P45" s="8"/>
      <c r="Q45" s="8"/>
      <c r="R45" s="8"/>
      <c r="S45" s="8"/>
      <c r="T45" s="8"/>
      <c r="U45" s="8"/>
      <c r="V45" s="8"/>
      <c r="W45" s="8"/>
      <c r="X45" s="8"/>
      <c r="Y45" s="8"/>
      <c r="Z45" s="8"/>
    </row>
    <row r="46">
      <c r="A46" s="8">
        <f>IFERROR(__xludf.DUMMYFUNCTION("""COMPUTED_VALUE"""),141.0)</f>
        <v>141</v>
      </c>
      <c r="B46" s="8" t="str">
        <f>IFERROR(__xludf.DUMMYFUNCTION("""COMPUTED_VALUE"""),"""Feeding the Monkeys""")</f>
        <v>"Feeding the Monkeys"</v>
      </c>
      <c r="C46" s="8" t="str">
        <f>IFERROR(__xludf.DUMMYFUNCTION("""COMPUTED_VALUE"""),"6 April 1998 (1998-04-06)")</f>
        <v>6 April 1998 (1998-04-06)</v>
      </c>
      <c r="D46" s="8"/>
      <c r="E46" s="8"/>
      <c r="F46" s="8"/>
      <c r="G46" s="8"/>
      <c r="H46" s="8"/>
      <c r="I46" s="8"/>
      <c r="J46" s="8"/>
      <c r="K46" s="8"/>
      <c r="L46" s="8"/>
      <c r="M46" s="8"/>
      <c r="N46" s="8"/>
      <c r="O46" s="8"/>
      <c r="P46" s="8"/>
      <c r="Q46" s="8"/>
      <c r="R46" s="8"/>
      <c r="S46" s="8"/>
      <c r="T46" s="8"/>
      <c r="U46" s="8"/>
      <c r="V46" s="8"/>
      <c r="W46" s="8"/>
      <c r="X46" s="8"/>
      <c r="Y46" s="8"/>
      <c r="Z46" s="8"/>
    </row>
    <row r="47">
      <c r="A47" s="8" t="str">
        <f>IFERROR(__xludf.DUMMYFUNCTION("""COMPUTED_VALUE"""),"The Teletubbies pop over a Hill to say Eh Oh. Then they watch Georgina and 
her mother feeding Monkeys at the Zoo. Tinky Winky makes Tubby Toast, but 
the Tubby Toaster makes an extra piece, so Tinky Winky gives the extra 
piece to Po, but then Noo Noo ti"&amp;"dies up the Tubby Toast so they chase him 
around the House. Then the Windmill starts spinning and the Animal Parade 
marches through Teletubbyland before the baby sun giggles for Tubby bye 
bye. 
Featuring: Carol and Georgina Day")</f>
        <v>The Teletubbies pop over a Hill to say Eh Oh. Then they watch Georgina and 
her mother feeding Monkeys at the Zoo. Tinky Winky makes Tubby Toast, but 
the Tubby Toaster makes an extra piece, so Tinky Winky gives the extra 
piece to Po, but then Noo Noo tidies up the Tubby Toast so they chase him 
around the House. Then the Windmill starts spinning and the Animal Parade 
marches through Teletubbyland before the baby sun giggles for Tubby bye 
bye. 
Featuring: Carol and Georgina Day</v>
      </c>
      <c r="B47" s="8"/>
      <c r="C47" s="8"/>
      <c r="D47" s="8"/>
      <c r="E47" s="8"/>
      <c r="F47" s="8"/>
      <c r="G47" s="8"/>
      <c r="H47" s="8"/>
      <c r="I47" s="8"/>
      <c r="J47" s="8"/>
      <c r="K47" s="8"/>
      <c r="L47" s="8"/>
      <c r="M47" s="8"/>
      <c r="N47" s="8"/>
      <c r="O47" s="8"/>
      <c r="P47" s="8"/>
      <c r="Q47" s="8"/>
      <c r="R47" s="8"/>
      <c r="S47" s="8"/>
      <c r="T47" s="8"/>
      <c r="U47" s="8"/>
      <c r="V47" s="8"/>
      <c r="W47" s="8"/>
      <c r="X47" s="8"/>
      <c r="Y47" s="8"/>
      <c r="Z47" s="8"/>
    </row>
    <row r="48">
      <c r="A48" s="8">
        <f>IFERROR(__xludf.DUMMYFUNCTION("""COMPUTED_VALUE"""),142.0)</f>
        <v>142</v>
      </c>
      <c r="B48" s="8" t="str">
        <f>IFERROR(__xludf.DUMMYFUNCTION("""COMPUTED_VALUE"""),"""Naughty Hat""")</f>
        <v>"Naughty Hat"</v>
      </c>
      <c r="C48" s="8" t="str">
        <f>IFERROR(__xludf.DUMMYFUNCTION("""COMPUTED_VALUE"""),"7 April 1998 (1998-04-07)")</f>
        <v>7 April 1998 (1998-04-07)</v>
      </c>
      <c r="D48" s="8"/>
      <c r="E48" s="8"/>
      <c r="F48" s="8"/>
      <c r="G48" s="8"/>
      <c r="H48" s="8"/>
      <c r="I48" s="8"/>
      <c r="J48" s="8"/>
      <c r="K48" s="8"/>
      <c r="L48" s="8"/>
      <c r="M48" s="8"/>
      <c r="N48" s="8"/>
      <c r="O48" s="8"/>
      <c r="P48" s="8"/>
      <c r="Q48" s="8"/>
      <c r="R48" s="8"/>
      <c r="S48" s="8"/>
      <c r="T48" s="8"/>
      <c r="U48" s="8"/>
      <c r="V48" s="8"/>
      <c r="W48" s="8"/>
      <c r="X48" s="8"/>
      <c r="Y48" s="8"/>
      <c r="Z48" s="8"/>
    </row>
    <row r="49">
      <c r="A49" s="8" t="str">
        <f>IFERROR(__xludf.DUMMYFUNCTION("""COMPUTED_VALUE"""),"In Teletubbyland, Tinky Winky walks with his bag in front of the trees 
saying hello to the viewers. Just then, the Magic Windmill starts spinning 
and Tinky Winky joins the other Teletubbies and they watch Tamzin Griffin 
pretends to be the Funny Lady an"&amp;"d tells the story of the Naughty Hat. The 
Teletubbies are very happy when they find their favorite things to play 
with. 
Featuring: Tamzin Griffin with The Children of Chater Infants School, 
Watford")</f>
        <v>In Teletubbyland, Tinky Winky walks with his bag in front of the trees 
saying hello to the viewers. Just then, the Magic Windmill starts spinning 
and Tinky Winky joins the other Teletubbies and they watch Tamzin Griffin 
pretends to be the Funny Lady and tells the story of the Naughty Hat. The 
Teletubbies are very happy when they find their favorite things to play 
with. 
Featuring: Tamzin Griffin with The Children of Chater Infants School, 
Watford</v>
      </c>
      <c r="B49" s="8"/>
      <c r="C49" s="8"/>
      <c r="D49" s="8"/>
      <c r="E49" s="8"/>
      <c r="F49" s="8"/>
      <c r="G49" s="8"/>
      <c r="H49" s="8"/>
      <c r="I49" s="8"/>
      <c r="J49" s="8"/>
      <c r="K49" s="8"/>
      <c r="L49" s="8"/>
      <c r="M49" s="8"/>
      <c r="N49" s="8"/>
      <c r="O49" s="8"/>
      <c r="P49" s="8"/>
      <c r="Q49" s="8"/>
      <c r="R49" s="8"/>
      <c r="S49" s="8"/>
      <c r="T49" s="8"/>
      <c r="U49" s="8"/>
      <c r="V49" s="8"/>
      <c r="W49" s="8"/>
      <c r="X49" s="8"/>
      <c r="Y49" s="8"/>
      <c r="Z49" s="8"/>
    </row>
    <row r="50">
      <c r="A50" s="8">
        <f>IFERROR(__xludf.DUMMYFUNCTION("""COMPUTED_VALUE"""),143.0)</f>
        <v>143</v>
      </c>
      <c r="B50" s="8" t="str">
        <f>IFERROR(__xludf.DUMMYFUNCTION("""COMPUTED_VALUE"""),"""Gingerbread Boy""")</f>
        <v>"Gingerbread Boy"</v>
      </c>
      <c r="C50" s="8" t="str">
        <f>IFERROR(__xludf.DUMMYFUNCTION("""COMPUTED_VALUE"""),"8 April 1998 (1998-04-08)")</f>
        <v>8 April 1998 (1998-04-08)</v>
      </c>
      <c r="D50" s="8"/>
      <c r="E50" s="8"/>
      <c r="F50" s="8"/>
      <c r="G50" s="8"/>
      <c r="H50" s="8"/>
      <c r="I50" s="8"/>
      <c r="J50" s="8"/>
      <c r="K50" s="8"/>
      <c r="L50" s="8"/>
      <c r="M50" s="8"/>
      <c r="N50" s="8"/>
      <c r="O50" s="8"/>
      <c r="P50" s="8"/>
      <c r="Q50" s="8"/>
      <c r="R50" s="8"/>
      <c r="S50" s="8"/>
      <c r="T50" s="8"/>
      <c r="U50" s="8"/>
      <c r="V50" s="8"/>
      <c r="W50" s="8"/>
      <c r="X50" s="8"/>
      <c r="Y50" s="8"/>
      <c r="Z50" s="8"/>
    </row>
    <row r="51">
      <c r="A51" s="8" t="str">
        <f>IFERROR(__xludf.DUMMYFUNCTION("""COMPUTED_VALUE"""),"The Teletubbies are trying to be quiet, and the Teletubbies watch Oscar 
read the story of the ""Gingerbread Boy"" to his brother Felix. A voice 
trumpet appears and sings a nursery rhyme and the Teletubbies run all over 
Teletubbyland. 
Featuring: Oscar "&amp;"and Felix Taylor")</f>
        <v>The Teletubbies are trying to be quiet, and the Teletubbies watch Oscar 
read the story of the "Gingerbread Boy" to his brother Felix. A voice 
trumpet appears and sings a nursery rhyme and the Teletubbies run all over 
Teletubbyland. 
Featuring: Oscar and Felix Taylor</v>
      </c>
      <c r="B51" s="8"/>
      <c r="C51" s="8"/>
      <c r="D51" s="8"/>
      <c r="E51" s="8"/>
      <c r="F51" s="8"/>
      <c r="G51" s="8"/>
      <c r="H51" s="8"/>
      <c r="I51" s="8"/>
      <c r="J51" s="8"/>
      <c r="K51" s="8"/>
      <c r="L51" s="8"/>
      <c r="M51" s="8"/>
      <c r="N51" s="8"/>
      <c r="O51" s="8"/>
      <c r="P51" s="8"/>
      <c r="Q51" s="8"/>
      <c r="R51" s="8"/>
      <c r="S51" s="8"/>
      <c r="T51" s="8"/>
      <c r="U51" s="8"/>
      <c r="V51" s="8"/>
      <c r="W51" s="8"/>
      <c r="X51" s="8"/>
      <c r="Y51" s="8"/>
      <c r="Z51" s="8"/>
    </row>
    <row r="52">
      <c r="A52" s="8">
        <f>IFERROR(__xludf.DUMMYFUNCTION("""COMPUTED_VALUE"""),144.0)</f>
        <v>144</v>
      </c>
      <c r="B52" s="8" t="str">
        <f>IFERROR(__xludf.DUMMYFUNCTION("""COMPUTED_VALUE"""),"""Looking for Rabbits""")</f>
        <v>"Looking for Rabbits"</v>
      </c>
      <c r="C52" s="8" t="str">
        <f>IFERROR(__xludf.DUMMYFUNCTION("""COMPUTED_VALUE"""),"9 April 1998 (1998-04-09)")</f>
        <v>9 April 1998 (1998-04-09)</v>
      </c>
      <c r="D52" s="8"/>
      <c r="E52" s="8"/>
      <c r="F52" s="8"/>
      <c r="G52" s="8"/>
      <c r="H52" s="8"/>
      <c r="I52" s="8"/>
      <c r="J52" s="8"/>
      <c r="K52" s="8"/>
      <c r="L52" s="8"/>
      <c r="M52" s="8"/>
      <c r="N52" s="8"/>
      <c r="O52" s="8"/>
      <c r="P52" s="8"/>
      <c r="Q52" s="8"/>
      <c r="R52" s="8"/>
      <c r="S52" s="8"/>
      <c r="T52" s="8"/>
      <c r="U52" s="8"/>
      <c r="V52" s="8"/>
      <c r="W52" s="8"/>
      <c r="X52" s="8"/>
      <c r="Y52" s="8"/>
      <c r="Z52" s="8"/>
    </row>
    <row r="53">
      <c r="A53" s="8" t="str">
        <f>IFERROR(__xludf.DUMMYFUNCTION("""COMPUTED_VALUE"""),"Po comes in the Home Hill and says hello. She catches the Tubbies and said 
hello. Then she receives a video and they watch Jack and Francesca looking 
for Rabbits with Andy. In Teletubbyland, Tinky Winky looks for Po 
everywhere, but she is hiding from h"&amp;"im. When he finds her all the Tubbies 
dance a Happy Dance. 
Featuring: Andy Brown with Francesca Rutherford &amp; Jack Western")</f>
        <v>Po comes in the Home Hill and says hello. She catches the Tubbies and said 
hello. Then she receives a video and they watch Jack and Francesca looking 
for Rabbits with Andy. In Teletubbyland, Tinky Winky looks for Po 
everywhere, but she is hiding from him. When he finds her all the Tubbies 
dance a Happy Dance. 
Featuring: Andy Brown with Francesca Rutherford &amp; Jack Western</v>
      </c>
      <c r="B53" s="8"/>
      <c r="C53" s="8"/>
      <c r="D53" s="8"/>
      <c r="E53" s="8"/>
      <c r="F53" s="8"/>
      <c r="G53" s="8"/>
      <c r="H53" s="8"/>
      <c r="I53" s="8"/>
      <c r="J53" s="8"/>
      <c r="K53" s="8"/>
      <c r="L53" s="8"/>
      <c r="M53" s="8"/>
      <c r="N53" s="8"/>
      <c r="O53" s="8"/>
      <c r="P53" s="8"/>
      <c r="Q53" s="8"/>
      <c r="R53" s="8"/>
      <c r="S53" s="8"/>
      <c r="T53" s="8"/>
      <c r="U53" s="8"/>
      <c r="V53" s="8"/>
      <c r="W53" s="8"/>
      <c r="X53" s="8"/>
      <c r="Y53" s="8"/>
      <c r="Z53" s="8"/>
    </row>
    <row r="54">
      <c r="A54" s="8">
        <f>IFERROR(__xludf.DUMMYFUNCTION("""COMPUTED_VALUE"""),145.0)</f>
        <v>145</v>
      </c>
      <c r="B54" s="8" t="str">
        <f>IFERROR(__xludf.DUMMYFUNCTION("""COMPUTED_VALUE"""),"""Painting Easter Eggs""")</f>
        <v>"Painting Easter Eggs"</v>
      </c>
      <c r="C54" s="8" t="str">
        <f>IFERROR(__xludf.DUMMYFUNCTION("""COMPUTED_VALUE"""),"10 April 1998 (1998-04-10)")</f>
        <v>10 April 1998 (1998-04-10)</v>
      </c>
      <c r="D54" s="8"/>
      <c r="E54" s="8"/>
      <c r="F54" s="8"/>
      <c r="G54" s="8"/>
      <c r="H54" s="8"/>
      <c r="I54" s="8"/>
      <c r="J54" s="8"/>
      <c r="K54" s="8"/>
      <c r="L54" s="8"/>
      <c r="M54" s="8"/>
      <c r="N54" s="8"/>
      <c r="O54" s="8"/>
      <c r="P54" s="8"/>
      <c r="Q54" s="8"/>
      <c r="R54" s="8"/>
      <c r="S54" s="8"/>
      <c r="T54" s="8"/>
      <c r="U54" s="8"/>
      <c r="V54" s="8"/>
      <c r="W54" s="8"/>
      <c r="X54" s="8"/>
      <c r="Y54" s="8"/>
      <c r="Z54" s="8"/>
    </row>
    <row r="55">
      <c r="A55" s="8" t="str">
        <f>IFERROR(__xludf.DUMMYFUNCTION("""COMPUTED_VALUE"""),"The Teletubbies dance an up-and-down dance. They go off to watch some 
children painting pictures and patterns on eggs. Laa-Laa dances with her 
skirt and her ball. She rushes off to fetch the Teletubbies to watch The 
Magic Tree as it appears in Teletubb"&amp;"yland with five doves. The Magic 
Windmill stops spinning and it is time for Tubby Bye Bye. 
Featuring: Jean-Rene Badrick, Rachel Cann, Daniel &amp; Rachel Goldberg, Alice 
Greenwood, Talbah Khan and Finbar Lenahan")</f>
        <v>The Teletubbies dance an up-and-down dance. They go off to watch some 
children painting pictures and patterns on eggs. Laa-Laa dances with her 
skirt and her ball. She rushes off to fetch the Teletubbies to watch The 
Magic Tree as it appears in Teletubbyland with five doves. The Magic 
Windmill stops spinning and it is time for Tubby Bye Bye. 
Featuring: Jean-Rene Badrick, Rachel Cann, Daniel &amp; Rachel Goldberg, Alice 
Greenwood, Talbah Khan and Finbar Lenahan</v>
      </c>
      <c r="B55" s="8"/>
      <c r="C55" s="8"/>
      <c r="D55" s="8"/>
      <c r="E55" s="8"/>
      <c r="F55" s="8"/>
      <c r="G55" s="8"/>
      <c r="H55" s="8"/>
      <c r="I55" s="8"/>
      <c r="J55" s="8"/>
      <c r="K55" s="8"/>
      <c r="L55" s="8"/>
      <c r="M55" s="8"/>
      <c r="N55" s="8"/>
      <c r="O55" s="8"/>
      <c r="P55" s="8"/>
      <c r="Q55" s="8"/>
      <c r="R55" s="8"/>
      <c r="S55" s="8"/>
      <c r="T55" s="8"/>
      <c r="U55" s="8"/>
      <c r="V55" s="8"/>
      <c r="W55" s="8"/>
      <c r="X55" s="8"/>
      <c r="Y55" s="8"/>
      <c r="Z55" s="8"/>
    </row>
    <row r="56">
      <c r="A56" s="8">
        <f>IFERROR(__xludf.DUMMYFUNCTION("""COMPUTED_VALUE"""),146.0)</f>
        <v>146</v>
      </c>
      <c r="B56" s="8" t="str">
        <f>IFERROR(__xludf.DUMMYFUNCTION("""COMPUTED_VALUE"""),"""Finding Chocolate Eggs""")</f>
        <v>"Finding Chocolate Eggs"</v>
      </c>
      <c r="C56" s="8" t="str">
        <f>IFERROR(__xludf.DUMMYFUNCTION("""COMPUTED_VALUE"""),"13 April 1998 (1998-04-13)")</f>
        <v>13 April 1998 (1998-04-13)</v>
      </c>
      <c r="D56" s="8"/>
      <c r="E56" s="8"/>
      <c r="F56" s="8"/>
      <c r="G56" s="8"/>
      <c r="H56" s="8"/>
      <c r="I56" s="8"/>
      <c r="J56" s="8"/>
      <c r="K56" s="8"/>
      <c r="L56" s="8"/>
      <c r="M56" s="8"/>
      <c r="N56" s="8"/>
      <c r="O56" s="8"/>
      <c r="P56" s="8"/>
      <c r="Q56" s="8"/>
      <c r="R56" s="8"/>
      <c r="S56" s="8"/>
      <c r="T56" s="8"/>
      <c r="U56" s="8"/>
      <c r="V56" s="8"/>
      <c r="W56" s="8"/>
      <c r="X56" s="8"/>
      <c r="Y56" s="8"/>
      <c r="Z56" s="8"/>
    </row>
    <row r="57">
      <c r="A57" s="8" t="str">
        <f>IFERROR(__xludf.DUMMYFUNCTION("""COMPUTED_VALUE"""),"Tinky Winky, Dipsy and Laa-Laa make some Tubby Custard, but there is none 
left for Po when she arrives, so she takes Laa-Laa's but then Laa-Laa takes 
it back, then Tinky Winky take Dipsy's but he takes it back off him, then 
all of the Teletubbies are t"&amp;"aking each other's Tubby Custard. The 
Teletubbies tell Po to make her own Tubby Custard, but she doesn't want to, 
so she rides her scooter instead while the others have their Tubby Custard. 
The Teletubbies watch a video of some children going on an Eas"&amp;"ter egg hunt. 
The Teletubbies do the Falling Down Dance before Tubby Bye-Bye. 
Featuring: Alice &amp; Samuel Dwyer, Max &amp; Lucas Geddes, Rachel Horton, Casper 
Hughes, Eleanor Paine, Georgina &amp; Katie Phillipps and Nikita Roberts")</f>
        <v>Tinky Winky, Dipsy and Laa-Laa make some Tubby Custard, but there is none 
left for Po when she arrives, so she takes Laa-Laa's but then Laa-Laa takes 
it back, then Tinky Winky take Dipsy's but he takes it back off him, then 
all of the Teletubbies are taking each other's Tubby Custard. The 
Teletubbies tell Po to make her own Tubby Custard, but she doesn't want to, 
so she rides her scooter instead while the others have their Tubby Custard. 
The Teletubbies watch a video of some children going on an Easter egg hunt. 
The Teletubbies do the Falling Down Dance before Tubby Bye-Bye. 
Featuring: Alice &amp; Samuel Dwyer, Max &amp; Lucas Geddes, Rachel Horton, Casper 
Hughes, Eleanor Paine, Georgina &amp; Katie Phillipps and Nikita Roberts</v>
      </c>
      <c r="B57" s="8"/>
      <c r="C57" s="8"/>
      <c r="D57" s="8"/>
      <c r="E57" s="8"/>
      <c r="F57" s="8"/>
      <c r="G57" s="8"/>
      <c r="H57" s="8"/>
      <c r="I57" s="8"/>
      <c r="J57" s="8"/>
      <c r="K57" s="8"/>
      <c r="L57" s="8"/>
      <c r="M57" s="8"/>
      <c r="N57" s="8"/>
      <c r="O57" s="8"/>
      <c r="P57" s="8"/>
      <c r="Q57" s="8"/>
      <c r="R57" s="8"/>
      <c r="S57" s="8"/>
      <c r="T57" s="8"/>
      <c r="U57" s="8"/>
      <c r="V57" s="8"/>
      <c r="W57" s="8"/>
      <c r="X57" s="8"/>
      <c r="Y57" s="8"/>
      <c r="Z57" s="8"/>
    </row>
    <row r="58">
      <c r="A58" s="8">
        <f>IFERROR(__xludf.DUMMYFUNCTION("""COMPUTED_VALUE"""),147.0)</f>
        <v>147</v>
      </c>
      <c r="B58" s="8" t="str">
        <f>IFERROR(__xludf.DUMMYFUNCTION("""COMPUTED_VALUE"""),"""Turban""")</f>
        <v>"Turban"</v>
      </c>
      <c r="C58" s="8" t="str">
        <f>IFERROR(__xludf.DUMMYFUNCTION("""COMPUTED_VALUE"""),"14 April 1998 (1998-04-14)")</f>
        <v>14 April 1998 (1998-04-14)</v>
      </c>
      <c r="D58" s="8"/>
      <c r="E58" s="8"/>
      <c r="F58" s="8"/>
      <c r="G58" s="8"/>
      <c r="H58" s="8"/>
      <c r="I58" s="8"/>
      <c r="J58" s="8"/>
      <c r="K58" s="8"/>
      <c r="L58" s="8"/>
      <c r="M58" s="8"/>
      <c r="N58" s="8"/>
      <c r="O58" s="8"/>
      <c r="P58" s="8"/>
      <c r="Q58" s="8"/>
      <c r="R58" s="8"/>
      <c r="S58" s="8"/>
      <c r="T58" s="8"/>
      <c r="U58" s="8"/>
      <c r="V58" s="8"/>
      <c r="W58" s="8"/>
      <c r="X58" s="8"/>
      <c r="Y58" s="8"/>
      <c r="Z58" s="8"/>
    </row>
    <row r="59">
      <c r="A59" s="8" t="str">
        <f>IFERROR(__xludf.DUMMYFUNCTION("""COMPUTED_VALUE"""),"Laa-Laa walks past rabbits and says 'Eh-oh!' before the Magic Windmill 
spins and the Teletubbies find out how to make a turban. The Teletubbies 
went for a walk together so they linked arms and walked together. Po saw 
her scooter and she wanted to ride "&amp;"her scooter whilst the other Teletubbies 
went for a walk together but they pulled the other way and all fell down. 
Po rode her scooter and the other Teletubbies went for a walk together. 
Laa-Laa saw her ball and Tinky Winky and Dipsy wanted to go for a"&amp;" walk so 
Tinky Winky, Dipsy and Laa-Laa fell down. Laa-Laa played with her ball. 
Tinky Winky and Dipsy went for a walk together. Dipsy saw his hat and 
wanted to wear his hat but Tinky Winky wanted to go for a walk. Dipsy wore 
his hat and he sung his h"&amp;"at song. Tinky Winky went for a walk on his own 
before the Sun Baby giggles for Tubby Bye Bye. 
Featuring: Jasjort Singh")</f>
        <v>Laa-Laa walks past rabbits and says 'Eh-oh!' before the Magic Windmill 
spins and the Teletubbies find out how to make a turban. The Teletubbies 
went for a walk together so they linked arms and walked together. Po saw 
her scooter and she wanted to ride her scooter whilst the other Teletubbies 
went for a walk together but they pulled the other way and all fell down. 
Po rode her scooter and the other Teletubbies went for a walk together. 
Laa-Laa saw her ball and Tinky Winky and Dipsy wanted to go for a walk so 
Tinky Winky, Dipsy and Laa-Laa fell down. Laa-Laa played with her ball. 
Tinky Winky and Dipsy went for a walk together. Dipsy saw his hat and 
wanted to wear his hat but Tinky Winky wanted to go for a walk. Dipsy wore 
his hat and he sung his hat song. Tinky Winky went for a walk on his own 
before the Sun Baby giggles for Tubby Bye Bye. 
Featuring: Jasjort Singh</v>
      </c>
      <c r="B59" s="8"/>
      <c r="C59" s="8"/>
      <c r="D59" s="8"/>
      <c r="E59" s="8"/>
      <c r="F59" s="8"/>
      <c r="G59" s="8"/>
      <c r="H59" s="8"/>
      <c r="I59" s="8"/>
      <c r="J59" s="8"/>
      <c r="K59" s="8"/>
      <c r="L59" s="8"/>
      <c r="M59" s="8"/>
      <c r="N59" s="8"/>
      <c r="O59" s="8"/>
      <c r="P59" s="8"/>
      <c r="Q59" s="8"/>
      <c r="R59" s="8"/>
      <c r="S59" s="8"/>
      <c r="T59" s="8"/>
      <c r="U59" s="8"/>
      <c r="V59" s="8"/>
      <c r="W59" s="8"/>
      <c r="X59" s="8"/>
      <c r="Y59" s="8"/>
      <c r="Z59" s="8"/>
    </row>
    <row r="60">
      <c r="A60" s="8">
        <f>IFERROR(__xludf.DUMMYFUNCTION("""COMPUTED_VALUE"""),148.0)</f>
        <v>148</v>
      </c>
      <c r="B60" s="8" t="str">
        <f>IFERROR(__xludf.DUMMYFUNCTION("""COMPUTED_VALUE"""),"""My Dad's a Tram Driver""")</f>
        <v>"My Dad's a Tram Driver"</v>
      </c>
      <c r="C60" s="8" t="str">
        <f>IFERROR(__xludf.DUMMYFUNCTION("""COMPUTED_VALUE"""),"15 April 1998 (1998-04-15)")</f>
        <v>15 April 1998 (1998-04-15)</v>
      </c>
      <c r="D60" s="8"/>
      <c r="E60" s="8"/>
      <c r="F60" s="8"/>
      <c r="G60" s="8"/>
      <c r="H60" s="8"/>
      <c r="I60" s="8"/>
      <c r="J60" s="8"/>
      <c r="K60" s="8"/>
      <c r="L60" s="8"/>
      <c r="M60" s="8"/>
      <c r="N60" s="8"/>
      <c r="O60" s="8"/>
      <c r="P60" s="8"/>
      <c r="Q60" s="8"/>
      <c r="R60" s="8"/>
      <c r="S60" s="8"/>
      <c r="T60" s="8"/>
      <c r="U60" s="8"/>
      <c r="V60" s="8"/>
      <c r="W60" s="8"/>
      <c r="X60" s="8"/>
      <c r="Y60" s="8"/>
      <c r="Z60" s="8"/>
    </row>
    <row r="61">
      <c r="A61" s="8" t="str">
        <f>IFERROR(__xludf.DUMMYFUNCTION("""COMPUTED_VALUE"""),"The Teletubbies listen to a Voice Trumpet recite a nursery rhyme called ""Hark, 
Hark, The Dogs Do Bark"", then they watch Becky go for a ride on a tram. 
Po's scooter is involved in an accident and the other Teletubbies are 
knocked down. There's time fo"&amp;"r the Twisty Dance before Tubby Bye-Bye. 
Featuring: Rebecca Singer")</f>
        <v>The Teletubbies listen to a Voice Trumpet recite a nursery rhyme called "Hark, 
Hark, The Dogs Do Bark", then they watch Becky go for a ride on a tram. 
Po's scooter is involved in an accident and the other Teletubbies are 
knocked down. There's time for the Twisty Dance before Tubby Bye-Bye. 
Featuring: Rebecca Singer</v>
      </c>
      <c r="B61" s="8"/>
      <c r="C61" s="8"/>
      <c r="D61" s="8"/>
      <c r="E61" s="8"/>
      <c r="F61" s="8"/>
      <c r="G61" s="8"/>
      <c r="H61" s="8"/>
      <c r="I61" s="8"/>
      <c r="J61" s="8"/>
      <c r="K61" s="8"/>
      <c r="L61" s="8"/>
      <c r="M61" s="8"/>
      <c r="N61" s="8"/>
      <c r="O61" s="8"/>
      <c r="P61" s="8"/>
      <c r="Q61" s="8"/>
      <c r="R61" s="8"/>
      <c r="S61" s="8"/>
      <c r="T61" s="8"/>
      <c r="U61" s="8"/>
      <c r="V61" s="8"/>
      <c r="W61" s="8"/>
      <c r="X61" s="8"/>
      <c r="Y61" s="8"/>
      <c r="Z61" s="8"/>
    </row>
    <row r="62">
      <c r="A62" s="8">
        <f>IFERROR(__xludf.DUMMYFUNCTION("""COMPUTED_VALUE"""),149.0)</f>
        <v>149</v>
      </c>
      <c r="B62" s="8" t="str">
        <f>IFERROR(__xludf.DUMMYFUNCTION("""COMPUTED_VALUE"""),"""Football""")</f>
        <v>"Football"</v>
      </c>
      <c r="C62" s="8" t="str">
        <f>IFERROR(__xludf.DUMMYFUNCTION("""COMPUTED_VALUE"""),"16 April 1998 (1998-04-16)")</f>
        <v>16 April 1998 (1998-04-16)</v>
      </c>
      <c r="D62" s="8"/>
      <c r="E62" s="8"/>
      <c r="F62" s="8"/>
      <c r="G62" s="8"/>
      <c r="H62" s="8"/>
      <c r="I62" s="8"/>
      <c r="J62" s="8"/>
      <c r="K62" s="8"/>
      <c r="L62" s="8"/>
      <c r="M62" s="8"/>
      <c r="N62" s="8"/>
      <c r="O62" s="8"/>
      <c r="P62" s="8"/>
      <c r="Q62" s="8"/>
      <c r="R62" s="8"/>
      <c r="S62" s="8"/>
      <c r="T62" s="8"/>
      <c r="U62" s="8"/>
      <c r="V62" s="8"/>
      <c r="W62" s="8"/>
      <c r="X62" s="8"/>
      <c r="Y62" s="8"/>
      <c r="Z62" s="8"/>
    </row>
    <row r="63">
      <c r="A63" s="8" t="str">
        <f>IFERROR(__xludf.DUMMYFUNCTION("""COMPUTED_VALUE"""),"Po eats some Tubby Custard and then runs off to see some children playing 
football (soccer in America) in the park. Laa-Laa and Po love playing with 
the ball. While they play, they sing about the ball. The magical house with 
four windows appears in Tel"&amp;"etubbyland and the Magic Windmill stops 
spinning. It is time for Tubby Bye-Bye. 
Featuring: Ayende &amp; Yusef Ali, Lorenzo Black, Foluke Cole, Malcolm &amp; 
Ashleigh Sawyers and Thomas Wilson")</f>
        <v>Po eats some Tubby Custard and then runs off to see some children playing 
football (soccer in America) in the park. Laa-Laa and Po love playing with 
the ball. While they play, they sing about the ball. The magical house with 
four windows appears in Teletubbyland and the Magic Windmill stops 
spinning. It is time for Tubby Bye-Bye. 
Featuring: Ayende &amp; Yusef Ali, Lorenzo Black, Foluke Cole, Malcolm &amp; 
Ashleigh Sawyers and Thomas Wilson</v>
      </c>
      <c r="B63" s="8"/>
      <c r="C63" s="8"/>
      <c r="D63" s="8"/>
      <c r="E63" s="8"/>
      <c r="F63" s="8"/>
      <c r="G63" s="8"/>
      <c r="H63" s="8"/>
      <c r="I63" s="8"/>
      <c r="J63" s="8"/>
      <c r="K63" s="8"/>
      <c r="L63" s="8"/>
      <c r="M63" s="8"/>
      <c r="N63" s="8"/>
      <c r="O63" s="8"/>
      <c r="P63" s="8"/>
      <c r="Q63" s="8"/>
      <c r="R63" s="8"/>
      <c r="S63" s="8"/>
      <c r="T63" s="8"/>
      <c r="U63" s="8"/>
      <c r="V63" s="8"/>
      <c r="W63" s="8"/>
      <c r="X63" s="8"/>
      <c r="Y63" s="8"/>
      <c r="Z63" s="8"/>
    </row>
    <row r="64">
      <c r="A64" s="8">
        <f>IFERROR(__xludf.DUMMYFUNCTION("""COMPUTED_VALUE"""),150.0)</f>
        <v>150</v>
      </c>
      <c r="B64" s="8" t="str">
        <f>IFERROR(__xludf.DUMMYFUNCTION("""COMPUTED_VALUE"""),"""Naughty Sausage""")</f>
        <v>"Naughty Sausage"</v>
      </c>
      <c r="C64" s="8" t="str">
        <f>IFERROR(__xludf.DUMMYFUNCTION("""COMPUTED_VALUE"""),"17 April 1998 (1998-04-17)")</f>
        <v>17 April 1998 (1998-04-17)</v>
      </c>
      <c r="D64" s="8"/>
      <c r="E64" s="8"/>
      <c r="F64" s="8"/>
      <c r="G64" s="8"/>
      <c r="H64" s="8"/>
      <c r="I64" s="8"/>
      <c r="J64" s="8"/>
      <c r="K64" s="8"/>
      <c r="L64" s="8"/>
      <c r="M64" s="8"/>
      <c r="N64" s="8"/>
      <c r="O64" s="8"/>
      <c r="P64" s="8"/>
      <c r="Q64" s="8"/>
      <c r="R64" s="8"/>
      <c r="S64" s="8"/>
      <c r="T64" s="8"/>
      <c r="U64" s="8"/>
      <c r="V64" s="8"/>
      <c r="W64" s="8"/>
      <c r="X64" s="8"/>
      <c r="Y64" s="8"/>
      <c r="Z64" s="8"/>
    </row>
    <row r="65">
      <c r="A65" s="8" t="str">
        <f>IFERROR(__xludf.DUMMYFUNCTION("""COMPUTED_VALUE"""),"The Teletubbies pop up from behind a hill to watch Tamzin Griffin pretend 
to be the Funny Lady. Laa Laa decides to dance a secret dance after 
receiving a naughty sausage transmission. Every time the others return, Laa 
Laa pretends to be asleep. 
Featur"&amp;"ing: Tamzin Griffin with The Children of Chater Infants School, 
Watford")</f>
        <v>The Teletubbies pop up from behind a hill to watch Tamzin Griffin pretend 
to be the Funny Lady. Laa Laa decides to dance a secret dance after 
receiving a naughty sausage transmission. Every time the others return, Laa 
Laa pretends to be asleep. 
Featuring: Tamzin Griffin with The Children of Chater Infants School, 
Watford</v>
      </c>
      <c r="B65" s="8"/>
      <c r="C65" s="8"/>
      <c r="D65" s="8"/>
      <c r="E65" s="8"/>
      <c r="F65" s="8"/>
      <c r="G65" s="8"/>
      <c r="H65" s="8"/>
      <c r="I65" s="8"/>
      <c r="J65" s="8"/>
      <c r="K65" s="8"/>
      <c r="L65" s="8"/>
      <c r="M65" s="8"/>
      <c r="N65" s="8"/>
      <c r="O65" s="8"/>
      <c r="P65" s="8"/>
      <c r="Q65" s="8"/>
      <c r="R65" s="8"/>
      <c r="S65" s="8"/>
      <c r="T65" s="8"/>
      <c r="U65" s="8"/>
      <c r="V65" s="8"/>
      <c r="W65" s="8"/>
      <c r="X65" s="8"/>
      <c r="Y65" s="8"/>
      <c r="Z65" s="8"/>
    </row>
    <row r="66">
      <c r="A66" s="8">
        <f>IFERROR(__xludf.DUMMYFUNCTION("""COMPUTED_VALUE"""),151.0)</f>
        <v>151</v>
      </c>
      <c r="B66" s="8" t="str">
        <f>IFERROR(__xludf.DUMMYFUNCTION("""COMPUTED_VALUE"""),"""Animals – Snails""")</f>
        <v>"Animals – Snails"</v>
      </c>
      <c r="C66" s="8" t="str">
        <f>IFERROR(__xludf.DUMMYFUNCTION("""COMPUTED_VALUE"""),"27 April 1998 (1998-04-27)")</f>
        <v>27 April 1998 (1998-04-27)</v>
      </c>
      <c r="D66" s="8"/>
      <c r="E66" s="8"/>
      <c r="F66" s="8"/>
      <c r="G66" s="8"/>
      <c r="H66" s="8"/>
      <c r="I66" s="8"/>
      <c r="J66" s="8"/>
      <c r="K66" s="8"/>
      <c r="L66" s="8"/>
      <c r="M66" s="8"/>
      <c r="N66" s="8"/>
      <c r="O66" s="8"/>
      <c r="P66" s="8"/>
      <c r="Q66" s="8"/>
      <c r="R66" s="8"/>
      <c r="S66" s="8"/>
      <c r="T66" s="8"/>
      <c r="U66" s="8"/>
      <c r="V66" s="8"/>
      <c r="W66" s="8"/>
      <c r="X66" s="8"/>
      <c r="Y66" s="8"/>
      <c r="Z66" s="8"/>
    </row>
    <row r="67">
      <c r="A67" s="8" t="str">
        <f>IFERROR(__xludf.DUMMYFUNCTION("""COMPUTED_VALUE"""),"Po sleeps in Tinky Winky's bed and Tinky Winky has nowhere to sleep. He 
tries sleeping in Po's bed, at the table and on the slide but he cannot get 
comfortable, Po then wakes up and Tinky Winky sleeps in his bed. The 
Windmill starts spinning and the Te"&amp;"letubbies run outside to watch Andy 
Brown show some children some Snails.The Teletubbies dance a Conga before 
Tubby Bye Bye. 
Featuring: Andy Brown with Giacomo Alger, Anil Jilka and Jodi Richards")</f>
        <v>Po sleeps in Tinky Winky's bed and Tinky Winky has nowhere to sleep. He 
tries sleeping in Po's bed, at the table and on the slide but he cannot get 
comfortable, Po then wakes up and Tinky Winky sleeps in his bed. The 
Windmill starts spinning and the Teletubbies run outside to watch Andy 
Brown show some children some Snails.The Teletubbies dance a Conga before 
Tubby Bye Bye. 
Featuring: Andy Brown with Giacomo Alger, Anil Jilka and Jodi Richards</v>
      </c>
      <c r="B67" s="8"/>
      <c r="C67" s="8"/>
      <c r="D67" s="8"/>
      <c r="E67" s="8"/>
      <c r="F67" s="8"/>
      <c r="G67" s="8"/>
      <c r="H67" s="8"/>
      <c r="I67" s="8"/>
      <c r="J67" s="8"/>
      <c r="K67" s="8"/>
      <c r="L67" s="8"/>
      <c r="M67" s="8"/>
      <c r="N67" s="8"/>
      <c r="O67" s="8"/>
      <c r="P67" s="8"/>
      <c r="Q67" s="8"/>
      <c r="R67" s="8"/>
      <c r="S67" s="8"/>
      <c r="T67" s="8"/>
      <c r="U67" s="8"/>
      <c r="V67" s="8"/>
      <c r="W67" s="8"/>
      <c r="X67" s="8"/>
      <c r="Y67" s="8"/>
      <c r="Z67" s="8"/>
    </row>
    <row r="68">
      <c r="A68" s="8">
        <f>IFERROR(__xludf.DUMMYFUNCTION("""COMPUTED_VALUE"""),152.0)</f>
        <v>152</v>
      </c>
      <c r="B68" s="8" t="str">
        <f>IFERROR(__xludf.DUMMYFUNCTION("""COMPUTED_VALUE"""),"""Numbers – 3 (version 2)""")</f>
        <v>"Numbers – 3 (version 2)"</v>
      </c>
      <c r="C68" s="8" t="str">
        <f>IFERROR(__xludf.DUMMYFUNCTION("""COMPUTED_VALUE"""),"28 April 1998 (1998-04-28)")</f>
        <v>28 April 1998 (1998-04-28)</v>
      </c>
      <c r="D68" s="8"/>
      <c r="E68" s="8"/>
      <c r="F68" s="8"/>
      <c r="G68" s="8"/>
      <c r="H68" s="8"/>
      <c r="I68" s="8"/>
      <c r="J68" s="8"/>
      <c r="K68" s="8"/>
      <c r="L68" s="8"/>
      <c r="M68" s="8"/>
      <c r="N68" s="8"/>
      <c r="O68" s="8"/>
      <c r="P68" s="8"/>
      <c r="Q68" s="8"/>
      <c r="R68" s="8"/>
      <c r="S68" s="8"/>
      <c r="T68" s="8"/>
      <c r="U68" s="8"/>
      <c r="V68" s="8"/>
      <c r="W68" s="8"/>
      <c r="X68" s="8"/>
      <c r="Y68" s="8"/>
      <c r="Z68" s="8"/>
    </row>
    <row r="69">
      <c r="A69" s="8" t="str">
        <f>IFERROR(__xludf.DUMMYFUNCTION("""COMPUTED_VALUE"""),"Tinky-Winky, Dipsy and Laa Laa march. Then they watch children learn the 
number 3. And then, three Teletubbies find three flowers and three trees. 
And they have Tubby Toast, but there are four pieces of Tubby Toast. Po 
comes to the house and haves the "&amp;"other tubby toast and it is time for Tubby 
Bye-Bye. 
Featuring: The Children of Duncombe School, London")</f>
        <v>Tinky-Winky, Dipsy and Laa Laa march. Then they watch children learn the 
number 3. And then, three Teletubbies find three flowers and three trees. 
And they have Tubby Toast, but there are four pieces of Tubby Toast. Po 
comes to the house and haves the other tubby toast and it is time for Tubby 
Bye-Bye. 
Featuring: The Children of Duncombe School, London</v>
      </c>
      <c r="B69" s="8"/>
      <c r="C69" s="8"/>
      <c r="D69" s="8"/>
      <c r="E69" s="8"/>
      <c r="F69" s="8"/>
      <c r="G69" s="8"/>
      <c r="H69" s="8"/>
      <c r="I69" s="8"/>
      <c r="J69" s="8"/>
      <c r="K69" s="8"/>
      <c r="L69" s="8"/>
      <c r="M69" s="8"/>
      <c r="N69" s="8"/>
      <c r="O69" s="8"/>
      <c r="P69" s="8"/>
      <c r="Q69" s="8"/>
      <c r="R69" s="8"/>
      <c r="S69" s="8"/>
      <c r="T69" s="8"/>
      <c r="U69" s="8"/>
      <c r="V69" s="8"/>
      <c r="W69" s="8"/>
      <c r="X69" s="8"/>
      <c r="Y69" s="8"/>
      <c r="Z69" s="8"/>
    </row>
    <row r="70">
      <c r="A70" s="8">
        <f>IFERROR(__xludf.DUMMYFUNCTION("""COMPUTED_VALUE"""),153.0)</f>
        <v>153</v>
      </c>
      <c r="B70" s="8" t="str">
        <f>IFERROR(__xludf.DUMMYFUNCTION("""COMPUTED_VALUE"""),"""Dentist""")</f>
        <v>"Dentist"</v>
      </c>
      <c r="C70" s="8" t="str">
        <f>IFERROR(__xludf.DUMMYFUNCTION("""COMPUTED_VALUE"""),"29 April 1998 (1998-04-29)")</f>
        <v>29 April 1998 (1998-04-29)</v>
      </c>
      <c r="D70" s="8"/>
      <c r="E70" s="8"/>
      <c r="F70" s="8"/>
      <c r="G70" s="8"/>
      <c r="H70" s="8"/>
      <c r="I70" s="8"/>
      <c r="J70" s="8"/>
      <c r="K70" s="8"/>
      <c r="L70" s="8"/>
      <c r="M70" s="8"/>
      <c r="N70" s="8"/>
      <c r="O70" s="8"/>
      <c r="P70" s="8"/>
      <c r="Q70" s="8"/>
      <c r="R70" s="8"/>
      <c r="S70" s="8"/>
      <c r="T70" s="8"/>
      <c r="U70" s="8"/>
      <c r="V70" s="8"/>
      <c r="W70" s="8"/>
      <c r="X70" s="8"/>
      <c r="Y70" s="8"/>
      <c r="Z70" s="8"/>
    </row>
    <row r="71">
      <c r="A71" s="8" t="str">
        <f>IFERROR(__xludf.DUMMYFUNCTION("""COMPUTED_VALUE"""),"Inside the Home Hill, the Teletubbies are sleeping when a voice trumpet 
rises and starts singing Frere Jacques in French to them. Then they wake up 
to see the Magic Windmill spinning. They rush outside (before the voice 
trumpet goes down) and watch a v"&amp;"ideo about dentists working on some teeth 
and become fascinated by their own. Then, the Teletubbies rush off to see 
the Bear and the Lion play hide and seek before the Magic Windmill stops 
spinning for Tubby Bye Bye. 
Featuring: Reena Aluwhalia and The"&amp;" Armstrong Family")</f>
        <v>Inside the Home Hill, the Teletubbies are sleeping when a voice trumpet 
rises and starts singing Frere Jacques in French to them. Then they wake up 
to see the Magic Windmill spinning. They rush outside (before the voice 
trumpet goes down) and watch a video about dentists working on some teeth 
and become fascinated by their own. Then, the Teletubbies rush off to see 
the Bear and the Lion play hide and seek before the Magic Windmill stops 
spinning for Tubby Bye Bye. 
Featuring: Reena Aluwhalia and The Armstrong Family</v>
      </c>
      <c r="B71" s="8"/>
      <c r="C71" s="8"/>
      <c r="D71" s="8"/>
      <c r="E71" s="8"/>
      <c r="F71" s="8"/>
      <c r="G71" s="8"/>
      <c r="H71" s="8"/>
      <c r="I71" s="8"/>
      <c r="J71" s="8"/>
      <c r="K71" s="8"/>
      <c r="L71" s="8"/>
      <c r="M71" s="8"/>
      <c r="N71" s="8"/>
      <c r="O71" s="8"/>
      <c r="P71" s="8"/>
      <c r="Q71" s="8"/>
      <c r="R71" s="8"/>
      <c r="S71" s="8"/>
      <c r="T71" s="8"/>
      <c r="U71" s="8"/>
      <c r="V71" s="8"/>
      <c r="W71" s="8"/>
      <c r="X71" s="8"/>
      <c r="Y71" s="8"/>
      <c r="Z71" s="8"/>
    </row>
    <row r="72">
      <c r="A72" s="8">
        <f>IFERROR(__xludf.DUMMYFUNCTION("""COMPUTED_VALUE"""),154.0)</f>
        <v>154</v>
      </c>
      <c r="B72" s="8" t="str">
        <f>IFERROR(__xludf.DUMMYFUNCTION("""COMPUTED_VALUE"""),"""Making Salad""")</f>
        <v>"Making Salad"</v>
      </c>
      <c r="C72" s="8" t="str">
        <f>IFERROR(__xludf.DUMMYFUNCTION("""COMPUTED_VALUE"""),"30 April 1998 (1998-04-30)")</f>
        <v>30 April 1998 (1998-04-30)</v>
      </c>
      <c r="D72" s="8"/>
      <c r="E72" s="8"/>
      <c r="F72" s="8"/>
      <c r="G72" s="8"/>
      <c r="H72" s="8"/>
      <c r="I72" s="8"/>
      <c r="J72" s="8"/>
      <c r="K72" s="8"/>
      <c r="L72" s="8"/>
      <c r="M72" s="8"/>
      <c r="N72" s="8"/>
      <c r="O72" s="8"/>
      <c r="P72" s="8"/>
      <c r="Q72" s="8"/>
      <c r="R72" s="8"/>
      <c r="S72" s="8"/>
      <c r="T72" s="8"/>
      <c r="U72" s="8"/>
      <c r="V72" s="8"/>
      <c r="W72" s="8"/>
      <c r="X72" s="8"/>
      <c r="Y72" s="8"/>
      <c r="Z72" s="8"/>
    </row>
    <row r="73">
      <c r="A73" s="8" t="str">
        <f>IFERROR(__xludf.DUMMYFUNCTION("""COMPUTED_VALUE"""),"The Teletubbies are trying to eat their Tubby Toast but the Noo Noo is 
being too noisy zooming around the House. The Teletubbies watch Yvette and 
her brother Leslie making salad. Back in Teletubbyland the Teletubbies try 
to have their Tubby Custard but"&amp;" they all keep falling over.Then they run 
outside to do the Falling Down Dance before Tubby Bye-Bye. 
Featuring: Yvette and Leslie Dixon-Tetteh")</f>
        <v>The Teletubbies are trying to eat their Tubby Toast but the Noo Noo is 
being too noisy zooming around the House. The Teletubbies watch Yvette and 
her brother Leslie making salad. Back in Teletubbyland the Teletubbies try 
to have their Tubby Custard but they all keep falling over.Then they run 
outside to do the Falling Down Dance before Tubby Bye-Bye. 
Featuring: Yvette and Leslie Dixon-Tetteh</v>
      </c>
      <c r="B73" s="8"/>
      <c r="C73" s="8"/>
      <c r="D73" s="8"/>
      <c r="E73" s="8"/>
      <c r="F73" s="8"/>
      <c r="G73" s="8"/>
      <c r="H73" s="8"/>
      <c r="I73" s="8"/>
      <c r="J73" s="8"/>
      <c r="K73" s="8"/>
      <c r="L73" s="8"/>
      <c r="M73" s="8"/>
      <c r="N73" s="8"/>
      <c r="O73" s="8"/>
      <c r="P73" s="8"/>
      <c r="Q73" s="8"/>
      <c r="R73" s="8"/>
      <c r="S73" s="8"/>
      <c r="T73" s="8"/>
      <c r="U73" s="8"/>
      <c r="V73" s="8"/>
      <c r="W73" s="8"/>
      <c r="X73" s="8"/>
      <c r="Y73" s="8"/>
      <c r="Z73" s="8"/>
    </row>
    <row r="74">
      <c r="A74" s="8">
        <f>IFERROR(__xludf.DUMMYFUNCTION("""COMPUTED_VALUE"""),155.0)</f>
        <v>155</v>
      </c>
      <c r="B74" s="8" t="str">
        <f>IFERROR(__xludf.DUMMYFUNCTION("""COMPUTED_VALUE"""),"""Making Lanterns""")</f>
        <v>"Making Lanterns"</v>
      </c>
      <c r="C74" s="8" t="str">
        <f>IFERROR(__xludf.DUMMYFUNCTION("""COMPUTED_VALUE"""),"1 May 1998 (1998-05-01)")</f>
        <v>1 May 1998 (1998-05-01)</v>
      </c>
      <c r="D74" s="8"/>
      <c r="E74" s="8"/>
      <c r="F74" s="8"/>
      <c r="G74" s="8"/>
      <c r="H74" s="8"/>
      <c r="I74" s="8"/>
      <c r="J74" s="8"/>
      <c r="K74" s="8"/>
      <c r="L74" s="8"/>
      <c r="M74" s="8"/>
      <c r="N74" s="8"/>
      <c r="O74" s="8"/>
      <c r="P74" s="8"/>
      <c r="Q74" s="8"/>
      <c r="R74" s="8"/>
      <c r="S74" s="8"/>
      <c r="T74" s="8"/>
      <c r="U74" s="8"/>
      <c r="V74" s="8"/>
      <c r="W74" s="8"/>
      <c r="X74" s="8"/>
      <c r="Y74" s="8"/>
      <c r="Z74" s="8"/>
    </row>
    <row r="75">
      <c r="A75" s="8" t="str">
        <f>IFERROR(__xludf.DUMMYFUNCTION("""COMPUTED_VALUE"""),"The Teletubbies are feeling very happy so they all jump around a tree, 
Laa-Laa jumps away and Dipsy goes to Hide. Tinky-Winky and Po run around 
Teletubbyland, but soon Tinky Winky runs away leaving Po on her own. She 
falls down, lies in the Sun and the"&amp;"n rolls away. The Magic Windmill starts 
to spin and the Teletubbies watch two Boys and their uncle making Lanterns. 
It's time for Tubby Toast. Laa-Laa's piece of Tubby Toast landed on top of 
her head and gets stuck in her aerial, the other three Teletu"&amp;"bbies start 
laughing because she doesn't know where her Tubby Toast has gone and Po 
puts it back On The table. Then they watch the Magical Event with the Magic 
Tree with five doves. Then they have the Stamping and Stepping Dance before 
Tubby Bye-Bye j"&amp;"ust as The Baby Sun sets. 
Featuring: Jonathan and Howard Ho")</f>
        <v>The Teletubbies are feeling very happy so they all jump around a tree, 
Laa-Laa jumps away and Dipsy goes to Hide. Tinky-Winky and Po run around 
Teletubbyland, but soon Tinky Winky runs away leaving Po on her own. She 
falls down, lies in the Sun and then rolls away. The Magic Windmill starts 
to spin and the Teletubbies watch two Boys and their uncle making Lanterns. 
It's time for Tubby Toast. Laa-Laa's piece of Tubby Toast landed on top of 
her head and gets stuck in her aerial, the other three Teletubbies start 
laughing because she doesn't know where her Tubby Toast has gone and Po 
puts it back On The table. Then they watch the Magical Event with the Magic 
Tree with five doves. Then they have the Stamping and Stepping Dance before 
Tubby Bye-Bye just as The Baby Sun sets. 
Featuring: Jonathan and Howard Ho</v>
      </c>
      <c r="B75" s="8"/>
      <c r="C75" s="8"/>
      <c r="D75" s="8"/>
      <c r="E75" s="8"/>
      <c r="F75" s="8"/>
      <c r="G75" s="8"/>
      <c r="H75" s="8"/>
      <c r="I75" s="8"/>
      <c r="J75" s="8"/>
      <c r="K75" s="8"/>
      <c r="L75" s="8"/>
      <c r="M75" s="8"/>
      <c r="N75" s="8"/>
      <c r="O75" s="8"/>
      <c r="P75" s="8"/>
      <c r="Q75" s="8"/>
      <c r="R75" s="8"/>
      <c r="S75" s="8"/>
      <c r="T75" s="8"/>
      <c r="U75" s="8"/>
      <c r="V75" s="8"/>
      <c r="W75" s="8"/>
      <c r="X75" s="8"/>
      <c r="Y75" s="8"/>
      <c r="Z75" s="8"/>
    </row>
    <row r="76">
      <c r="A76" s="8">
        <f>IFERROR(__xludf.DUMMYFUNCTION("""COMPUTED_VALUE"""),156.0)</f>
        <v>156</v>
      </c>
      <c r="B76" s="8" t="str">
        <f>IFERROR(__xludf.DUMMYFUNCTION("""COMPUTED_VALUE"""),"""Colours – Green""")</f>
        <v>"Colours – Green"</v>
      </c>
      <c r="C76" s="8" t="str">
        <f>IFERROR(__xludf.DUMMYFUNCTION("""COMPUTED_VALUE"""),"4 May 1998 (1998-05-04)")</f>
        <v>4 May 1998 (1998-05-04)</v>
      </c>
      <c r="D76" s="8"/>
      <c r="E76" s="8"/>
      <c r="F76" s="8"/>
      <c r="G76" s="8"/>
      <c r="H76" s="8"/>
      <c r="I76" s="8"/>
      <c r="J76" s="8"/>
      <c r="K76" s="8"/>
      <c r="L76" s="8"/>
      <c r="M76" s="8"/>
      <c r="N76" s="8"/>
      <c r="O76" s="8"/>
      <c r="P76" s="8"/>
      <c r="Q76" s="8"/>
      <c r="R76" s="8"/>
      <c r="S76" s="8"/>
      <c r="T76" s="8"/>
      <c r="U76" s="8"/>
      <c r="V76" s="8"/>
      <c r="W76" s="8"/>
      <c r="X76" s="8"/>
      <c r="Y76" s="8"/>
      <c r="Z76" s="8"/>
    </row>
    <row r="77">
      <c r="A77" s="8" t="str">
        <f>IFERROR(__xludf.DUMMYFUNCTION("""COMPUTED_VALUE"""),"Inside the House the Teletubbies listen to a Voice Trumpet make a 
""MOOOOOOO"" Noise which they find very funny. Then they watch a video about 
the Colour green. Laa Laa loves the Green Grass. Po loves the Green Trees. 
Tinky Winky loves the Green House "&amp;"and the Teletubbies love Green Dipsy. The 
Teletubbies do the Round and Round Dance before Tubby Bye Bye. 
Featuring: The Children of Oxhey Infants School, Watford")</f>
        <v>Inside the House the Teletubbies listen to a Voice Trumpet make a 
"MOOOOOOO" Noise which they find very funny. Then they watch a video about 
the Colour green. Laa Laa loves the Green Grass. Po loves the Green Trees. 
Tinky Winky loves the Green House and the Teletubbies love Green Dipsy. The 
Teletubbies do the Round and Round Dance before Tubby Bye Bye. 
Featuring: The Children of Oxhey Infants School, Watford</v>
      </c>
      <c r="B77" s="8"/>
      <c r="C77" s="8"/>
      <c r="D77" s="8"/>
      <c r="E77" s="8"/>
      <c r="F77" s="8"/>
      <c r="G77" s="8"/>
      <c r="H77" s="8"/>
      <c r="I77" s="8"/>
      <c r="J77" s="8"/>
      <c r="K77" s="8"/>
      <c r="L77" s="8"/>
      <c r="M77" s="8"/>
      <c r="N77" s="8"/>
      <c r="O77" s="8"/>
      <c r="P77" s="8"/>
      <c r="Q77" s="8"/>
      <c r="R77" s="8"/>
      <c r="S77" s="8"/>
      <c r="T77" s="8"/>
      <c r="U77" s="8"/>
      <c r="V77" s="8"/>
      <c r="W77" s="8"/>
      <c r="X77" s="8"/>
      <c r="Y77" s="8"/>
      <c r="Z77" s="8"/>
    </row>
    <row r="78">
      <c r="A78" s="8">
        <f>IFERROR(__xludf.DUMMYFUNCTION("""COMPUTED_VALUE"""),157.0)</f>
        <v>157</v>
      </c>
      <c r="B78" s="8" t="str">
        <f>IFERROR(__xludf.DUMMYFUNCTION("""COMPUTED_VALUE"""),"""Our Dog Alice""")</f>
        <v>"Our Dog Alice"</v>
      </c>
      <c r="C78" s="8" t="str">
        <f>IFERROR(__xludf.DUMMYFUNCTION("""COMPUTED_VALUE"""),"5 May 1998 (1998-05-05)")</f>
        <v>5 May 1998 (1998-05-05)</v>
      </c>
      <c r="D78" s="8"/>
      <c r="E78" s="8"/>
      <c r="F78" s="8"/>
      <c r="G78" s="8"/>
      <c r="H78" s="8"/>
      <c r="I78" s="8"/>
      <c r="J78" s="8"/>
      <c r="K78" s="8"/>
      <c r="L78" s="8"/>
      <c r="M78" s="8"/>
      <c r="N78" s="8"/>
      <c r="O78" s="8"/>
      <c r="P78" s="8"/>
      <c r="Q78" s="8"/>
      <c r="R78" s="8"/>
      <c r="S78" s="8"/>
      <c r="T78" s="8"/>
      <c r="U78" s="8"/>
      <c r="V78" s="8"/>
      <c r="W78" s="8"/>
      <c r="X78" s="8"/>
      <c r="Y78" s="8"/>
      <c r="Z78" s="8"/>
    </row>
    <row r="79">
      <c r="A79" s="8" t="str">
        <f>IFERROR(__xludf.DUMMYFUNCTION("""COMPUTED_VALUE"""),"The Teletubbies watch Ella and Lilly discuss about their pet dog Alice and 
they go for a walk in the park . A barking dog appears in Teletubbyland, 
Dipsy is scared until he realises that it is just being friendly. Tinky 
Winky and Dipsy pat the dog! The"&amp;" dog then disappears and Tinky Winky and 
Dipsy walk away. 
Featuring: Ella and Lilly Ainsworth")</f>
        <v>The Teletubbies watch Ella and Lilly discuss about their pet dog Alice and 
they go for a walk in the park . A barking dog appears in Teletubbyland, 
Dipsy is scared until he realises that it is just being friendly. Tinky 
Winky and Dipsy pat the dog! The dog then disappears and Tinky Winky and 
Dipsy walk away. 
Featuring: Ella and Lilly Ainsworth</v>
      </c>
      <c r="B79" s="8"/>
      <c r="C79" s="8"/>
      <c r="D79" s="8"/>
      <c r="E79" s="8"/>
      <c r="F79" s="8"/>
      <c r="G79" s="8"/>
      <c r="H79" s="8"/>
      <c r="I79" s="8"/>
      <c r="J79" s="8"/>
      <c r="K79" s="8"/>
      <c r="L79" s="8"/>
      <c r="M79" s="8"/>
      <c r="N79" s="8"/>
      <c r="O79" s="8"/>
      <c r="P79" s="8"/>
      <c r="Q79" s="8"/>
      <c r="R79" s="8"/>
      <c r="S79" s="8"/>
      <c r="T79" s="8"/>
      <c r="U79" s="8"/>
      <c r="V79" s="8"/>
      <c r="W79" s="8"/>
      <c r="X79" s="8"/>
      <c r="Y79" s="8"/>
      <c r="Z79" s="8"/>
    </row>
    <row r="80">
      <c r="A80" s="8">
        <f>IFERROR(__xludf.DUMMYFUNCTION("""COMPUTED_VALUE"""),158.0)</f>
        <v>158</v>
      </c>
      <c r="B80" s="8" t="str">
        <f>IFERROR(__xludf.DUMMYFUNCTION("""COMPUTED_VALUE"""),"""Tulips""")</f>
        <v>"Tulips"</v>
      </c>
      <c r="C80" s="8" t="str">
        <f>IFERROR(__xludf.DUMMYFUNCTION("""COMPUTED_VALUE"""),"6 May 1998 (1998-05-06)")</f>
        <v>6 May 1998 (1998-05-06)</v>
      </c>
      <c r="D80" s="8"/>
      <c r="E80" s="8"/>
      <c r="F80" s="8"/>
      <c r="G80" s="8"/>
      <c r="H80" s="8"/>
      <c r="I80" s="8"/>
      <c r="J80" s="8"/>
      <c r="K80" s="8"/>
      <c r="L80" s="8"/>
      <c r="M80" s="8"/>
      <c r="N80" s="8"/>
      <c r="O80" s="8"/>
      <c r="P80" s="8"/>
      <c r="Q80" s="8"/>
      <c r="R80" s="8"/>
      <c r="S80" s="8"/>
      <c r="T80" s="8"/>
      <c r="U80" s="8"/>
      <c r="V80" s="8"/>
      <c r="W80" s="8"/>
      <c r="X80" s="8"/>
      <c r="Y80" s="8"/>
      <c r="Z80" s="8"/>
    </row>
    <row r="81">
      <c r="A81" s="8" t="str">
        <f>IFERROR(__xludf.DUMMYFUNCTION("""COMPUTED_VALUE"""),"A balloon appears from Far Away, Laa Laa tries to catch it but she can't, 
Tinky Winky tries but he can't either, the balloon floats around the House, 
Dipsy walks out and finds it, he tries to catch it but he can't, even Po 
tries but she can't, none of "&amp;"the Teletubbies can catch the balloon and it 
floats away. The Windmill starts spinning and the Teletubbies watch two 
girls picking Tulips. The Teletubbies do the Jumping Dance (on the path) 
before Tubby Bye Bye. 
Featuring: Hannah Pettit and Christina "&amp;"Tyrrell")</f>
        <v>A balloon appears from Far Away, Laa Laa tries to catch it but she can't, 
Tinky Winky tries but he can't either, the balloon floats around the House, 
Dipsy walks out and finds it, he tries to catch it but he can't, even Po 
tries but she can't, none of the Teletubbies can catch the balloon and it 
floats away. The Windmill starts spinning and the Teletubbies watch two 
girls picking Tulips. The Teletubbies do the Jumping Dance (on the path) 
before Tubby Bye Bye. 
Featuring: Hannah Pettit and Christina Tyrrell</v>
      </c>
      <c r="B81" s="8"/>
      <c r="C81" s="8"/>
      <c r="D81" s="8"/>
      <c r="E81" s="8"/>
      <c r="F81" s="8"/>
      <c r="G81" s="8"/>
      <c r="H81" s="8"/>
      <c r="I81" s="8"/>
      <c r="J81" s="8"/>
      <c r="K81" s="8"/>
      <c r="L81" s="8"/>
      <c r="M81" s="8"/>
      <c r="N81" s="8"/>
      <c r="O81" s="8"/>
      <c r="P81" s="8"/>
      <c r="Q81" s="8"/>
      <c r="R81" s="8"/>
      <c r="S81" s="8"/>
      <c r="T81" s="8"/>
      <c r="U81" s="8"/>
      <c r="V81" s="8"/>
      <c r="W81" s="8"/>
      <c r="X81" s="8"/>
      <c r="Y81" s="8"/>
      <c r="Z81" s="8"/>
    </row>
    <row r="82">
      <c r="A82" s="8">
        <f>IFERROR(__xludf.DUMMYFUNCTION("""COMPUTED_VALUE"""),159.0)</f>
        <v>159</v>
      </c>
      <c r="B82" s="8" t="str">
        <f>IFERROR(__xludf.DUMMYFUNCTION("""COMPUTED_VALUE"""),"""Sea Lions""")</f>
        <v>"Sea Lions"</v>
      </c>
      <c r="C82" s="8" t="str">
        <f>IFERROR(__xludf.DUMMYFUNCTION("""COMPUTED_VALUE"""),"7 May 1998 (1998-05-07)")</f>
        <v>7 May 1998 (1998-05-07)</v>
      </c>
      <c r="D82" s="8"/>
      <c r="E82" s="8"/>
      <c r="F82" s="8"/>
      <c r="G82" s="8"/>
      <c r="H82" s="8"/>
      <c r="I82" s="8"/>
      <c r="J82" s="8"/>
      <c r="K82" s="8"/>
      <c r="L82" s="8"/>
      <c r="M82" s="8"/>
      <c r="N82" s="8"/>
      <c r="O82" s="8"/>
      <c r="P82" s="8"/>
      <c r="Q82" s="8"/>
      <c r="R82" s="8"/>
      <c r="S82" s="8"/>
      <c r="T82" s="8"/>
      <c r="U82" s="8"/>
      <c r="V82" s="8"/>
      <c r="W82" s="8"/>
      <c r="X82" s="8"/>
      <c r="Y82" s="8"/>
      <c r="Z82" s="8"/>
    </row>
    <row r="83">
      <c r="A83" s="8" t="str">
        <f>IFERROR(__xludf.DUMMYFUNCTION("""COMPUTED_VALUE"""),"Po is out for a walk around Teletubbyland, then the Magic Windmill spins, 
then the Teletubbies watch Andy Brown and some children watch some Sea 
Lions. Inside the house, the Teletubbies play with the Control Panel, until 
the Magic Windmill spins, the D"&amp;"ancing Bear appears in a merry-go-round, the 
Teletubbies do The Tip Toe Dance before Tubby Bye-Bye. 
Featuring: Andy Brown with Cherelle Handford, Oliver Hooper and Daniel 
Salmon")</f>
        <v>Po is out for a walk around Teletubbyland, then the Magic Windmill spins, 
then the Teletubbies watch Andy Brown and some children watch some Sea 
Lions. Inside the house, the Teletubbies play with the Control Panel, until 
the Magic Windmill spins, the Dancing Bear appears in a merry-go-round, the 
Teletubbies do The Tip Toe Dance before Tubby Bye-Bye. 
Featuring: Andy Brown with Cherelle Handford, Oliver Hooper and Daniel 
Salmon</v>
      </c>
      <c r="B83" s="8"/>
      <c r="C83" s="8"/>
      <c r="D83" s="8"/>
      <c r="E83" s="8"/>
      <c r="F83" s="8"/>
      <c r="G83" s="8"/>
      <c r="H83" s="8"/>
      <c r="I83" s="8"/>
      <c r="J83" s="8"/>
      <c r="K83" s="8"/>
      <c r="L83" s="8"/>
      <c r="M83" s="8"/>
      <c r="N83" s="8"/>
      <c r="O83" s="8"/>
      <c r="P83" s="8"/>
      <c r="Q83" s="8"/>
      <c r="R83" s="8"/>
      <c r="S83" s="8"/>
      <c r="T83" s="8"/>
      <c r="U83" s="8"/>
      <c r="V83" s="8"/>
      <c r="W83" s="8"/>
      <c r="X83" s="8"/>
      <c r="Y83" s="8"/>
      <c r="Z83" s="8"/>
    </row>
    <row r="84">
      <c r="A84" s="8">
        <f>IFERROR(__xludf.DUMMYFUNCTION("""COMPUTED_VALUE"""),160.0)</f>
        <v>160</v>
      </c>
      <c r="B84" s="8" t="str">
        <f>IFERROR(__xludf.DUMMYFUNCTION("""COMPUTED_VALUE"""),"""Statues""")</f>
        <v>"Statues"</v>
      </c>
      <c r="C84" s="8" t="str">
        <f>IFERROR(__xludf.DUMMYFUNCTION("""COMPUTED_VALUE"""),"8 May 1998 (1998-05-08)")</f>
        <v>8 May 1998 (1998-05-08)</v>
      </c>
      <c r="D84" s="8"/>
      <c r="E84" s="8"/>
      <c r="F84" s="8"/>
      <c r="G84" s="8"/>
      <c r="H84" s="8"/>
      <c r="I84" s="8"/>
      <c r="J84" s="8"/>
      <c r="K84" s="8"/>
      <c r="L84" s="8"/>
      <c r="M84" s="8"/>
      <c r="N84" s="8"/>
      <c r="O84" s="8"/>
      <c r="P84" s="8"/>
      <c r="Q84" s="8"/>
      <c r="R84" s="8"/>
      <c r="S84" s="8"/>
      <c r="T84" s="8"/>
      <c r="U84" s="8"/>
      <c r="V84" s="8"/>
      <c r="W84" s="8"/>
      <c r="X84" s="8"/>
      <c r="Y84" s="8"/>
      <c r="Z84" s="8"/>
    </row>
    <row r="85">
      <c r="A85" s="8" t="str">
        <f>IFERROR(__xludf.DUMMYFUNCTION("""COMPUTED_VALUE"""),"The Teletubbies play a Hiding Game inside the House. Tinky Winky, Laa-Laa 
and Po Hide from Dipsy. Laa-Laa hides between the Beds, Po hides under the 
Arch, and Tinky Winky hides behind the Tubby Toaster. When Dipsy looks for 
the other Teletubbies he can"&amp;"'t find them, but when Noo Noo tidies up he 
finds the other Teletubbies, then Dipsy finds them. The Teletubbies watch 
some children play Statues. The Teletubbies do the Tip Toe Dance before 
Tubby Bye Bye. 
Featuring: Nathaniel Facey, Shantelle Hamilton"&amp;", Saj Musa and Kelly Phillips")</f>
        <v>The Teletubbies play a Hiding Game inside the House. Tinky Winky, Laa-Laa 
and Po Hide from Dipsy. Laa-Laa hides between the Beds, Po hides under the 
Arch, and Tinky Winky hides behind the Tubby Toaster. When Dipsy looks for 
the other Teletubbies he can't find them, but when Noo Noo tidies up he 
finds the other Teletubbies, then Dipsy finds them. The Teletubbies watch 
some children play Statues. The Teletubbies do the Tip Toe Dance before 
Tubby Bye Bye. 
Featuring: Nathaniel Facey, Shantelle Hamilton, Saj Musa and Kelly Phillips</v>
      </c>
      <c r="B85" s="8"/>
      <c r="C85" s="8"/>
      <c r="D85" s="8"/>
      <c r="E85" s="8"/>
      <c r="F85" s="8"/>
      <c r="G85" s="8"/>
      <c r="H85" s="8"/>
      <c r="I85" s="8"/>
      <c r="J85" s="8"/>
      <c r="K85" s="8"/>
      <c r="L85" s="8"/>
      <c r="M85" s="8"/>
      <c r="N85" s="8"/>
      <c r="O85" s="8"/>
      <c r="P85" s="8"/>
      <c r="Q85" s="8"/>
      <c r="R85" s="8"/>
      <c r="S85" s="8"/>
      <c r="T85" s="8"/>
      <c r="U85" s="8"/>
      <c r="V85" s="8"/>
      <c r="W85" s="8"/>
      <c r="X85" s="8"/>
      <c r="Y85" s="8"/>
      <c r="Z85" s="8"/>
    </row>
    <row r="86">
      <c r="A86" s="8">
        <f>IFERROR(__xludf.DUMMYFUNCTION("""COMPUTED_VALUE"""),161.0)</f>
        <v>161</v>
      </c>
      <c r="B86" s="8" t="str">
        <f>IFERROR(__xludf.DUMMYFUNCTION("""COMPUTED_VALUE"""),"""Cygnets""")</f>
        <v>"Cygnets"</v>
      </c>
      <c r="C86" s="8" t="str">
        <f>IFERROR(__xludf.DUMMYFUNCTION("""COMPUTED_VALUE"""),"11 May 1998 (1998-05-11)")</f>
        <v>11 May 1998 (1998-05-11)</v>
      </c>
      <c r="D86" s="8"/>
      <c r="E86" s="8"/>
      <c r="F86" s="8"/>
      <c r="G86" s="8"/>
      <c r="H86" s="8"/>
      <c r="I86" s="8"/>
      <c r="J86" s="8"/>
      <c r="K86" s="8"/>
      <c r="L86" s="8"/>
      <c r="M86" s="8"/>
      <c r="N86" s="8"/>
      <c r="O86" s="8"/>
      <c r="P86" s="8"/>
      <c r="Q86" s="8"/>
      <c r="R86" s="8"/>
      <c r="S86" s="8"/>
      <c r="T86" s="8"/>
      <c r="U86" s="8"/>
      <c r="V86" s="8"/>
      <c r="W86" s="8"/>
      <c r="X86" s="8"/>
      <c r="Y86" s="8"/>
      <c r="Z86" s="8"/>
    </row>
    <row r="87">
      <c r="A87" s="8" t="str">
        <f>IFERROR(__xludf.DUMMYFUNCTION("""COMPUTED_VALUE"""),"The Teletubbies watch Andy Brown and some children visit some cygnets. In 
Teletubbyland, it is time for bed, but Po is not tired and doesn't want to 
go to sleep yet so she has to ride her scooter. Then, it was time for Tubby 
Toast, but Po was too tired"&amp;" to eat her piece of toast, so she tries to take 
a nap and falls asleep.the Magic Windmill then wakes the Teletubbies up and 
eventually, it stops spinning as the Tubby Bye-Bye Sequence takes place. 
Featuring: Andy Brown with Sophie Easton and Ryan McKe"&amp;"chnie")</f>
        <v>The Teletubbies watch Andy Brown and some children visit some cygnets. In 
Teletubbyland, it is time for bed, but Po is not tired and doesn't want to 
go to sleep yet so she has to ride her scooter. Then, it was time for Tubby 
Toast, but Po was too tired to eat her piece of toast, so she tries to take 
a nap and falls asleep.the Magic Windmill then wakes the Teletubbies up and 
eventually, it stops spinning as the Tubby Bye-Bye Sequence takes place. 
Featuring: Andy Brown with Sophie Easton and Ryan McKechnie</v>
      </c>
      <c r="B87" s="8"/>
      <c r="C87" s="8"/>
      <c r="D87" s="8"/>
      <c r="E87" s="8"/>
      <c r="F87" s="8"/>
      <c r="G87" s="8"/>
      <c r="H87" s="8"/>
      <c r="I87" s="8"/>
      <c r="J87" s="8"/>
      <c r="K87" s="8"/>
      <c r="L87" s="8"/>
      <c r="M87" s="8"/>
      <c r="N87" s="8"/>
      <c r="O87" s="8"/>
      <c r="P87" s="8"/>
      <c r="Q87" s="8"/>
      <c r="R87" s="8"/>
      <c r="S87" s="8"/>
      <c r="T87" s="8"/>
      <c r="U87" s="8"/>
      <c r="V87" s="8"/>
      <c r="W87" s="8"/>
      <c r="X87" s="8"/>
      <c r="Y87" s="8"/>
      <c r="Z87" s="8"/>
    </row>
    <row r="88">
      <c r="A88" s="8">
        <f>IFERROR(__xludf.DUMMYFUNCTION("""COMPUTED_VALUE"""),162.0)</f>
        <v>162</v>
      </c>
      <c r="B88" s="8" t="str">
        <f>IFERROR(__xludf.DUMMYFUNCTION("""COMPUTED_VALUE"""),"""Rollerblading""")</f>
        <v>"Rollerblading"</v>
      </c>
      <c r="C88" s="8" t="str">
        <f>IFERROR(__xludf.DUMMYFUNCTION("""COMPUTED_VALUE"""),"12 May 1998 (1998-05-12)")</f>
        <v>12 May 1998 (1998-05-12)</v>
      </c>
      <c r="D88" s="8"/>
      <c r="E88" s="8"/>
      <c r="F88" s="8"/>
      <c r="G88" s="8"/>
      <c r="H88" s="8"/>
      <c r="I88" s="8"/>
      <c r="J88" s="8"/>
      <c r="K88" s="8"/>
      <c r="L88" s="8"/>
      <c r="M88" s="8"/>
      <c r="N88" s="8"/>
      <c r="O88" s="8"/>
      <c r="P88" s="8"/>
      <c r="Q88" s="8"/>
      <c r="R88" s="8"/>
      <c r="S88" s="8"/>
      <c r="T88" s="8"/>
      <c r="U88" s="8"/>
      <c r="V88" s="8"/>
      <c r="W88" s="8"/>
      <c r="X88" s="8"/>
      <c r="Y88" s="8"/>
      <c r="Z88" s="8"/>
    </row>
    <row r="89">
      <c r="A89" s="8" t="str">
        <f>IFERROR(__xludf.DUMMYFUNCTION("""COMPUTED_VALUE"""),"The Teletubbies dance a Twisty Dance, then they watch two children 
rollerblading in New York. The Noo Noo tidies up Tinkly Winky's Tubby Toast 
so Tinky Winky chases him round Home Hill. The Animal Parade march through 
Teletubbyland. The Magic Windmill "&amp;"stops spinning and it is time for Tubby 
Bye-Bye. 
Featuring: Zelda Gay and Mardet Homans")</f>
        <v>The Teletubbies dance a Twisty Dance, then they watch two children 
rollerblading in New York. The Noo Noo tidies up Tinkly Winky's Tubby Toast 
so Tinky Winky chases him round Home Hill. The Animal Parade march through 
Teletubbyland. The Magic Windmill stops spinning and it is time for Tubby 
Bye-Bye. 
Featuring: Zelda Gay and Mardet Homans</v>
      </c>
      <c r="B89" s="8"/>
      <c r="C89" s="8"/>
      <c r="D89" s="8"/>
      <c r="E89" s="8"/>
      <c r="F89" s="8"/>
      <c r="G89" s="8"/>
      <c r="H89" s="8"/>
      <c r="I89" s="8"/>
      <c r="J89" s="8"/>
      <c r="K89" s="8"/>
      <c r="L89" s="8"/>
      <c r="M89" s="8"/>
      <c r="N89" s="8"/>
      <c r="O89" s="8"/>
      <c r="P89" s="8"/>
      <c r="Q89" s="8"/>
      <c r="R89" s="8"/>
      <c r="S89" s="8"/>
      <c r="T89" s="8"/>
      <c r="U89" s="8"/>
      <c r="V89" s="8"/>
      <c r="W89" s="8"/>
      <c r="X89" s="8"/>
      <c r="Y89" s="8"/>
      <c r="Z89" s="8"/>
    </row>
    <row r="90">
      <c r="A90" s="8">
        <f>IFERROR(__xludf.DUMMYFUNCTION("""COMPUTED_VALUE"""),163.0)</f>
        <v>163</v>
      </c>
      <c r="B90" s="8" t="str">
        <f>IFERROR(__xludf.DUMMYFUNCTION("""COMPUTED_VALUE"""),"""Naughty Duck""")</f>
        <v>"Naughty Duck"</v>
      </c>
      <c r="C90" s="8" t="str">
        <f>IFERROR(__xludf.DUMMYFUNCTION("""COMPUTED_VALUE"""),"13 May 1998 (1998-05-13)")</f>
        <v>13 May 1998 (1998-05-13)</v>
      </c>
      <c r="D90" s="8"/>
      <c r="E90" s="8"/>
      <c r="F90" s="8"/>
      <c r="G90" s="8"/>
      <c r="H90" s="8"/>
      <c r="I90" s="8"/>
      <c r="J90" s="8"/>
      <c r="K90" s="8"/>
      <c r="L90" s="8"/>
      <c r="M90" s="8"/>
      <c r="N90" s="8"/>
      <c r="O90" s="8"/>
      <c r="P90" s="8"/>
      <c r="Q90" s="8"/>
      <c r="R90" s="8"/>
      <c r="S90" s="8"/>
      <c r="T90" s="8"/>
      <c r="U90" s="8"/>
      <c r="V90" s="8"/>
      <c r="W90" s="8"/>
      <c r="X90" s="8"/>
      <c r="Y90" s="8"/>
      <c r="Z90" s="8"/>
    </row>
    <row r="91">
      <c r="A91" s="8" t="str">
        <f>IFERROR(__xludf.DUMMYFUNCTION("""COMPUTED_VALUE"""),"The Teletubbies watch Tamzin Griffin pretend to be the Funny Lady and tell 
the story of the naughty duck, Laa-Laa and Po make some adjustments on the 
switch panel and it's time for the Bumping dance before Tubby Bye-Bye. 
Featuring: Tamzin Griffin with "&amp;"The Children of Chater Infants School, 
Watford")</f>
        <v>The Teletubbies watch Tamzin Griffin pretend to be the Funny Lady and tell 
the story of the naughty duck, Laa-Laa and Po make some adjustments on the 
switch panel and it's time for the Bumping dance before Tubby Bye-Bye. 
Featuring: Tamzin Griffin with The Children of Chater Infants School, 
Watford</v>
      </c>
      <c r="B91" s="8"/>
      <c r="C91" s="8"/>
      <c r="D91" s="8"/>
      <c r="E91" s="8"/>
      <c r="F91" s="8"/>
      <c r="G91" s="8"/>
      <c r="H91" s="8"/>
      <c r="I91" s="8"/>
      <c r="J91" s="8"/>
      <c r="K91" s="8"/>
      <c r="L91" s="8"/>
      <c r="M91" s="8"/>
      <c r="N91" s="8"/>
      <c r="O91" s="8"/>
      <c r="P91" s="8"/>
      <c r="Q91" s="8"/>
      <c r="R91" s="8"/>
      <c r="S91" s="8"/>
      <c r="T91" s="8"/>
      <c r="U91" s="8"/>
      <c r="V91" s="8"/>
      <c r="W91" s="8"/>
      <c r="X91" s="8"/>
      <c r="Y91" s="8"/>
      <c r="Z91" s="8"/>
    </row>
    <row r="92">
      <c r="A92" s="8">
        <f>IFERROR(__xludf.DUMMYFUNCTION("""COMPUTED_VALUE"""),164.0)</f>
        <v>164</v>
      </c>
      <c r="B92" s="8" t="str">
        <f>IFERROR(__xludf.DUMMYFUNCTION("""COMPUTED_VALUE"""),"""Ice Cream Sundae""")</f>
        <v>"Ice Cream Sundae"</v>
      </c>
      <c r="C92" s="8" t="str">
        <f>IFERROR(__xludf.DUMMYFUNCTION("""COMPUTED_VALUE"""),"14 May 1998 (1998-05-14)")</f>
        <v>14 May 1998 (1998-05-14)</v>
      </c>
      <c r="D92" s="8"/>
      <c r="E92" s="8"/>
      <c r="F92" s="8"/>
      <c r="G92" s="8"/>
      <c r="H92" s="8"/>
      <c r="I92" s="8"/>
      <c r="J92" s="8"/>
      <c r="K92" s="8"/>
      <c r="L92" s="8"/>
      <c r="M92" s="8"/>
      <c r="N92" s="8"/>
      <c r="O92" s="8"/>
      <c r="P92" s="8"/>
      <c r="Q92" s="8"/>
      <c r="R92" s="8"/>
      <c r="S92" s="8"/>
      <c r="T92" s="8"/>
      <c r="U92" s="8"/>
      <c r="V92" s="8"/>
      <c r="W92" s="8"/>
      <c r="X92" s="8"/>
      <c r="Y92" s="8"/>
      <c r="Z92" s="8"/>
    </row>
    <row r="93">
      <c r="A93" s="8" t="str">
        <f>IFERROR(__xludf.DUMMYFUNCTION("""COMPUTED_VALUE"""),"A Magic Watering Can appears from Far Away, Po water's some flowers that 
grow enormous. Po decides to water the other Teletubbies Favourite Things 
and they become enormous. Laa Laa loves her enormous Ball, Tinky Winky 
loves his enormous Bag and Dipsy l"&amp;"oves his enormous Hat. The Teletubbies 
watch two children making Ice Cream Sundaes. The Teletubbies do the 
Splashing Dance before Tubby Bye Bye. 
Featuring: Alessandro Rasulo and Rebecca Thomas")</f>
        <v>A Magic Watering Can appears from Far Away, Po water's some flowers that 
grow enormous. Po decides to water the other Teletubbies Favourite Things 
and they become enormous. Laa Laa loves her enormous Ball, Tinky Winky 
loves his enormous Bag and Dipsy loves his enormous Hat. The Teletubbies 
watch two children making Ice Cream Sundaes. The Teletubbies do the 
Splashing Dance before Tubby Bye Bye. 
Featuring: Alessandro Rasulo and Rebecca Thomas</v>
      </c>
      <c r="B93" s="8"/>
      <c r="C93" s="8"/>
      <c r="D93" s="8"/>
      <c r="E93" s="8"/>
      <c r="F93" s="8"/>
      <c r="G93" s="8"/>
      <c r="H93" s="8"/>
      <c r="I93" s="8"/>
      <c r="J93" s="8"/>
      <c r="K93" s="8"/>
      <c r="L93" s="8"/>
      <c r="M93" s="8"/>
      <c r="N93" s="8"/>
      <c r="O93" s="8"/>
      <c r="P93" s="8"/>
      <c r="Q93" s="8"/>
      <c r="R93" s="8"/>
      <c r="S93" s="8"/>
      <c r="T93" s="8"/>
      <c r="U93" s="8"/>
      <c r="V93" s="8"/>
      <c r="W93" s="8"/>
      <c r="X93" s="8"/>
      <c r="Y93" s="8"/>
      <c r="Z93" s="8"/>
    </row>
    <row r="94">
      <c r="A94" s="8">
        <f>IFERROR(__xludf.DUMMYFUNCTION("""COMPUTED_VALUE"""),165.0)</f>
        <v>165</v>
      </c>
      <c r="B94" s="8" t="str">
        <f>IFERROR(__xludf.DUMMYFUNCTION("""COMPUTED_VALUE"""),"""Playing With Dough""")</f>
        <v>"Playing With Dough"</v>
      </c>
      <c r="C94" s="8" t="str">
        <f>IFERROR(__xludf.DUMMYFUNCTION("""COMPUTED_VALUE"""),"15 May 1998 (1998-05-15)")</f>
        <v>15 May 1998 (1998-05-15)</v>
      </c>
      <c r="D94" s="8"/>
      <c r="E94" s="8"/>
      <c r="F94" s="8"/>
      <c r="G94" s="8"/>
      <c r="H94" s="8"/>
      <c r="I94" s="8"/>
      <c r="J94" s="8"/>
      <c r="K94" s="8"/>
      <c r="L94" s="8"/>
      <c r="M94" s="8"/>
      <c r="N94" s="8"/>
      <c r="O94" s="8"/>
      <c r="P94" s="8"/>
      <c r="Q94" s="8"/>
      <c r="R94" s="8"/>
      <c r="S94" s="8"/>
      <c r="T94" s="8"/>
      <c r="U94" s="8"/>
      <c r="V94" s="8"/>
      <c r="W94" s="8"/>
      <c r="X94" s="8"/>
      <c r="Y94" s="8"/>
      <c r="Z94" s="8"/>
    </row>
    <row r="95">
      <c r="A95" s="8" t="str">
        <f>IFERROR(__xludf.DUMMYFUNCTION("""COMPUTED_VALUE"""),"The Teletubbies love to run around and around Teletubbyland, but stop to 
watch three children make some Play-Doh. The Tubby Toaster makes a big 
piece of Tubby Toast. Laa-Laa, Dipsy and Tinky Winky think it's too big, 
but Po doesn't. She eats it all. Th"&amp;"e Teletubbies watch the Magic Tree. 
Afterwards, the Magic Windmill stops spinning and it is time for Tubby 
Bye-Bye. 
Featuring: Augustus Betz, Leia Kennedy and Duncan MacKinnon")</f>
        <v>The Teletubbies love to run around and around Teletubbyland, but stop to 
watch three children make some Play-Doh. The Tubby Toaster makes a big 
piece of Tubby Toast. Laa-Laa, Dipsy and Tinky Winky think it's too big, 
but Po doesn't. She eats it all. The Teletubbies watch the Magic Tree. 
Afterwards, the Magic Windmill stops spinning and it is time for Tubby 
Bye-Bye. 
Featuring: Augustus Betz, Leia Kennedy and Duncan MacKinnon</v>
      </c>
      <c r="B95" s="8"/>
      <c r="C95" s="8"/>
      <c r="D95" s="8"/>
      <c r="E95" s="8"/>
      <c r="F95" s="8"/>
      <c r="G95" s="8"/>
      <c r="H95" s="8"/>
      <c r="I95" s="8"/>
      <c r="J95" s="8"/>
      <c r="K95" s="8"/>
      <c r="L95" s="8"/>
      <c r="M95" s="8"/>
      <c r="N95" s="8"/>
      <c r="O95" s="8"/>
      <c r="P95" s="8"/>
      <c r="Q95" s="8"/>
      <c r="R95" s="8"/>
      <c r="S95" s="8"/>
      <c r="T95" s="8"/>
      <c r="U95" s="8"/>
      <c r="V95" s="8"/>
      <c r="W95" s="8"/>
      <c r="X95" s="8"/>
      <c r="Y95" s="8"/>
      <c r="Z95" s="8"/>
    </row>
    <row r="96">
      <c r="A96" s="8">
        <f>IFERROR(__xludf.DUMMYFUNCTION("""COMPUTED_VALUE"""),166.0)</f>
        <v>166</v>
      </c>
      <c r="B96" s="8" t="str">
        <f>IFERROR(__xludf.DUMMYFUNCTION("""COMPUTED_VALUE"""),"""Kite Flying""")</f>
        <v>"Kite Flying"</v>
      </c>
      <c r="C96" s="8" t="str">
        <f>IFERROR(__xludf.DUMMYFUNCTION("""COMPUTED_VALUE"""),"18 May 1998 (1998-05-18)")</f>
        <v>18 May 1998 (1998-05-18)</v>
      </c>
      <c r="D96" s="8"/>
      <c r="E96" s="8"/>
      <c r="F96" s="8"/>
      <c r="G96" s="8"/>
      <c r="H96" s="8"/>
      <c r="I96" s="8"/>
      <c r="J96" s="8"/>
      <c r="K96" s="8"/>
      <c r="L96" s="8"/>
      <c r="M96" s="8"/>
      <c r="N96" s="8"/>
      <c r="O96" s="8"/>
      <c r="P96" s="8"/>
      <c r="Q96" s="8"/>
      <c r="R96" s="8"/>
      <c r="S96" s="8"/>
      <c r="T96" s="8"/>
      <c r="U96" s="8"/>
      <c r="V96" s="8"/>
      <c r="W96" s="8"/>
      <c r="X96" s="8"/>
      <c r="Y96" s="8"/>
      <c r="Z96" s="8"/>
    </row>
    <row r="97">
      <c r="A97" s="8" t="str">
        <f>IFERROR(__xludf.DUMMYFUNCTION("""COMPUTED_VALUE"""),"The Teletubbies run out of the house to find their favorite things, then 
they run off to watch some children flying kites. A special cloud falls out 
of the sky and lands on Tinky Winky's head. Tinky Winky shows his special 
cloud to the others and they "&amp;"all think it is beautiful. But when he shows 
it to Dipsy the special cloud lifts off his head and floats back into the 
sky. Tinky Winky is sad until Dipsy let him wear his hat to cheer him up. 
Featuring: Kieran Gangaram, Michael Johnson and Rachel Trew")</f>
        <v>The Teletubbies run out of the house to find their favorite things, then 
they run off to watch some children flying kites. A special cloud falls out 
of the sky and lands on Tinky Winky's head. Tinky Winky shows his special 
cloud to the others and they all think it is beautiful. But when he shows 
it to Dipsy the special cloud lifts off his head and floats back into the 
sky. Tinky Winky is sad until Dipsy let him wear his hat to cheer him up. 
Featuring: Kieran Gangaram, Michael Johnson and Rachel Trew</v>
      </c>
      <c r="B97" s="8"/>
      <c r="C97" s="8"/>
      <c r="D97" s="8"/>
      <c r="E97" s="8"/>
      <c r="F97" s="8"/>
      <c r="G97" s="8"/>
      <c r="H97" s="8"/>
      <c r="I97" s="8"/>
      <c r="J97" s="8"/>
      <c r="K97" s="8"/>
      <c r="L97" s="8"/>
      <c r="M97" s="8"/>
      <c r="N97" s="8"/>
      <c r="O97" s="8"/>
      <c r="P97" s="8"/>
      <c r="Q97" s="8"/>
      <c r="R97" s="8"/>
      <c r="S97" s="8"/>
      <c r="T97" s="8"/>
      <c r="U97" s="8"/>
      <c r="V97" s="8"/>
      <c r="W97" s="8"/>
      <c r="X97" s="8"/>
      <c r="Y97" s="8"/>
      <c r="Z97" s="8"/>
    </row>
    <row r="98">
      <c r="A98" s="8">
        <f>IFERROR(__xludf.DUMMYFUNCTION("""COMPUTED_VALUE"""),167.0)</f>
        <v>167</v>
      </c>
      <c r="B98" s="8" t="str">
        <f>IFERROR(__xludf.DUMMYFUNCTION("""COMPUTED_VALUE"""),"""Ballet Rhymes""
""Ballet Rhymes 3""")</f>
        <v>"Ballet Rhymes"
"Ballet Rhymes 3"</v>
      </c>
      <c r="C98" s="8" t="str">
        <f>IFERROR(__xludf.DUMMYFUNCTION("""COMPUTED_VALUE"""),"19 May 1998 (1998-05-19)")</f>
        <v>19 May 1998 (1998-05-19)</v>
      </c>
      <c r="D98" s="8"/>
      <c r="E98" s="8"/>
      <c r="F98" s="8"/>
      <c r="G98" s="8"/>
      <c r="H98" s="8"/>
      <c r="I98" s="8"/>
      <c r="J98" s="8"/>
      <c r="K98" s="8"/>
      <c r="L98" s="8"/>
      <c r="M98" s="8"/>
      <c r="N98" s="8"/>
      <c r="O98" s="8"/>
      <c r="P98" s="8"/>
      <c r="Q98" s="8"/>
      <c r="R98" s="8"/>
      <c r="S98" s="8"/>
      <c r="T98" s="8"/>
      <c r="U98" s="8"/>
      <c r="V98" s="8"/>
      <c r="W98" s="8"/>
      <c r="X98" s="8"/>
      <c r="Y98" s="8"/>
      <c r="Z98" s="8"/>
    </row>
    <row r="99">
      <c r="A99" s="8" t="str">
        <f>IFERROR(__xludf.DUMMYFUNCTION("""COMPUTED_VALUE"""),"The Teletubbies love to dance. The Tubbies dance a happy dance and then 
watch some children perform in a ballet show. Dipsy dances in his bed and 
Laa-Laa dances whilst making tubby custard. Tinky-Winky and Po dance a 
ballroom dance and then all the Tel"&amp;"etubbies dance together. 
Featuring: The Children of The Heidi Rhodes School of Dance")</f>
        <v>The Teletubbies love to dance. The Tubbies dance a happy dance and then 
watch some children perform in a ballet show. Dipsy dances in his bed and 
Laa-Laa dances whilst making tubby custard. Tinky-Winky and Po dance a 
ballroom dance and then all the Teletubbies dance together. 
Featuring: The Children of The Heidi Rhodes School of Dance</v>
      </c>
      <c r="B99" s="8"/>
      <c r="C99" s="8"/>
      <c r="D99" s="8"/>
      <c r="E99" s="8"/>
      <c r="F99" s="8"/>
      <c r="G99" s="8"/>
      <c r="H99" s="8"/>
      <c r="I99" s="8"/>
      <c r="J99" s="8"/>
      <c r="K99" s="8"/>
      <c r="L99" s="8"/>
      <c r="M99" s="8"/>
      <c r="N99" s="8"/>
      <c r="O99" s="8"/>
      <c r="P99" s="8"/>
      <c r="Q99" s="8"/>
      <c r="R99" s="8"/>
      <c r="S99" s="8"/>
      <c r="T99" s="8"/>
      <c r="U99" s="8"/>
      <c r="V99" s="8"/>
      <c r="W99" s="8"/>
      <c r="X99" s="8"/>
      <c r="Y99" s="8"/>
      <c r="Z99" s="8"/>
    </row>
    <row r="100">
      <c r="A100" s="8">
        <f>IFERROR(__xludf.DUMMYFUNCTION("""COMPUTED_VALUE"""),168.0)</f>
        <v>168</v>
      </c>
      <c r="B100" s="8" t="str">
        <f>IFERROR(__xludf.DUMMYFUNCTION("""COMPUTED_VALUE"""),"""Numbers – 4 (version 2)""")</f>
        <v>"Numbers – 4 (version 2)"</v>
      </c>
      <c r="C100" s="8" t="str">
        <f>IFERROR(__xludf.DUMMYFUNCTION("""COMPUTED_VALUE"""),"20 May 1998 (1998-05-20)")</f>
        <v>20 May 1998 (1998-05-20)</v>
      </c>
      <c r="D100" s="8"/>
      <c r="E100" s="8"/>
      <c r="F100" s="8"/>
      <c r="G100" s="8"/>
      <c r="H100" s="8"/>
      <c r="I100" s="8"/>
      <c r="J100" s="8"/>
      <c r="K100" s="8"/>
      <c r="L100" s="8"/>
      <c r="M100" s="8"/>
      <c r="N100" s="8"/>
      <c r="O100" s="8"/>
      <c r="P100" s="8"/>
      <c r="Q100" s="8"/>
      <c r="R100" s="8"/>
      <c r="S100" s="8"/>
      <c r="T100" s="8"/>
      <c r="U100" s="8"/>
      <c r="V100" s="8"/>
      <c r="W100" s="8"/>
      <c r="X100" s="8"/>
      <c r="Y100" s="8"/>
      <c r="Z100" s="8"/>
    </row>
    <row r="101">
      <c r="A101" s="8" t="str">
        <f>IFERROR(__xludf.DUMMYFUNCTION("""COMPUTED_VALUE"""),"The Teletubbies say Eh-Oh, then The Teletubbies watch some children learn 
about the number 4. In Teletubbyland The Teletubbies have Tubby custard and 
then play the game ""Who's in the House?"", Po leaves, then Laa-Laa, then 
Dipsy, then Tinky-Winky, lea"&amp;"ving Noo-Noo all alone, then the Magic Windmill 
spins so the Teletubbies watch the Magic House before the Magic Windmill 
stops spinning and then it's Tubby Bye-Bye. 
Featuring: The Children of Duncombe School, London")</f>
        <v>The Teletubbies say Eh-Oh, then The Teletubbies watch some children learn 
about the number 4. In Teletubbyland The Teletubbies have Tubby custard and 
then play the game "Who's in the House?", Po leaves, then Laa-Laa, then 
Dipsy, then Tinky-Winky, leaving Noo-Noo all alone, then the Magic Windmill 
spins so the Teletubbies watch the Magic House before the Magic Windmill 
stops spinning and then it's Tubby Bye-Bye. 
Featuring: The Children of Duncombe School, London</v>
      </c>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f>IFERROR(__xludf.DUMMYFUNCTION("""COMPUTED_VALUE"""),169.0)</f>
        <v>169</v>
      </c>
      <c r="B102" s="8" t="str">
        <f>IFERROR(__xludf.DUMMYFUNCTION("""COMPUTED_VALUE"""),"""Haircut""")</f>
        <v>"Haircut"</v>
      </c>
      <c r="C102" s="8" t="str">
        <f>IFERROR(__xludf.DUMMYFUNCTION("""COMPUTED_VALUE"""),"21 May 1998 (1998-05-21)")</f>
        <v>21 May 1998 (1998-05-21)</v>
      </c>
      <c r="D102" s="8"/>
      <c r="E102" s="8"/>
      <c r="F102" s="8"/>
      <c r="G102" s="8"/>
      <c r="H102" s="8"/>
      <c r="I102" s="8"/>
      <c r="J102" s="8"/>
      <c r="K102" s="8"/>
      <c r="L102" s="8"/>
      <c r="M102" s="8"/>
      <c r="N102" s="8"/>
      <c r="O102" s="8"/>
      <c r="P102" s="8"/>
      <c r="Q102" s="8"/>
      <c r="R102" s="8"/>
      <c r="S102" s="8"/>
      <c r="T102" s="8"/>
      <c r="U102" s="8"/>
      <c r="V102" s="8"/>
      <c r="W102" s="8"/>
      <c r="X102" s="8"/>
      <c r="Y102" s="8"/>
      <c r="Z102" s="8"/>
    </row>
    <row r="103">
      <c r="A103" s="8" t="str">
        <f>IFERROR(__xludf.DUMMYFUNCTION("""COMPUTED_VALUE"""),"The Teletubbies watch two boys having their hair cut. A mirror appears in 
Teletubbyland. Laa-Laa, Dipsy and Tinky Winky like looking at their 
reflection in the mirror. Po liked looking at her reflection in the mirror, 
but not as much as she liked to ri"&amp;"de her scooter. The Tap Dancing Teddy 
Bear appears also in his gazebo. Afterwards, the Magic Windmill stops 
spinning and it is time for Tubby Bye Bye. 
Featuring: Oliver Brookes and Thomas MacLean")</f>
        <v>The Teletubbies watch two boys having their hair cut. A mirror appears in 
Teletubbyland. Laa-Laa, Dipsy and Tinky Winky like looking at their 
reflection in the mirror. Po liked looking at her reflection in the mirror, 
but not as much as she liked to ride her scooter. The Tap Dancing Teddy 
Bear appears also in his gazebo. Afterwards, the Magic Windmill stops 
spinning and it is time for Tubby Bye Bye. 
Featuring: Oliver Brookes and Thomas MacLean</v>
      </c>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f>IFERROR(__xludf.DUMMYFUNCTION("""COMPUTED_VALUE"""),170.0)</f>
        <v>170</v>
      </c>
      <c r="B104" s="8" t="str">
        <f>IFERROR(__xludf.DUMMYFUNCTION("""COMPUTED_VALUE"""),"""Carnival II""")</f>
        <v>"Carnival II"</v>
      </c>
      <c r="C104" s="8" t="str">
        <f>IFERROR(__xludf.DUMMYFUNCTION("""COMPUTED_VALUE"""),"22 May 1998 (1998-05-22)")</f>
        <v>22 May 1998 (1998-05-22)</v>
      </c>
      <c r="D104" s="8"/>
      <c r="E104" s="8"/>
      <c r="F104" s="8"/>
      <c r="G104" s="8"/>
      <c r="H104" s="8"/>
      <c r="I104" s="8"/>
      <c r="J104" s="8"/>
      <c r="K104" s="8"/>
      <c r="L104" s="8"/>
      <c r="M104" s="8"/>
      <c r="N104" s="8"/>
      <c r="O104" s="8"/>
      <c r="P104" s="8"/>
      <c r="Q104" s="8"/>
      <c r="R104" s="8"/>
      <c r="S104" s="8"/>
      <c r="T104" s="8"/>
      <c r="U104" s="8"/>
      <c r="V104" s="8"/>
      <c r="W104" s="8"/>
      <c r="X104" s="8"/>
      <c r="Y104" s="8"/>
      <c r="Z104" s="8"/>
    </row>
    <row r="105">
      <c r="A105" s="8" t="str">
        <f>IFERROR(__xludf.DUMMYFUNCTION("""COMPUTED_VALUE"""),"The Teletubbies sing songs about their favourite things and Po sings a song 
about a cloud, which then begins to rain. The Windmill starts spinning and 
the Teletubbies watch a video about a Carnival. Then they do The Follow The 
Leader Dance inside the H"&amp;"ome Hill, before it's time for Tubby-Bye-Bye. 
Featuring: Children from The Mahogany Group, Notting Hill Carnival")</f>
        <v>The Teletubbies sing songs about their favourite things and Po sings a song 
about a cloud, which then begins to rain. The Windmill starts spinning and 
the Teletubbies watch a video about a Carnival. Then they do The Follow The 
Leader Dance inside the Home Hill, before it's time for Tubby-Bye-Bye. 
Featuring: Children from The Mahogany Group, Notting Hill Carnival</v>
      </c>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f>IFERROR(__xludf.DUMMYFUNCTION("""COMPUTED_VALUE"""),171.0)</f>
        <v>171</v>
      </c>
      <c r="B106" s="8" t="str">
        <f>IFERROR(__xludf.DUMMYFUNCTION("""COMPUTED_VALUE"""),"""Tennis""")</f>
        <v>"Tennis"</v>
      </c>
      <c r="C106" s="8" t="str">
        <f>IFERROR(__xludf.DUMMYFUNCTION("""COMPUTED_VALUE"""),"22 June 1998 (1998-06-22)")</f>
        <v>22 June 1998 (1998-06-22)</v>
      </c>
      <c r="D106" s="8"/>
      <c r="E106" s="8"/>
      <c r="F106" s="8"/>
      <c r="G106" s="8"/>
      <c r="H106" s="8"/>
      <c r="I106" s="8"/>
      <c r="J106" s="8"/>
      <c r="K106" s="8"/>
      <c r="L106" s="8"/>
      <c r="M106" s="8"/>
      <c r="N106" s="8"/>
      <c r="O106" s="8"/>
      <c r="P106" s="8"/>
      <c r="Q106" s="8"/>
      <c r="R106" s="8"/>
      <c r="S106" s="8"/>
      <c r="T106" s="8"/>
      <c r="U106" s="8"/>
      <c r="V106" s="8"/>
      <c r="W106" s="8"/>
      <c r="X106" s="8"/>
      <c r="Y106" s="8"/>
      <c r="Z106" s="8"/>
    </row>
    <row r="107">
      <c r="A107" s="8" t="str">
        <f>IFERROR(__xludf.DUMMYFUNCTION("""COMPUTED_VALUE"""),"The Teletubbies run across the hills to say ""Eh-Oh"" and watch some children 
playing tennis. Laa-Laa and Po love to play with the ball. They roll, throw 
and kick it to each other, the Teletubbies dance the Round and Round Dance 
before Tubby Bye-Bye. 
"&amp;"Featuring: Deepinder &amp; Amrinder Seghal and Inderraj &amp; Navdeep Singh")</f>
        <v>The Teletubbies run across the hills to say "Eh-Oh" and watch some children 
playing tennis. Laa-Laa and Po love to play with the ball. They roll, throw 
and kick it to each other, the Teletubbies dance the Round and Round Dance 
before Tubby Bye-Bye. 
Featuring: Deepinder &amp; Amrinder Seghal and Inderraj &amp; Navdeep Singh</v>
      </c>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f>IFERROR(__xludf.DUMMYFUNCTION("""COMPUTED_VALUE"""),172.0)</f>
        <v>172</v>
      </c>
      <c r="B108" s="8" t="str">
        <f>IFERROR(__xludf.DUMMYFUNCTION("""COMPUTED_VALUE"""),"""Cows and Calves""")</f>
        <v>"Cows and Calves"</v>
      </c>
      <c r="C108" s="8" t="str">
        <f>IFERROR(__xludf.DUMMYFUNCTION("""COMPUTED_VALUE"""),"23 June 1998 (1998-06-23)")</f>
        <v>23 June 1998 (1998-06-23)</v>
      </c>
      <c r="D108" s="8"/>
      <c r="E108" s="8"/>
      <c r="F108" s="8"/>
      <c r="G108" s="8"/>
      <c r="H108" s="8"/>
      <c r="I108" s="8"/>
      <c r="J108" s="8"/>
      <c r="K108" s="8"/>
      <c r="L108" s="8"/>
      <c r="M108" s="8"/>
      <c r="N108" s="8"/>
      <c r="O108" s="8"/>
      <c r="P108" s="8"/>
      <c r="Q108" s="8"/>
      <c r="R108" s="8"/>
      <c r="S108" s="8"/>
      <c r="T108" s="8"/>
      <c r="U108" s="8"/>
      <c r="V108" s="8"/>
      <c r="W108" s="8"/>
      <c r="X108" s="8"/>
      <c r="Y108" s="8"/>
      <c r="Z108" s="8"/>
    </row>
    <row r="109">
      <c r="A109" s="8" t="str">
        <f>IFERROR(__xludf.DUMMYFUNCTION("""COMPUTED_VALUE"""),"The Teletubbies do the Happy Dance, then they watch Matthew, James and Mark 
feed their Cows and Calves and watch them grazing in the field. Tinky 
Winky, Dipsy and Laa Laa eat Tubby Toast at the Tubby Table and Po eats 
Tubby Toast in her Bed, there's cr"&amp;"umbs everywhere so Noo Noo tidies up. The 
Windmill starts spinning and the Teletubbies watch the Animal Parade before 
the Magic Windmill stops spinning and it is time for Tubby Bye Bye. 
Featuring: Matthew, James and Mark Carnie")</f>
        <v>The Teletubbies do the Happy Dance, then they watch Matthew, James and Mark 
feed their Cows and Calves and watch them grazing in the field. Tinky 
Winky, Dipsy and Laa Laa eat Tubby Toast at the Tubby Table and Po eats 
Tubby Toast in her Bed, there's crumbs everywhere so Noo Noo tidies up. The 
Windmill starts spinning and the Teletubbies watch the Animal Parade before 
the Magic Windmill stops spinning and it is time for Tubby Bye Bye. 
Featuring: Matthew, James and Mark Carnie</v>
      </c>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f>IFERROR(__xludf.DUMMYFUNCTION("""COMPUTED_VALUE"""),173.0)</f>
        <v>173</v>
      </c>
      <c r="B110" s="8" t="str">
        <f>IFERROR(__xludf.DUMMYFUNCTION("""COMPUTED_VALUE"""),"""The Pier""")</f>
        <v>"The Pier"</v>
      </c>
      <c r="C110" s="8" t="str">
        <f>IFERROR(__xludf.DUMMYFUNCTION("""COMPUTED_VALUE"""),"24 June 1998 (1998-06-24)")</f>
        <v>24 June 1998 (1998-06-24)</v>
      </c>
      <c r="D110" s="8"/>
      <c r="E110" s="8"/>
      <c r="F110" s="8"/>
      <c r="G110" s="8"/>
      <c r="H110" s="8"/>
      <c r="I110" s="8"/>
      <c r="J110" s="8"/>
      <c r="K110" s="8"/>
      <c r="L110" s="8"/>
      <c r="M110" s="8"/>
      <c r="N110" s="8"/>
      <c r="O110" s="8"/>
      <c r="P110" s="8"/>
      <c r="Q110" s="8"/>
      <c r="R110" s="8"/>
      <c r="S110" s="8"/>
      <c r="T110" s="8"/>
      <c r="U110" s="8"/>
      <c r="V110" s="8"/>
      <c r="W110" s="8"/>
      <c r="X110" s="8"/>
      <c r="Y110" s="8"/>
      <c r="Z110" s="8"/>
    </row>
    <row r="111">
      <c r="A111" s="8" t="str">
        <f>IFERROR(__xludf.DUMMYFUNCTION("""COMPUTED_VALUE"""),"The Teletubbies walk round and round some hills, then they watch some 
children explore a pier. After that, they go off to watch the Lion and Bear 
play their hide and seek game in Teletubbyland. Then the Teletubbies go do 
the Walking Dance before doing "&amp;"the Tubby bye bye sequence. 
Featuring: Christopher &amp; James Botting, Katy Griffin, Mungo &amp; Joseph Kett, 
Saalim Koomar, Rebecca Lawlor and Matthew Wise")</f>
        <v>The Teletubbies walk round and round some hills, then they watch some 
children explore a pier. After that, they go off to watch the Lion and Bear 
play their hide and seek game in Teletubbyland. Then the Teletubbies go do 
the Walking Dance before doing the Tubby bye bye sequence. 
Featuring: Christopher &amp; James Botting, Katy Griffin, Mungo &amp; Joseph Kett, 
Saalim Koomar, Rebecca Lawlor and Matthew Wise</v>
      </c>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f>IFERROR(__xludf.DUMMYFUNCTION("""COMPUTED_VALUE"""),174.0)</f>
        <v>174</v>
      </c>
      <c r="B112" s="8" t="str">
        <f>IFERROR(__xludf.DUMMYFUNCTION("""COMPUTED_VALUE"""),"""Becky's Flake Cakes""")</f>
        <v>"Becky's Flake Cakes"</v>
      </c>
      <c r="C112" s="8" t="str">
        <f>IFERROR(__xludf.DUMMYFUNCTION("""COMPUTED_VALUE"""),"25 June 1998 (1998-06-25)")</f>
        <v>25 June 1998 (1998-06-25)</v>
      </c>
      <c r="D112" s="8"/>
      <c r="E112" s="8"/>
      <c r="F112" s="8"/>
      <c r="G112" s="8"/>
      <c r="H112" s="8"/>
      <c r="I112" s="8"/>
      <c r="J112" s="8"/>
      <c r="K112" s="8"/>
      <c r="L112" s="8"/>
      <c r="M112" s="8"/>
      <c r="N112" s="8"/>
      <c r="O112" s="8"/>
      <c r="P112" s="8"/>
      <c r="Q112" s="8"/>
      <c r="R112" s="8"/>
      <c r="S112" s="8"/>
      <c r="T112" s="8"/>
      <c r="U112" s="8"/>
      <c r="V112" s="8"/>
      <c r="W112" s="8"/>
      <c r="X112" s="8"/>
      <c r="Y112" s="8"/>
      <c r="Z112" s="8"/>
    </row>
    <row r="113">
      <c r="A113" s="8" t="str">
        <f>IFERROR(__xludf.DUMMYFUNCTION("""COMPUTED_VALUE"""),"The Teletubbies are feeling hungry, so they sit down to eat some Tubby 
Toast, but the Tubby Toaster isn't working. So they start pushing buttons 
but it doesn't work and they're still hungry. The Noo-noo tidies up around 
the Toaster and it begins to wor"&amp;"k. The Teletubbies are very happy and eat 
their Tubby Toast very quickly. Then the Teletubbies watch Becky make 
treats for her friend Mark. 
Featuring: Marc Connor and Rebecca Thomas")</f>
        <v>The Teletubbies are feeling hungry, so they sit down to eat some Tubby 
Toast, but the Tubby Toaster isn't working. So they start pushing buttons 
but it doesn't work and they're still hungry. The Noo-noo tidies up around 
the Toaster and it begins to work. The Teletubbies are very happy and eat 
their Tubby Toast very quickly. Then the Teletubbies watch Becky make 
treats for her friend Mark. 
Featuring: Marc Connor and Rebecca Thomas</v>
      </c>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f>IFERROR(__xludf.DUMMYFUNCTION("""COMPUTED_VALUE"""),175.0)</f>
        <v>175</v>
      </c>
      <c r="B114" s="8" t="str">
        <f>IFERROR(__xludf.DUMMYFUNCTION("""COMPUTED_VALUE"""),"""Hand Painting""")</f>
        <v>"Hand Painting"</v>
      </c>
      <c r="C114" s="8" t="str">
        <f>IFERROR(__xludf.DUMMYFUNCTION("""COMPUTED_VALUE"""),"25 June 1998 (1998-06-25)")</f>
        <v>25 June 1998 (1998-06-25)</v>
      </c>
      <c r="D114" s="8"/>
      <c r="E114" s="8"/>
      <c r="F114" s="8"/>
      <c r="G114" s="8"/>
      <c r="H114" s="8"/>
      <c r="I114" s="8"/>
      <c r="J114" s="8"/>
      <c r="K114" s="8"/>
      <c r="L114" s="8"/>
      <c r="M114" s="8"/>
      <c r="N114" s="8"/>
      <c r="O114" s="8"/>
      <c r="P114" s="8"/>
      <c r="Q114" s="8"/>
      <c r="R114" s="8"/>
      <c r="S114" s="8"/>
      <c r="T114" s="8"/>
      <c r="U114" s="8"/>
      <c r="V114" s="8"/>
      <c r="W114" s="8"/>
      <c r="X114" s="8"/>
      <c r="Y114" s="8"/>
      <c r="Z114" s="8"/>
    </row>
    <row r="115">
      <c r="A115" s="8" t="str">
        <f>IFERROR(__xludf.DUMMYFUNCTION("""COMPUTED_VALUE"""),"Dipsy walks in front of the trees to say hello to the viewers. Afterwards, 
the windmill spins and he joins the others, and The Teletubbies watch two 
girls having their hands painted. Po decides to decorate Home Hill with 
handprints. She decorated the t"&amp;"able, the tubby toaster, the doors, and the 
steps. And the whole house was decorated with hand prints when she heard 
Tinky Winky, Dipsy, and Laa-Laa. Po showed the other teletubbies her 
decorations when the Noo-Noo tidied up the handprints. Then the te"&amp;"letubbies 
had a good laugh until they heard the Magic Windmill spin, then they said 
""Uh-Oh!"" then they ran outside. The Magic Windmill stopped spinning for 
Tubby Bye Bye. 
Featuring: Elissa and Leah Patel")</f>
        <v>Dipsy walks in front of the trees to say hello to the viewers. Afterwards, 
the windmill spins and he joins the others, and The Teletubbies watch two 
girls having their hands painted. Po decides to decorate Home Hill with 
handprints. She decorated the table, the tubby toaster, the doors, and the 
steps. And the whole house was decorated with hand prints when she heard 
Tinky Winky, Dipsy, and Laa-Laa. Po showed the other teletubbies her 
decorations when the Noo-Noo tidied up the handprints. Then the teletubbies 
had a good laugh until they heard the Magic Windmill spin, then they said 
"Uh-Oh!" then they ran outside. The Magic Windmill stopped spinning for 
Tubby Bye Bye. 
Featuring: Elissa and Leah Patel</v>
      </c>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f>IFERROR(__xludf.DUMMYFUNCTION("""COMPUTED_VALUE"""),176.0)</f>
        <v>176</v>
      </c>
      <c r="B116" s="8" t="str">
        <f>IFERROR(__xludf.DUMMYFUNCTION("""COMPUTED_VALUE"""),"""Mark and Topus""
""Mark &amp; Topus""")</f>
        <v>"Mark and Topus"
"Mark &amp; Topus"</v>
      </c>
      <c r="C116" s="8" t="str">
        <f>IFERROR(__xludf.DUMMYFUNCTION("""COMPUTED_VALUE"""),"29 June 1998 (1998-06-29)")</f>
        <v>29 June 1998 (1998-06-29)</v>
      </c>
      <c r="D116" s="8"/>
      <c r="E116" s="8"/>
      <c r="F116" s="8"/>
      <c r="G116" s="8"/>
      <c r="H116" s="8"/>
      <c r="I116" s="8"/>
      <c r="J116" s="8"/>
      <c r="K116" s="8"/>
      <c r="L116" s="8"/>
      <c r="M116" s="8"/>
      <c r="N116" s="8"/>
      <c r="O116" s="8"/>
      <c r="P116" s="8"/>
      <c r="Q116" s="8"/>
      <c r="R116" s="8"/>
      <c r="S116" s="8"/>
      <c r="T116" s="8"/>
      <c r="U116" s="8"/>
      <c r="V116" s="8"/>
      <c r="W116" s="8"/>
      <c r="X116" s="8"/>
      <c r="Y116" s="8"/>
      <c r="Z116" s="8"/>
    </row>
    <row r="117">
      <c r="A117" s="8" t="str">
        <f>IFERROR(__xludf.DUMMYFUNCTION("""COMPUTED_VALUE"""),"Tinky Winky, Dipsy and Laa-Laa run over the hills to say Eh-oh and then Po 
pops up and says Boo. The Teletubbies watch Mark go for a ride on his pony 
Topus. Po goes on a long journey far far away on her scooter and then all 
the way home again, the othe"&amp;"r Teletubbies wait for her and when she comes 
back they all have a Big Hug and ""Tubby Bye-Bye"" takes place. 
Featuring: Matthew, James and Mark Carnie")</f>
        <v>Tinky Winky, Dipsy and Laa-Laa run over the hills to say Eh-oh and then Po 
pops up and says Boo. The Teletubbies watch Mark go for a ride on his pony 
Topus. Po goes on a long journey far far away on her scooter and then all 
the way home again, the other Teletubbies wait for her and when she comes 
back they all have a Big Hug and "Tubby Bye-Bye" takes place. 
Featuring: Matthew, James and Mark Carnie</v>
      </c>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f>IFERROR(__xludf.DUMMYFUNCTION("""COMPUTED_VALUE"""),177.0)</f>
        <v>177</v>
      </c>
      <c r="B118" s="8" t="str">
        <f>IFERROR(__xludf.DUMMYFUNCTION("""COMPUTED_VALUE"""),"""Numbers – 10""")</f>
        <v>"Numbers – 10"</v>
      </c>
      <c r="C118" s="8" t="str">
        <f>IFERROR(__xludf.DUMMYFUNCTION("""COMPUTED_VALUE"""),"30 June 1998 (1998-06-30)")</f>
        <v>30 June 1998 (1998-06-30)</v>
      </c>
      <c r="D118" s="8"/>
      <c r="E118" s="8"/>
      <c r="F118" s="8"/>
      <c r="G118" s="8"/>
      <c r="H118" s="8"/>
      <c r="I118" s="8"/>
      <c r="J118" s="8"/>
      <c r="K118" s="8"/>
      <c r="L118" s="8"/>
      <c r="M118" s="8"/>
      <c r="N118" s="8"/>
      <c r="O118" s="8"/>
      <c r="P118" s="8"/>
      <c r="Q118" s="8"/>
      <c r="R118" s="8"/>
      <c r="S118" s="8"/>
      <c r="T118" s="8"/>
      <c r="U118" s="8"/>
      <c r="V118" s="8"/>
      <c r="W118" s="8"/>
      <c r="X118" s="8"/>
      <c r="Y118" s="8"/>
      <c r="Z118" s="8"/>
    </row>
    <row r="119">
      <c r="A119" s="8" t="str">
        <f>IFERROR(__xludf.DUMMYFUNCTION("""COMPUTED_VALUE"""),"Laa Laa is out for a walk before the Windmill starts spinning. The 
Teletubbies watch some children learn about the number 10. Inside the 
House, Tinky Winky, Dipsy and Laa-Laa sit on their seats. Po arrives on her 
scooter. She bumps into the slide and t"&amp;"he walls until she falls off. Po 
sits down on the slide and the other Teletubbies stand up and sit down too. 
They all do it again and again and laughing at the noises they make. The 
magical event with The Magic Tree also occurs. After it disappeared, t"&amp;"he 
Magic Windmill stops spinning. The ""Tubby Bye-Bye"" sequence takes place. 
Featuring: The Children of Duncombe School, London")</f>
        <v>Laa Laa is out for a walk before the Windmill starts spinning. The 
Teletubbies watch some children learn about the number 10. Inside the 
House, Tinky Winky, Dipsy and Laa-Laa sit on their seats. Po arrives on her 
scooter. She bumps into the slide and the walls until she falls off. Po 
sits down on the slide and the other Teletubbies stand up and sit down too. 
They all do it again and again and laughing at the noises they make. The 
magical event with The Magic Tree also occurs. After it disappeared, the 
Magic Windmill stops spinning. The "Tubby Bye-Bye" sequence takes place. 
Featuring: The Children of Duncombe School, London</v>
      </c>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f>IFERROR(__xludf.DUMMYFUNCTION("""COMPUTED_VALUE"""),178.0)</f>
        <v>178</v>
      </c>
      <c r="B120" s="8" t="str">
        <f>IFERROR(__xludf.DUMMYFUNCTION("""COMPUTED_VALUE"""),"""Washing the Elephant""")</f>
        <v>"Washing the Elephant"</v>
      </c>
      <c r="C120" s="8" t="str">
        <f>IFERROR(__xludf.DUMMYFUNCTION("""COMPUTED_VALUE"""),"1 July 1998 (1998-07-01)")</f>
        <v>1 July 1998 (1998-07-01)</v>
      </c>
      <c r="D120" s="8"/>
      <c r="E120" s="8"/>
      <c r="F120" s="8"/>
      <c r="G120" s="8"/>
      <c r="H120" s="8"/>
      <c r="I120" s="8"/>
      <c r="J120" s="8"/>
      <c r="K120" s="8"/>
      <c r="L120" s="8"/>
      <c r="M120" s="8"/>
      <c r="N120" s="8"/>
      <c r="O120" s="8"/>
      <c r="P120" s="8"/>
      <c r="Q120" s="8"/>
      <c r="R120" s="8"/>
      <c r="S120" s="8"/>
      <c r="T120" s="8"/>
      <c r="U120" s="8"/>
      <c r="V120" s="8"/>
      <c r="W120" s="8"/>
      <c r="X120" s="8"/>
      <c r="Y120" s="8"/>
      <c r="Z120" s="8"/>
    </row>
    <row r="121">
      <c r="A121" s="8" t="str">
        <f>IFERROR(__xludf.DUMMYFUNCTION("""COMPUTED_VALUE"""),"The Teletubbies run indoors and then run out again to watch Andy Brown and 
Georgina wash a female elephant called Anna. Laa-Laa and Dipsy have a messy 
accident. They both tread in some Tubby Custard, so the Noo-Noo tidies up, 
again and again. All the T"&amp;"ubby Custard gets mixed up inside the Noo-Noo and 
he shoots all out onto the doors. 
Featuring: Andy Brown and Georgina Day")</f>
        <v>The Teletubbies run indoors and then run out again to watch Andy Brown and 
Georgina wash a female elephant called Anna. Laa-Laa and Dipsy have a messy 
accident. They both tread in some Tubby Custard, so the Noo-Noo tidies up, 
again and again. All the Tubby Custard gets mixed up inside the Noo-Noo and 
he shoots all out onto the doors. 
Featuring: Andy Brown and Georgina Day</v>
      </c>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f>IFERROR(__xludf.DUMMYFUNCTION("""COMPUTED_VALUE"""),179.0)</f>
        <v>179</v>
      </c>
      <c r="B122" s="8" t="str">
        <f>IFERROR(__xludf.DUMMYFUNCTION("""COMPUTED_VALUE"""),"""Windmill""")</f>
        <v>"Windmill"</v>
      </c>
      <c r="C122" s="8" t="str">
        <f>IFERROR(__xludf.DUMMYFUNCTION("""COMPUTED_VALUE"""),"2 July 1998 (1998-07-02)")</f>
        <v>2 July 1998 (1998-07-02)</v>
      </c>
      <c r="D122" s="8"/>
      <c r="E122" s="8"/>
      <c r="F122" s="8"/>
      <c r="G122" s="8"/>
      <c r="H122" s="8"/>
      <c r="I122" s="8"/>
      <c r="J122" s="8"/>
      <c r="K122" s="8"/>
      <c r="L122" s="8"/>
      <c r="M122" s="8"/>
      <c r="N122" s="8"/>
      <c r="O122" s="8"/>
      <c r="P122" s="8"/>
      <c r="Q122" s="8"/>
      <c r="R122" s="8"/>
      <c r="S122" s="8"/>
      <c r="T122" s="8"/>
      <c r="U122" s="8"/>
      <c r="V122" s="8"/>
      <c r="W122" s="8"/>
      <c r="X122" s="8"/>
      <c r="Y122" s="8"/>
      <c r="Z122" s="8"/>
    </row>
    <row r="123">
      <c r="A123" s="8" t="str">
        <f>IFERROR(__xludf.DUMMYFUNCTION("""COMPUTED_VALUE"""),"The Teletubbies take turns to stand on a hill, in front of the house, next 
to a tree and under a cloud. But each time they stand under the cloud it 
begins to rain. Gregory and Matthew show the Teletubbies their windmill. 
The Teletubbies do the Round an"&amp;"d Round Dance before Tubby Bye-Bye. 
Featuring: Matthew and Gregory Dobson")</f>
        <v>The Teletubbies take turns to stand on a hill, in front of the house, next 
to a tree and under a cloud. But each time they stand under the cloud it 
begins to rain. Gregory and Matthew show the Teletubbies their windmill. 
The Teletubbies do the Round and Round Dance before Tubby Bye-Bye. 
Featuring: Matthew and Gregory Dobson</v>
      </c>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f>IFERROR(__xludf.DUMMYFUNCTION("""COMPUTED_VALUE"""),180.0)</f>
        <v>180</v>
      </c>
      <c r="B124" s="8" t="str">
        <f>IFERROR(__xludf.DUMMYFUNCTION("""COMPUTED_VALUE"""),"""Putting Angus To Bed""")</f>
        <v>"Putting Angus To Bed"</v>
      </c>
      <c r="C124" s="8" t="str">
        <f>IFERROR(__xludf.DUMMYFUNCTION("""COMPUTED_VALUE"""),"3 July 1998 (1998-07-03)")</f>
        <v>3 July 1998 (1998-07-03)</v>
      </c>
      <c r="D124" s="8"/>
      <c r="E124" s="8"/>
      <c r="F124" s="8"/>
      <c r="G124" s="8"/>
      <c r="H124" s="8"/>
      <c r="I124" s="8"/>
      <c r="J124" s="8"/>
      <c r="K124" s="8"/>
      <c r="L124" s="8"/>
      <c r="M124" s="8"/>
      <c r="N124" s="8"/>
      <c r="O124" s="8"/>
      <c r="P124" s="8"/>
      <c r="Q124" s="8"/>
      <c r="R124" s="8"/>
      <c r="S124" s="8"/>
      <c r="T124" s="8"/>
      <c r="U124" s="8"/>
      <c r="V124" s="8"/>
      <c r="W124" s="8"/>
      <c r="X124" s="8"/>
      <c r="Y124" s="8"/>
      <c r="Z124" s="8"/>
    </row>
    <row r="125">
      <c r="A125" s="8" t="str">
        <f>IFERROR(__xludf.DUMMYFUNCTION("""COMPUTED_VALUE"""),"The Teletubbies watch James help his mummy put his baby brother Angus to 
bed. In Teletubbyland, Dipsy is asleep, so the other Teletubbies are being 
quiet. They find it difficult to be quiet and not wake Dipsy up, however. 
The Magic Windmill stops spinn"&amp;"ing as the Tubby Bye-Bye takes place. 
Featuring: James and Angus Carnie")</f>
        <v>The Teletubbies watch James help his mummy put his baby brother Angus to 
bed. In Teletubbyland, Dipsy is asleep, so the other Teletubbies are being 
quiet. They find it difficult to be quiet and not wake Dipsy up, however. 
The Magic Windmill stops spinning as the Tubby Bye-Bye takes place. 
Featuring: James and Angus Carnie</v>
      </c>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f>IFERROR(__xludf.DUMMYFUNCTION("""COMPUTED_VALUE"""),181.0)</f>
        <v>181</v>
      </c>
      <c r="B126" s="8" t="str">
        <f>IFERROR(__xludf.DUMMYFUNCTION("""COMPUTED_VALUE"""),"""Hair Braiding""")</f>
        <v>"Hair Braiding"</v>
      </c>
      <c r="C126" s="8" t="str">
        <f>IFERROR(__xludf.DUMMYFUNCTION("""COMPUTED_VALUE"""),"6 July 1998 (1998-07-06)")</f>
        <v>6 July 1998 (1998-07-06)</v>
      </c>
      <c r="D126" s="8"/>
      <c r="E126" s="8"/>
      <c r="F126" s="8"/>
      <c r="G126" s="8"/>
      <c r="H126" s="8"/>
      <c r="I126" s="8"/>
      <c r="J126" s="8"/>
      <c r="K126" s="8"/>
      <c r="L126" s="8"/>
      <c r="M126" s="8"/>
      <c r="N126" s="8"/>
      <c r="O126" s="8"/>
      <c r="P126" s="8"/>
      <c r="Q126" s="8"/>
      <c r="R126" s="8"/>
      <c r="S126" s="8"/>
      <c r="T126" s="8"/>
      <c r="U126" s="8"/>
      <c r="V126" s="8"/>
      <c r="W126" s="8"/>
      <c r="X126" s="8"/>
      <c r="Y126" s="8"/>
      <c r="Z126" s="8"/>
    </row>
    <row r="127">
      <c r="A127" s="8" t="str">
        <f>IFERROR(__xludf.DUMMYFUNCTION("""COMPUTED_VALUE"""),"Laa-Laa and Po hug and the Teletubbies all watch a young girl having her 
hair braided. Tinky Winky can't get to sleep, so Dipsy helps him by singing 
him a lullaby. That made Tinky-Winky, along with Laa Laa and Po, go to 
sleep. Clever Dipsy. After all t"&amp;"hat singing, Dipsy was feeling tired. So he 
went to sleep before Tubby Bye-Bye. 
Featuring: Pamela and Reianna Nembhand")</f>
        <v>Laa-Laa and Po hug and the Teletubbies all watch a young girl having her 
hair braided. Tinky Winky can't get to sleep, so Dipsy helps him by singing 
him a lullaby. That made Tinky-Winky, along with Laa Laa and Po, go to 
sleep. Clever Dipsy. After all that singing, Dipsy was feeling tired. So he 
went to sleep before Tubby Bye-Bye. 
Featuring: Pamela and Reianna Nembhand</v>
      </c>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f>IFERROR(__xludf.DUMMYFUNCTION("""COMPUTED_VALUE"""),182.0)</f>
        <v>182</v>
      </c>
      <c r="B128" s="8" t="str">
        <f>IFERROR(__xludf.DUMMYFUNCTION("""COMPUTED_VALUE"""),"""Kittens""")</f>
        <v>"Kittens"</v>
      </c>
      <c r="C128" s="8" t="str">
        <f>IFERROR(__xludf.DUMMYFUNCTION("""COMPUTED_VALUE"""),"7 July 1998 (1998-07-07)")</f>
        <v>7 July 1998 (1998-07-07)</v>
      </c>
      <c r="D128" s="8"/>
      <c r="E128" s="8"/>
      <c r="F128" s="8"/>
      <c r="G128" s="8"/>
      <c r="H128" s="8"/>
      <c r="I128" s="8"/>
      <c r="J128" s="8"/>
      <c r="K128" s="8"/>
      <c r="L128" s="8"/>
      <c r="M128" s="8"/>
      <c r="N128" s="8"/>
      <c r="O128" s="8"/>
      <c r="P128" s="8"/>
      <c r="Q128" s="8"/>
      <c r="R128" s="8"/>
      <c r="S128" s="8"/>
      <c r="T128" s="8"/>
      <c r="U128" s="8"/>
      <c r="V128" s="8"/>
      <c r="W128" s="8"/>
      <c r="X128" s="8"/>
      <c r="Y128" s="8"/>
      <c r="Z128" s="8"/>
    </row>
    <row r="129">
      <c r="A129" s="8" t="str">
        <f>IFERROR(__xludf.DUMMYFUNCTION("""COMPUTED_VALUE"""),"Outside the Teletubbies Home Hill a voice trumpet makes a MEOW noise like a 
Kitten Then the Teletubbies watch Matthew, James and Mark play with their 
new kittens. Inside the Teletubbies' Home Hill a voice trumpet gives a 
message for the Teletubbies and"&amp;" fell asleep and the Teletubbies wake up and 
the Magic Windmill start spinning and they rush outside to watch The Animal 
Parade and the Magic Windmill stops spinning. 
Featuring: Matthew, James and Mark Carnie")</f>
        <v>Outside the Teletubbies Home Hill a voice trumpet makes a MEOW noise like a 
Kitten Then the Teletubbies watch Matthew, James and Mark play with their 
new kittens. Inside the Teletubbies' Home Hill a voice trumpet gives a 
message for the Teletubbies and fell asleep and the Teletubbies wake up and 
the Magic Windmill start spinning and they rush outside to watch The Animal 
Parade and the Magic Windmill stops spinning. 
Featuring: Matthew, James and Mark Carnie</v>
      </c>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f>IFERROR(__xludf.DUMMYFUNCTION("""COMPUTED_VALUE"""),183.0)</f>
        <v>183</v>
      </c>
      <c r="B130" s="8" t="str">
        <f>IFERROR(__xludf.DUMMYFUNCTION("""COMPUTED_VALUE"""),"""Funny Walks""")</f>
        <v>"Funny Walks"</v>
      </c>
      <c r="C130" s="8" t="str">
        <f>IFERROR(__xludf.DUMMYFUNCTION("""COMPUTED_VALUE"""),"8 July 1998 (1998-07-08)")</f>
        <v>8 July 1998 (1998-07-08)</v>
      </c>
      <c r="D130" s="8"/>
      <c r="E130" s="8"/>
      <c r="F130" s="8"/>
      <c r="G130" s="8"/>
      <c r="H130" s="8"/>
      <c r="I130" s="8"/>
      <c r="J130" s="8"/>
      <c r="K130" s="8"/>
      <c r="L130" s="8"/>
      <c r="M130" s="8"/>
      <c r="N130" s="8"/>
      <c r="O130" s="8"/>
      <c r="P130" s="8"/>
      <c r="Q130" s="8"/>
      <c r="R130" s="8"/>
      <c r="S130" s="8"/>
      <c r="T130" s="8"/>
      <c r="U130" s="8"/>
      <c r="V130" s="8"/>
      <c r="W130" s="8"/>
      <c r="X130" s="8"/>
      <c r="Y130" s="8"/>
      <c r="Z130" s="8"/>
    </row>
    <row r="131">
      <c r="A131" s="8" t="str">
        <f>IFERROR(__xludf.DUMMYFUNCTION("""COMPUTED_VALUE"""),"Tinky Winky is asleep, Dipsy is making some adjustments and Laa Laa is 
eating Tubby Toast, and Po runs and jumps around the House in some very 
unusual ways and none of the Teletubbies can work out what Po is doing, 
then they decide to act like Po and r"&amp;"un around the House in these funny 
ways. Then the Windmill spins and they all watch some children doing funny 
walks. Then, the Teletubbies do funny walks of their own. Then the Magic 
Windmill stops spinning and it is time for Tubby Bye-Bye. 
Featuring:"&amp;" The Children of Academic Day Care, New Jersey")</f>
        <v>Tinky Winky is asleep, Dipsy is making some adjustments and Laa Laa is 
eating Tubby Toast, and Po runs and jumps around the House in some very 
unusual ways and none of the Teletubbies can work out what Po is doing, 
then they decide to act like Po and run around the House in these funny 
ways. Then the Windmill spins and they all watch some children doing funny 
walks. Then, the Teletubbies do funny walks of their own. Then the Magic 
Windmill stops spinning and it is time for Tubby Bye-Bye. 
Featuring: The Children of Academic Day Care, New Jersey</v>
      </c>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f>IFERROR(__xludf.DUMMYFUNCTION("""COMPUTED_VALUE"""),184.0)</f>
        <v>184</v>
      </c>
      <c r="B132" s="8" t="str">
        <f>IFERROR(__xludf.DUMMYFUNCTION("""COMPUTED_VALUE"""),"""Jigsaw – Rabbits""")</f>
        <v>"Jigsaw – Rabbits"</v>
      </c>
      <c r="C132" s="8" t="str">
        <f>IFERROR(__xludf.DUMMYFUNCTION("""COMPUTED_VALUE"""),"9 July 1998 (1998-07-09)")</f>
        <v>9 July 1998 (1998-07-09)</v>
      </c>
      <c r="D132" s="8"/>
      <c r="E132" s="8"/>
      <c r="F132" s="8"/>
      <c r="G132" s="8"/>
      <c r="H132" s="8"/>
      <c r="I132" s="8"/>
      <c r="J132" s="8"/>
      <c r="K132" s="8"/>
      <c r="L132" s="8"/>
      <c r="M132" s="8"/>
      <c r="N132" s="8"/>
      <c r="O132" s="8"/>
      <c r="P132" s="8"/>
      <c r="Q132" s="8"/>
      <c r="R132" s="8"/>
      <c r="S132" s="8"/>
      <c r="T132" s="8"/>
      <c r="U132" s="8"/>
      <c r="V132" s="8"/>
      <c r="W132" s="8"/>
      <c r="X132" s="8"/>
      <c r="Y132" s="8"/>
      <c r="Z132" s="8"/>
    </row>
    <row r="133">
      <c r="A133" s="8" t="str">
        <f>IFERROR(__xludf.DUMMYFUNCTION("""COMPUTED_VALUE"""),"In Teletubbyland, Dipsy, Laa Laa and Po were finding Tinky Winky. After 
they found him, the Magic Windmill starts spinning and the Teletubbies run 
off to watch some children building a jigsaw rabbit puzzle before Tubby Bye 
Bye. 
Featuring: Aaron Ellis,"&amp;" Danielle Miller and Sally Sadler")</f>
        <v>In Teletubbyland, Dipsy, Laa Laa and Po were finding Tinky Winky. After 
they found him, the Magic Windmill starts spinning and the Teletubbies run 
off to watch some children building a jigsaw rabbit puzzle before Tubby Bye 
Bye. 
Featuring: Aaron Ellis, Danielle Miller and Sally Sadler</v>
      </c>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f>IFERROR(__xludf.DUMMYFUNCTION("""COMPUTED_VALUE"""),185.0)</f>
        <v>185</v>
      </c>
      <c r="B134" s="8" t="str">
        <f>IFERROR(__xludf.DUMMYFUNCTION("""COMPUTED_VALUE"""),"""My Violin""")</f>
        <v>"My Violin"</v>
      </c>
      <c r="C134" s="8" t="str">
        <f>IFERROR(__xludf.DUMMYFUNCTION("""COMPUTED_VALUE"""),"10 July 1998 (1998-07-10)")</f>
        <v>10 July 1998 (1998-07-10)</v>
      </c>
      <c r="D134" s="8"/>
      <c r="E134" s="8"/>
      <c r="F134" s="8"/>
      <c r="G134" s="8"/>
      <c r="H134" s="8"/>
      <c r="I134" s="8"/>
      <c r="J134" s="8"/>
      <c r="K134" s="8"/>
      <c r="L134" s="8"/>
      <c r="M134" s="8"/>
      <c r="N134" s="8"/>
      <c r="O134" s="8"/>
      <c r="P134" s="8"/>
      <c r="Q134" s="8"/>
      <c r="R134" s="8"/>
      <c r="S134" s="8"/>
      <c r="T134" s="8"/>
      <c r="U134" s="8"/>
      <c r="V134" s="8"/>
      <c r="W134" s="8"/>
      <c r="X134" s="8"/>
      <c r="Y134" s="8"/>
      <c r="Z134" s="8"/>
    </row>
    <row r="135">
      <c r="A135" s="8" t="str">
        <f>IFERROR(__xludf.DUMMYFUNCTION("""COMPUTED_VALUE"""),"Po rides her Scooter into the House. The Teletubbies listen to Bryony play 
Twinkle, Twinkle, Little Star on the violin. The Teletubbies listen to a 
voice trumpet play Twinkle, Twinkle, Little Star on the violin and the 
Tuba, but Noo Noo is being too no"&amp;"isy. When the voice trumpet stops playing 
the lovely music, Noo Noo starts making his own music by sucking and 
slurping the same tune. Then the Magic Windmill stops spinning and it was 
time for Tubby Bye-Bye. 
Featuring: Bryony Kay")</f>
        <v>Po rides her Scooter into the House. The Teletubbies listen to Bryony play 
Twinkle, Twinkle, Little Star on the violin. The Teletubbies listen to a 
voice trumpet play Twinkle, Twinkle, Little Star on the violin and the 
Tuba, but Noo Noo is being too noisy. When the voice trumpet stops playing 
the lovely music, Noo Noo starts making his own music by sucking and 
slurping the same tune. Then the Magic Windmill stops spinning and it was 
time for Tubby Bye-Bye. 
Featuring: Bryony Kay</v>
      </c>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f>IFERROR(__xludf.DUMMYFUNCTION("""COMPUTED_VALUE"""),186.0)</f>
        <v>186</v>
      </c>
      <c r="B136" s="8" t="str">
        <f>IFERROR(__xludf.DUMMYFUNCTION("""COMPUTED_VALUE"""),"""Boys and Eggs""")</f>
        <v>"Boys and Eggs"</v>
      </c>
      <c r="C136" s="8" t="str">
        <f>IFERROR(__xludf.DUMMYFUNCTION("""COMPUTED_VALUE"""),"13 July 1998 (1998-07-13)")</f>
        <v>13 July 1998 (1998-07-13)</v>
      </c>
      <c r="D136" s="8"/>
      <c r="E136" s="8"/>
      <c r="F136" s="8"/>
      <c r="G136" s="8"/>
      <c r="H136" s="8"/>
      <c r="I136" s="8"/>
      <c r="J136" s="8"/>
      <c r="K136" s="8"/>
      <c r="L136" s="8"/>
      <c r="M136" s="8"/>
      <c r="N136" s="8"/>
      <c r="O136" s="8"/>
      <c r="P136" s="8"/>
      <c r="Q136" s="8"/>
      <c r="R136" s="8"/>
      <c r="S136" s="8"/>
      <c r="T136" s="8"/>
      <c r="U136" s="8"/>
      <c r="V136" s="8"/>
      <c r="W136" s="8"/>
      <c r="X136" s="8"/>
      <c r="Y136" s="8"/>
      <c r="Z136" s="8"/>
    </row>
    <row r="137">
      <c r="A137" s="8" t="str">
        <f>IFERROR(__xludf.DUMMYFUNCTION("""COMPUTED_VALUE"""),"In Teletubbyland, Dipsy was out for a walk, when he saw Tinky Winky, he saw 
Dipsy, reminding him to watch out for a wind, when Dipsy arrives at the 
trees (same trees from The Lion and Bear) he suddenly notices the wind, so 
it blew Dipsy's hat into the "&amp;"air. And Tinky Winky noticed that Dipsy's Hat 
is on the air, so Tinky Winky reminds Dipsy to catch his hat before the 
wind blows it somewhere else in Teletubbyland, so Dipsy goes try to catch 
his hat before it blows away. Meanwhile, Laa Laa and Po were"&amp;" having Tubby 
Toast inside the house. Suddenly, they heard the wind, the wind blew 
Dipsy's hat in front of the house, then goes in the hole, it takes it down 
the slide. Then, Po got Dipsy's hat. Suddenly, the Noo Noo manages to tidy 
up Dipsy's hat. Na"&amp;"ughty Noo Noo! Laa Laa and Po chase him around the house. 
Then, the Noo Noo untidies Dipsy's Hat, and Dipsy's Hat goes up the slide. 
It manages to return to Dipsy, first it goes out of the hole on the Home 
Hill. Dipsy was worried about his hat, and jus"&amp;"t then, Dipsy's hat is back 
on Dipsy. And then the Magic Windmill spins so Laa Laa and Po runs out and 
Dipsy walks to join the other Teletubbies and he suddenly noticed his hat 
is left behind on the path. Then the Teletubbies watch Matthew, James and 
"&amp;"Mark collect eggs before the Sun Baby giggles for Tubby Bye-Bye. 
Featuring: Matthew, James and Mark Carnie")</f>
        <v>In Teletubbyland, Dipsy was out for a walk, when he saw Tinky Winky, he saw 
Dipsy, reminding him to watch out for a wind, when Dipsy arrives at the 
trees (same trees from The Lion and Bear) he suddenly notices the wind, so 
it blew Dipsy's hat into the air. And Tinky Winky noticed that Dipsy's Hat 
is on the air, so Tinky Winky reminds Dipsy to catch his hat before the 
wind blows it somewhere else in Teletubbyland, so Dipsy goes try to catch 
his hat before it blows away. Meanwhile, Laa Laa and Po were having Tubby 
Toast inside the house. Suddenly, they heard the wind, the wind blew 
Dipsy's hat in front of the house, then goes in the hole, it takes it down 
the slide. Then, Po got Dipsy's hat. Suddenly, the Noo Noo manages to tidy 
up Dipsy's hat. Naughty Noo Noo! Laa Laa and Po chase him around the house. 
Then, the Noo Noo untidies Dipsy's Hat, and Dipsy's Hat goes up the slide. 
It manages to return to Dipsy, first it goes out of the hole on the Home 
Hill. Dipsy was worried about his hat, and just then, Dipsy's hat is back 
on Dipsy. And then the Magic Windmill spins so Laa Laa and Po runs out and 
Dipsy walks to join the other Teletubbies and he suddenly noticed his hat 
is left behind on the path. Then the Teletubbies watch Matthew, James and 
Mark collect eggs before the Sun Baby giggles for Tubby Bye-Bye. 
Featuring: Matthew, James and Mark Carnie</v>
      </c>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f>IFERROR(__xludf.DUMMYFUNCTION("""COMPUTED_VALUE"""),187.0)</f>
        <v>187</v>
      </c>
      <c r="B138" s="8" t="str">
        <f>IFERROR(__xludf.DUMMYFUNCTION("""COMPUTED_VALUE"""),"""Hovercraft""")</f>
        <v>"Hovercraft"</v>
      </c>
      <c r="C138" s="8" t="str">
        <f>IFERROR(__xludf.DUMMYFUNCTION("""COMPUTED_VALUE"""),"14 July 1998 (1998-07-14)")</f>
        <v>14 July 1998 (1998-07-14)</v>
      </c>
      <c r="D138" s="8"/>
      <c r="E138" s="8"/>
      <c r="F138" s="8"/>
      <c r="G138" s="8"/>
      <c r="H138" s="8"/>
      <c r="I138" s="8"/>
      <c r="J138" s="8"/>
      <c r="K138" s="8"/>
      <c r="L138" s="8"/>
      <c r="M138" s="8"/>
      <c r="N138" s="8"/>
      <c r="O138" s="8"/>
      <c r="P138" s="8"/>
      <c r="Q138" s="8"/>
      <c r="R138" s="8"/>
      <c r="S138" s="8"/>
      <c r="T138" s="8"/>
      <c r="U138" s="8"/>
      <c r="V138" s="8"/>
      <c r="W138" s="8"/>
      <c r="X138" s="8"/>
      <c r="Y138" s="8"/>
      <c r="Z138" s="8"/>
    </row>
    <row r="139">
      <c r="A139" s="8" t="str">
        <f>IFERROR(__xludf.DUMMYFUNCTION("""COMPUTED_VALUE"""),"The Teletubbies pop up from some hills, then they watch two children travel 
on a hovercraft. The Teletubbies wake up after a little sleep and they make 
their beds up, but Po drops her blanket, The Noo-Noo tidies it up and the 
Teletubbies chase him arou"&amp;"nd the house, the Teletubbies love the Noo-Noo 
very much. The Magic Windmill starts spinning and the Teletubbies watch The 
Three Ships before the Magic Windmill stops spinning and it is time for 
Tubby Bye-Bye. 
Featuring: Zack Adams, Traci &amp; Hannah Car"&amp;"roll and Monique Gordon")</f>
        <v>The Teletubbies pop up from some hills, then they watch two children travel 
on a hovercraft. The Teletubbies wake up after a little sleep and they make 
their beds up, but Po drops her blanket, The Noo-Noo tidies it up and the 
Teletubbies chase him around the house, the Teletubbies love the Noo-Noo 
very much. The Magic Windmill starts spinning and the Teletubbies watch The 
Three Ships before the Magic Windmill stops spinning and it is time for 
Tubby Bye-Bye. 
Featuring: Zack Adams, Traci &amp; Hannah Carroll and Monique Gordon</v>
      </c>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f>IFERROR(__xludf.DUMMYFUNCTION("""COMPUTED_VALUE"""),188.0)</f>
        <v>188</v>
      </c>
      <c r="B140" s="8" t="str">
        <f>IFERROR(__xludf.DUMMYFUNCTION("""COMPUTED_VALUE"""),"""Robin""")</f>
        <v>"Robin"</v>
      </c>
      <c r="C140" s="8" t="str">
        <f>IFERROR(__xludf.DUMMYFUNCTION("""COMPUTED_VALUE"""),"15 July 1998 (1998-07-15)")</f>
        <v>15 July 1998 (1998-07-15)</v>
      </c>
      <c r="D140" s="8"/>
      <c r="E140" s="8"/>
      <c r="F140" s="8"/>
      <c r="G140" s="8"/>
      <c r="H140" s="8"/>
      <c r="I140" s="8"/>
      <c r="J140" s="8"/>
      <c r="K140" s="8"/>
      <c r="L140" s="8"/>
      <c r="M140" s="8"/>
      <c r="N140" s="8"/>
      <c r="O140" s="8"/>
      <c r="P140" s="8"/>
      <c r="Q140" s="8"/>
      <c r="R140" s="8"/>
      <c r="S140" s="8"/>
      <c r="T140" s="8"/>
      <c r="U140" s="8"/>
      <c r="V140" s="8"/>
      <c r="W140" s="8"/>
      <c r="X140" s="8"/>
      <c r="Y140" s="8"/>
      <c r="Z140" s="8"/>
    </row>
    <row r="141">
      <c r="A141" s="8" t="str">
        <f>IFERROR(__xludf.DUMMYFUNCTION("""COMPUTED_VALUE"""),"The Teletubbies run and Po says 'boo' before the Magic Windmill spins and 
the Teletubbies watch Andy Brown and two children watch a robin in the 
garden. The Teletubbies are ""Calling Out!"" to each other. 
Featuring: Andy Brown with Emily and Jack Baker")</f>
        <v>The Teletubbies run and Po says 'boo' before the Magic Windmill spins and 
the Teletubbies watch Andy Brown and two children watch a robin in the 
garden. The Teletubbies are "Calling Out!" to each other. 
Featuring: Andy Brown with Emily and Jack Baker</v>
      </c>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f>IFERROR(__xludf.DUMMYFUNCTION("""COMPUTED_VALUE"""),189.0)</f>
        <v>189</v>
      </c>
      <c r="B142" s="8" t="str">
        <f>IFERROR(__xludf.DUMMYFUNCTION("""COMPUTED_VALUE"""),"""Feeding My Baby Sister""")</f>
        <v>"Feeding My Baby Sister"</v>
      </c>
      <c r="C142" s="8" t="str">
        <f>IFERROR(__xludf.DUMMYFUNCTION("""COMPUTED_VALUE"""),"16 July 1998 (1998-07-16)")</f>
        <v>16 July 1998 (1998-07-16)</v>
      </c>
      <c r="D142" s="8"/>
      <c r="E142" s="8"/>
      <c r="F142" s="8"/>
      <c r="G142" s="8"/>
      <c r="H142" s="8"/>
      <c r="I142" s="8"/>
      <c r="J142" s="8"/>
      <c r="K142" s="8"/>
      <c r="L142" s="8"/>
      <c r="M142" s="8"/>
      <c r="N142" s="8"/>
      <c r="O142" s="8"/>
      <c r="P142" s="8"/>
      <c r="Q142" s="8"/>
      <c r="R142" s="8"/>
      <c r="S142" s="8"/>
      <c r="T142" s="8"/>
      <c r="U142" s="8"/>
      <c r="V142" s="8"/>
      <c r="W142" s="8"/>
      <c r="X142" s="8"/>
      <c r="Y142" s="8"/>
      <c r="Z142" s="8"/>
    </row>
    <row r="143">
      <c r="A143" s="8" t="str">
        <f>IFERROR(__xludf.DUMMYFUNCTION("""COMPUTED_VALUE"""),"Dipsy enters the house and made Tubby custard but the Magic Windmill spins 
and the Teletubbies watch a little girl help feed her baby sister. Po makes 
some Tubby Custard for Dipsy. The Magic Windmill stops spinning and it's 
time for Tubby Bye Bye. 
Fea"&amp;"turing: Tamsin and Georgina George")</f>
        <v>Dipsy enters the house and made Tubby custard but the Magic Windmill spins 
and the Teletubbies watch a little girl help feed her baby sister. Po makes 
some Tubby Custard for Dipsy. The Magic Windmill stops spinning and it's 
time for Tubby Bye Bye. 
Featuring: Tamsin and Georgina George</v>
      </c>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f>IFERROR(__xludf.DUMMYFUNCTION("""COMPUTED_VALUE"""),190.0)</f>
        <v>190</v>
      </c>
      <c r="B144" s="8" t="str">
        <f>IFERROR(__xludf.DUMMYFUNCTION("""COMPUTED_VALUE"""),"""Long Horns""")</f>
        <v>"Long Horns"</v>
      </c>
      <c r="C144" s="8" t="str">
        <f>IFERROR(__xludf.DUMMYFUNCTION("""COMPUTED_VALUE"""),"17 July 1998 (1998-07-17)")</f>
        <v>17 July 1998 (1998-07-17)</v>
      </c>
      <c r="D144" s="8"/>
      <c r="E144" s="8"/>
      <c r="F144" s="8"/>
      <c r="G144" s="8"/>
      <c r="H144" s="8"/>
      <c r="I144" s="8"/>
      <c r="J144" s="8"/>
      <c r="K144" s="8"/>
      <c r="L144" s="8"/>
      <c r="M144" s="8"/>
      <c r="N144" s="8"/>
      <c r="O144" s="8"/>
      <c r="P144" s="8"/>
      <c r="Q144" s="8"/>
      <c r="R144" s="8"/>
      <c r="S144" s="8"/>
      <c r="T144" s="8"/>
      <c r="U144" s="8"/>
      <c r="V144" s="8"/>
      <c r="W144" s="8"/>
      <c r="X144" s="8"/>
      <c r="Y144" s="8"/>
      <c r="Z144" s="8"/>
    </row>
    <row r="145">
      <c r="A145" s="8" t="str">
        <f>IFERROR(__xludf.DUMMYFUNCTION("""COMPUTED_VALUE"""),"Inside the Home Hill, Laa-Laa makes some adjustments on the control panel. 
Suddenly, the Magic Windmill spins. The Teletubbies watch Sam and his mum 
visit a Temple to hear the horns. Annie is teaching Sam how to play the 
horn. They have fun blowing it "&amp;"and making noises and Sam shows how the horn 
closes. Then, in Teletubbyland, the Teletubbies go to the path to do the 
Jumping Dance by the Windmill. Then the Windmill starts to spin. The 
Teletubbies run down the path to watch the Magical Event of the L"&amp;"ion and 
Bear . The Sun Baby Giggles and The ""Tubby Bye-Bye"" sequence takes place 
and the Baby Sun sets. 
Featuring: Samye Adgo")</f>
        <v>Inside the Home Hill, Laa-Laa makes some adjustments on the control panel. 
Suddenly, the Magic Windmill spins. The Teletubbies watch Sam and his mum 
visit a Temple to hear the horns. Annie is teaching Sam how to play the 
horn. They have fun blowing it and making noises and Sam shows how the horn 
closes. Then, in Teletubbyland, the Teletubbies go to the path to do the 
Jumping Dance by the Windmill. Then the Windmill starts to spin. The 
Teletubbies run down the path to watch the Magical Event of the Lion and 
Bear . The Sun Baby Giggles and The "Tubby Bye-Bye" sequence takes place 
and the Baby Sun sets. 
Featuring: Samye Adgo</v>
      </c>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f>IFERROR(__xludf.DUMMYFUNCTION("""COMPUTED_VALUE"""),191.0)</f>
        <v>191</v>
      </c>
      <c r="B146" s="8" t="str">
        <f>IFERROR(__xludf.DUMMYFUNCTION("""COMPUTED_VALUE"""),"""Colours – Purple""")</f>
        <v>"Colours – Purple"</v>
      </c>
      <c r="C146" s="8" t="str">
        <f>IFERROR(__xludf.DUMMYFUNCTION("""COMPUTED_VALUE"""),"31 August 1998 (1998-08-31)")</f>
        <v>31 August 1998 (1998-08-31)</v>
      </c>
      <c r="D146" s="8"/>
      <c r="E146" s="8"/>
      <c r="F146" s="8"/>
      <c r="G146" s="8"/>
      <c r="H146" s="8"/>
      <c r="I146" s="8"/>
      <c r="J146" s="8"/>
      <c r="K146" s="8"/>
      <c r="L146" s="8"/>
      <c r="M146" s="8"/>
      <c r="N146" s="8"/>
      <c r="O146" s="8"/>
      <c r="P146" s="8"/>
      <c r="Q146" s="8"/>
      <c r="R146" s="8"/>
      <c r="S146" s="8"/>
      <c r="T146" s="8"/>
      <c r="U146" s="8"/>
      <c r="V146" s="8"/>
      <c r="W146" s="8"/>
      <c r="X146" s="8"/>
      <c r="Y146" s="8"/>
      <c r="Z146" s="8"/>
    </row>
    <row r="147">
      <c r="A147" s="8" t="str">
        <f>IFERROR(__xludf.DUMMYFUNCTION("""COMPUTED_VALUE"""),"Po listen to a voice trumpet say 'Purple' and she sees a purple cloud. The 
Teletubbbies watch children learn about the colour purple. A purple flower 
appears from far away in Teletubbyland. Laa-Laa and Dipsy don't like the 
smell of it but Tinky-Winky d"&amp;"oes. 
Featuring: The Children of Oxhey Infants School, Watford")</f>
        <v>Po listen to a voice trumpet say 'Purple' and she sees a purple cloud. The 
Teletubbbies watch children learn about the colour purple. A purple flower 
appears from far away in Teletubbyland. Laa-Laa and Dipsy don't like the 
smell of it but Tinky-Winky does. 
Featuring: The Children of Oxhey Infants School, Watford</v>
      </c>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f>IFERROR(__xludf.DUMMYFUNCTION("""COMPUTED_VALUE"""),192.0)</f>
        <v>192</v>
      </c>
      <c r="B148" s="8" t="str">
        <f>IFERROR(__xludf.DUMMYFUNCTION("""COMPUTED_VALUE"""),"""Ballet – Jack In The Box""")</f>
        <v>"Ballet – Jack In The Box"</v>
      </c>
      <c r="C148" s="8" t="str">
        <f>IFERROR(__xludf.DUMMYFUNCTION("""COMPUTED_VALUE"""),"1 September 1998 (1998-09-01)")</f>
        <v>1 September 1998 (1998-09-01)</v>
      </c>
      <c r="D148" s="8"/>
      <c r="E148" s="8"/>
      <c r="F148" s="8"/>
      <c r="G148" s="8"/>
      <c r="H148" s="8"/>
      <c r="I148" s="8"/>
      <c r="J148" s="8"/>
      <c r="K148" s="8"/>
      <c r="L148" s="8"/>
      <c r="M148" s="8"/>
      <c r="N148" s="8"/>
      <c r="O148" s="8"/>
      <c r="P148" s="8"/>
      <c r="Q148" s="8"/>
      <c r="R148" s="8"/>
      <c r="S148" s="8"/>
      <c r="T148" s="8"/>
      <c r="U148" s="8"/>
      <c r="V148" s="8"/>
      <c r="W148" s="8"/>
      <c r="X148" s="8"/>
      <c r="Y148" s="8"/>
      <c r="Z148" s="8"/>
    </row>
    <row r="149">
      <c r="A149" s="8" t="str">
        <f>IFERROR(__xludf.DUMMYFUNCTION("""COMPUTED_VALUE"""),"The Teletubbies are sitting at the table and saying; 'Eh-oh!' then a Voice 
trumpet rises and the Teletubbies bounce up and down on their seats to some 
piano music until the Magic Windmill spins and the Teletubbies watch some 
children perform a Jack in "&amp;"the Box dance, then a pair of curtains appears. 
Dipsy and Laa-Laa have great fun as the curtains open and close. 
Featuring: The Children of The Heidi Rhodes School of Dance")</f>
        <v>The Teletubbies are sitting at the table and saying; 'Eh-oh!' then a Voice 
trumpet rises and the Teletubbies bounce up and down on their seats to some 
piano music until the Magic Windmill spins and the Teletubbies watch some 
children perform a Jack in the Box dance, then a pair of curtains appears. 
Dipsy and Laa-Laa have great fun as the curtains open and close. 
Featuring: The Children of The Heidi Rhodes School of Dance</v>
      </c>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f>IFERROR(__xludf.DUMMYFUNCTION("""COMPUTED_VALUE"""),193.0)</f>
        <v>193</v>
      </c>
      <c r="B150" s="8" t="str">
        <f>IFERROR(__xludf.DUMMYFUNCTION("""COMPUTED_VALUE"""),"""Spiders""")</f>
        <v>"Spiders"</v>
      </c>
      <c r="C150" s="8" t="str">
        <f>IFERROR(__xludf.DUMMYFUNCTION("""COMPUTED_VALUE"""),"2 September 1998 (1998-09-02)")</f>
        <v>2 September 1998 (1998-09-02)</v>
      </c>
      <c r="D150" s="8"/>
      <c r="E150" s="8"/>
      <c r="F150" s="8"/>
      <c r="G150" s="8"/>
      <c r="H150" s="8"/>
      <c r="I150" s="8"/>
      <c r="J150" s="8"/>
      <c r="K150" s="8"/>
      <c r="L150" s="8"/>
      <c r="M150" s="8"/>
      <c r="N150" s="8"/>
      <c r="O150" s="8"/>
      <c r="P150" s="8"/>
      <c r="Q150" s="8"/>
      <c r="R150" s="8"/>
      <c r="S150" s="8"/>
      <c r="T150" s="8"/>
      <c r="U150" s="8"/>
      <c r="V150" s="8"/>
      <c r="W150" s="8"/>
      <c r="X150" s="8"/>
      <c r="Y150" s="8"/>
      <c r="Z150" s="8"/>
    </row>
    <row r="151">
      <c r="A151" s="8" t="str">
        <f>IFERROR(__xludf.DUMMYFUNCTION("""COMPUTED_VALUE"""),"The Teletubbies go to sleep in the Superdome then the Magic windmill 
started to spin and wakes them up. The Teletubbies watch Georgina and Andy 
look at a Spider in the Garden. Then in the Superdome Tinky Winky hears two 
Voice Trumpets say the nursery r"&amp;"hyme called Incy Wincy Spider. The Windmill 
starts spinning and the Animal Parade marches through Teletubbyland. The 
Teletubbies do a Calypso Dance before Tubby Bye Bye. 
Featuring: Andy Brown with Georgina Day")</f>
        <v>The Teletubbies go to sleep in the Superdome then the Magic windmill 
started to spin and wakes them up. The Teletubbies watch Georgina and Andy 
look at a Spider in the Garden. Then in the Superdome Tinky Winky hears two 
Voice Trumpets say the nursery rhyme called Incy Wincy Spider. The Windmill 
starts spinning and the Animal Parade marches through Teletubbyland. The 
Teletubbies do a Calypso Dance before Tubby Bye Bye. 
Featuring: Andy Brown with Georgina Day</v>
      </c>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f>IFERROR(__xludf.DUMMYFUNCTION("""COMPUTED_VALUE"""),194.0)</f>
        <v>194</v>
      </c>
      <c r="B152" s="8" t="str">
        <f>IFERROR(__xludf.DUMMYFUNCTION("""COMPUTED_VALUE"""),"""Blackberry Picking""")</f>
        <v>"Blackberry Picking"</v>
      </c>
      <c r="C152" s="8" t="str">
        <f>IFERROR(__xludf.DUMMYFUNCTION("""COMPUTED_VALUE"""),"2 September 1998 (1998-09-02)")</f>
        <v>2 September 1998 (1998-09-02)</v>
      </c>
      <c r="D152" s="8"/>
      <c r="E152" s="8"/>
      <c r="F152" s="8"/>
      <c r="G152" s="8"/>
      <c r="H152" s="8"/>
      <c r="I152" s="8"/>
      <c r="J152" s="8"/>
      <c r="K152" s="8"/>
      <c r="L152" s="8"/>
      <c r="M152" s="8"/>
      <c r="N152" s="8"/>
      <c r="O152" s="8"/>
      <c r="P152" s="8"/>
      <c r="Q152" s="8"/>
      <c r="R152" s="8"/>
      <c r="S152" s="8"/>
      <c r="T152" s="8"/>
      <c r="U152" s="8"/>
      <c r="V152" s="8"/>
      <c r="W152" s="8"/>
      <c r="X152" s="8"/>
      <c r="Y152" s="8"/>
      <c r="Z152" s="8"/>
    </row>
    <row r="153">
      <c r="A153" s="8" t="str">
        <f>IFERROR(__xludf.DUMMYFUNCTION("""COMPUTED_VALUE"""),"Po loves jumping. She jumps inside Home Hill. Then the magic windmill spins 
and she jumps off to watch some children go blackberry picking. Tinky 
Winky, Dipsy and Po play a hiding game while Laa-Laa is playing with her 
Ball. Then she found Tinky-Winky,"&amp;" Dipsy and Po by the bushes and say eh-oh 
to them until Po says eh-oh to Laa-Laa. Then they run for Laa-Laa by giving 
her a big hug until the magic windmill starts spinning and they run off to 
see the magic house, after that they do the tip toe dance b"&amp;"efore Tubby 
Bye-Bye. 
Featuring: Christabel &amp; Rose Cant, Beth Day and Harry &amp; Jack Jones")</f>
        <v>Po loves jumping. She jumps inside Home Hill. Then the magic windmill spins 
and she jumps off to watch some children go blackberry picking. Tinky 
Winky, Dipsy and Po play a hiding game while Laa-Laa is playing with her 
Ball. Then she found Tinky-Winky, Dipsy and Po by the bushes and say eh-oh 
to them until Po says eh-oh to Laa-Laa. Then they run for Laa-Laa by giving 
her a big hug until the magic windmill starts spinning and they run off to 
see the magic house, after that they do the tip toe dance before Tubby 
Bye-Bye. 
Featuring: Christabel &amp; Rose Cant, Beth Day and Harry &amp; Jack Jones</v>
      </c>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f>IFERROR(__xludf.DUMMYFUNCTION("""COMPUTED_VALUE"""),195.0)</f>
        <v>195</v>
      </c>
      <c r="B154" s="8" t="str">
        <f>IFERROR(__xludf.DUMMYFUNCTION("""COMPUTED_VALUE"""),"""Fancy Dress""")</f>
        <v>"Fancy Dress"</v>
      </c>
      <c r="C154" s="8" t="str">
        <f>IFERROR(__xludf.DUMMYFUNCTION("""COMPUTED_VALUE"""),"4 September 1998 (1998-09-04)")</f>
        <v>4 September 1998 (1998-09-04)</v>
      </c>
      <c r="D154" s="8"/>
      <c r="E154" s="8"/>
      <c r="F154" s="8"/>
      <c r="G154" s="8"/>
      <c r="H154" s="8"/>
      <c r="I154" s="8"/>
      <c r="J154" s="8"/>
      <c r="K154" s="8"/>
      <c r="L154" s="8"/>
      <c r="M154" s="8"/>
      <c r="N154" s="8"/>
      <c r="O154" s="8"/>
      <c r="P154" s="8"/>
      <c r="Q154" s="8"/>
      <c r="R154" s="8"/>
      <c r="S154" s="8"/>
      <c r="T154" s="8"/>
      <c r="U154" s="8"/>
      <c r="V154" s="8"/>
      <c r="W154" s="8"/>
      <c r="X154" s="8"/>
      <c r="Y154" s="8"/>
      <c r="Z154" s="8"/>
    </row>
    <row r="155">
      <c r="A155" s="8" t="str">
        <f>IFERROR(__xludf.DUMMYFUNCTION("""COMPUTED_VALUE"""),"Laa-Laa and Dipsy hug and run off to watch some children making some fancy 
dress clothes. A crown appears in Teletubbyland and when Tinky-Winky wears 
the crown he becomes King Tinky-Winky. He walks around Teletubbyland 
pretending to be king. 
Featuring"&amp;": Augustus Betz, Leia Kennedy, Duncan MacKinnon and Claire Sheil")</f>
        <v>Laa-Laa and Dipsy hug and run off to watch some children making some fancy 
dress clothes. A crown appears in Teletubbyland and when Tinky-Winky wears 
the crown he becomes King Tinky-Winky. He walks around Teletubbyland 
pretending to be king. 
Featuring: Augustus Betz, Leia Kennedy, Duncan MacKinnon and Claire Sheil</v>
      </c>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f>IFERROR(__xludf.DUMMYFUNCTION("""COMPUTED_VALUE"""),196.0)</f>
        <v>196</v>
      </c>
      <c r="B156" s="8" t="str">
        <f>IFERROR(__xludf.DUMMYFUNCTION("""COMPUTED_VALUE"""),"""Numbers – 5 (version 3)""")</f>
        <v>"Numbers – 5 (version 3)"</v>
      </c>
      <c r="C156" s="8" t="str">
        <f>IFERROR(__xludf.DUMMYFUNCTION("""COMPUTED_VALUE"""),"7 September 1998 (1998-09-07)")</f>
        <v>7 September 1998 (1998-09-07)</v>
      </c>
      <c r="D156" s="8"/>
      <c r="E156" s="8"/>
      <c r="F156" s="8"/>
      <c r="G156" s="8"/>
      <c r="H156" s="8"/>
      <c r="I156" s="8"/>
      <c r="J156" s="8"/>
      <c r="K156" s="8"/>
      <c r="L156" s="8"/>
      <c r="M156" s="8"/>
      <c r="N156" s="8"/>
      <c r="O156" s="8"/>
      <c r="P156" s="8"/>
      <c r="Q156" s="8"/>
      <c r="R156" s="8"/>
      <c r="S156" s="8"/>
      <c r="T156" s="8"/>
      <c r="U156" s="8"/>
      <c r="V156" s="8"/>
      <c r="W156" s="8"/>
      <c r="X156" s="8"/>
      <c r="Y156" s="8"/>
      <c r="Z156" s="8"/>
    </row>
    <row r="157">
      <c r="A157" s="8" t="str">
        <f>IFERROR(__xludf.DUMMYFUNCTION("""COMPUTED_VALUE"""),"A voice trumpet rises and counts five. Tinky Winky jumps five times and 
then runs off to watch some children learn about the number five. Five 
voice trumpets rise and play some lovely music for the Teletubbies. 
Featuring: The Children at Treasure Islan"&amp;"d School, Florida")</f>
        <v>A voice trumpet rises and counts five. Tinky Winky jumps five times and 
then runs off to watch some children learn about the number five. Five 
voice trumpets rise and play some lovely music for the Teletubbies. 
Featuring: The Children at Treasure Island School, Florida</v>
      </c>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f>IFERROR(__xludf.DUMMYFUNCTION("""COMPUTED_VALUE"""),197.0)</f>
        <v>197</v>
      </c>
      <c r="B158" s="8" t="str">
        <f>IFERROR(__xludf.DUMMYFUNCTION("""COMPUTED_VALUE"""),"""Rebecca's Dogs""")</f>
        <v>"Rebecca's Dogs"</v>
      </c>
      <c r="C158" s="8" t="str">
        <f>IFERROR(__xludf.DUMMYFUNCTION("""COMPUTED_VALUE"""),"8 September 1998 (1998-09-08)")</f>
        <v>8 September 1998 (1998-09-08)</v>
      </c>
      <c r="D158" s="8"/>
      <c r="E158" s="8"/>
      <c r="F158" s="8"/>
      <c r="G158" s="8"/>
      <c r="H158" s="8"/>
      <c r="I158" s="8"/>
      <c r="J158" s="8"/>
      <c r="K158" s="8"/>
      <c r="L158" s="8"/>
      <c r="M158" s="8"/>
      <c r="N158" s="8"/>
      <c r="O158" s="8"/>
      <c r="P158" s="8"/>
      <c r="Q158" s="8"/>
      <c r="R158" s="8"/>
      <c r="S158" s="8"/>
      <c r="T158" s="8"/>
      <c r="U158" s="8"/>
      <c r="V158" s="8"/>
      <c r="W158" s="8"/>
      <c r="X158" s="8"/>
      <c r="Y158" s="8"/>
      <c r="Z158" s="8"/>
    </row>
    <row r="159">
      <c r="A159" s="8" t="str">
        <f>IFERROR(__xludf.DUMMYFUNCTION("""COMPUTED_VALUE"""),"The Teletubbies run out the back door saying hello to the audience. Just as 
they stand outside, the Windmill starts spinning and they run off to watch 
a girl called Rebecca, who shows us her dogs doing some tricks. A swing 
appears in Teletubbyland and "&amp;"Laa-Laa plays on the swing. Po has a go but 
she keeps falling off. So Laa-Laa shows Po how to play. 
Featuring: Rebecca Winfield")</f>
        <v>The Teletubbies run out the back door saying hello to the audience. Just as 
they stand outside, the Windmill starts spinning and they run off to watch 
a girl called Rebecca, who shows us her dogs doing some tricks. A swing 
appears in Teletubbyland and Laa-Laa plays on the swing. Po has a go but 
she keeps falling off. So Laa-Laa shows Po how to play. 
Featuring: Rebecca Winfield</v>
      </c>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f>IFERROR(__xludf.DUMMYFUNCTION("""COMPUTED_VALUE"""),198.0)</f>
        <v>198</v>
      </c>
      <c r="B160" s="8" t="str">
        <f>IFERROR(__xludf.DUMMYFUNCTION("""COMPUTED_VALUE"""),"""Clogs""")</f>
        <v>"Clogs"</v>
      </c>
      <c r="C160" s="8" t="str">
        <f>IFERROR(__xludf.DUMMYFUNCTION("""COMPUTED_VALUE"""),"9 September 1998 (1998-09-09)")</f>
        <v>9 September 1998 (1998-09-09)</v>
      </c>
      <c r="D160" s="8"/>
      <c r="E160" s="8"/>
      <c r="F160" s="8"/>
      <c r="G160" s="8"/>
      <c r="H160" s="8"/>
      <c r="I160" s="8"/>
      <c r="J160" s="8"/>
      <c r="K160" s="8"/>
      <c r="L160" s="8"/>
      <c r="M160" s="8"/>
      <c r="N160" s="8"/>
      <c r="O160" s="8"/>
      <c r="P160" s="8"/>
      <c r="Q160" s="8"/>
      <c r="R160" s="8"/>
      <c r="S160" s="8"/>
      <c r="T160" s="8"/>
      <c r="U160" s="8"/>
      <c r="V160" s="8"/>
      <c r="W160" s="8"/>
      <c r="X160" s="8"/>
      <c r="Y160" s="8"/>
      <c r="Z160" s="8"/>
    </row>
    <row r="161">
      <c r="A161" s="8" t="str">
        <f>IFERROR(__xludf.DUMMYFUNCTION("""COMPUTED_VALUE"""),"A Voice Trumpet rises, and Tinky Winky plays a there-and-back game on the 
path. Some children watch clogs being made. Laa-Laa goes for a walk, but 
outside it is raining. She goes inside and chases the Noo Noo then catches 
the other Teletubbies to watch"&amp;" The Tap Dancing Teddy Bear inside the 
carousel, the Magic Windmill stops spinning and it is time for Tubby Bye 
Bye. 
Featuring: Gordon Rush, Paige &amp; Devon Gibson, Rosaleen Howorth and Jake 
Rigby")</f>
        <v>A Voice Trumpet rises, and Tinky Winky plays a there-and-back game on the 
path. Some children watch clogs being made. Laa-Laa goes for a walk, but 
outside it is raining. She goes inside and chases the Noo Noo then catches 
the other Teletubbies to watch The Tap Dancing Teddy Bear inside the 
carousel, the Magic Windmill stops spinning and it is time for Tubby Bye 
Bye. 
Featuring: Gordon Rush, Paige &amp; Devon Gibson, Rosaleen Howorth and Jake 
Rigby</v>
      </c>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f>IFERROR(__xludf.DUMMYFUNCTION("""COMPUTED_VALUE"""),199.0)</f>
        <v>199</v>
      </c>
      <c r="B162" s="8" t="str">
        <f>IFERROR(__xludf.DUMMYFUNCTION("""COMPUTED_VALUE"""),"""Cuddles Gets Lost""")</f>
        <v>"Cuddles Gets Lost"</v>
      </c>
      <c r="C162" s="8" t="str">
        <f>IFERROR(__xludf.DUMMYFUNCTION("""COMPUTED_VALUE"""),"10 September 1998 (1998-09-10)")</f>
        <v>10 September 1998 (1998-09-10)</v>
      </c>
      <c r="D162" s="8"/>
      <c r="E162" s="8"/>
      <c r="F162" s="8"/>
      <c r="G162" s="8"/>
      <c r="H162" s="8"/>
      <c r="I162" s="8"/>
      <c r="J162" s="8"/>
      <c r="K162" s="8"/>
      <c r="L162" s="8"/>
      <c r="M162" s="8"/>
      <c r="N162" s="8"/>
      <c r="O162" s="8"/>
      <c r="P162" s="8"/>
      <c r="Q162" s="8"/>
      <c r="R162" s="8"/>
      <c r="S162" s="8"/>
      <c r="T162" s="8"/>
      <c r="U162" s="8"/>
      <c r="V162" s="8"/>
      <c r="W162" s="8"/>
      <c r="X162" s="8"/>
      <c r="Y162" s="8"/>
      <c r="Z162" s="8"/>
    </row>
    <row r="163">
      <c r="A163" s="8" t="str">
        <f>IFERROR(__xludf.DUMMYFUNCTION("""COMPUTED_VALUE"""),"Laa Laa fetches the others to watch Brian Cant tell some children a story 
about a teddy bear called Cuddles. Laa Laa is playing with her ball then 
Tinky Winky and Dipsy are walking together and Po appears. They all 
wondered where Laa Laa was. and they "&amp;"found her and all the Teletubbies had 
a big hug. 
Featuring: Brian Cant, Aneesha Pomerenke, Sam Whitworth and Rachel Yip")</f>
        <v>Laa Laa fetches the others to watch Brian Cant tell some children a story 
about a teddy bear called Cuddles. Laa Laa is playing with her ball then 
Tinky Winky and Dipsy are walking together and Po appears. They all 
wondered where Laa Laa was. and they found her and all the Teletubbies had 
a big hug. 
Featuring: Brian Cant, Aneesha Pomerenke, Sam Whitworth and Rachel Yip</v>
      </c>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f>IFERROR(__xludf.DUMMYFUNCTION("""COMPUTED_VALUE"""),200.0)</f>
        <v>200</v>
      </c>
      <c r="B164" s="8" t="str">
        <f>IFERROR(__xludf.DUMMYFUNCTION("""COMPUTED_VALUE"""),"""Squeezy Painting""")</f>
        <v>"Squeezy Painting"</v>
      </c>
      <c r="C164" s="8" t="str">
        <f>IFERROR(__xludf.DUMMYFUNCTION("""COMPUTED_VALUE"""),"11 September 1998 (1998-09-11)")</f>
        <v>11 September 1998 (1998-09-11)</v>
      </c>
      <c r="D164" s="8"/>
      <c r="E164" s="8"/>
      <c r="F164" s="8"/>
      <c r="G164" s="8"/>
      <c r="H164" s="8"/>
      <c r="I164" s="8"/>
      <c r="J164" s="8"/>
      <c r="K164" s="8"/>
      <c r="L164" s="8"/>
      <c r="M164" s="8"/>
      <c r="N164" s="8"/>
      <c r="O164" s="8"/>
      <c r="P164" s="8"/>
      <c r="Q164" s="8"/>
      <c r="R164" s="8"/>
      <c r="S164" s="8"/>
      <c r="T164" s="8"/>
      <c r="U164" s="8"/>
      <c r="V164" s="8"/>
      <c r="W164" s="8"/>
      <c r="X164" s="8"/>
      <c r="Y164" s="8"/>
      <c r="Z164" s="8"/>
    </row>
    <row r="165">
      <c r="A165" s="8" t="str">
        <f>IFERROR(__xludf.DUMMYFUNCTION("""COMPUTED_VALUE"""),"Inside the Home Hill, Po has to eat her Tubby Custard, but the Magic 
Windmill stops her and she watches some children painting in a garden. 
After that, Po and the other Teletubbies prepare for some Tubby Custard 
again. The Teletubbies also try to be ve"&amp;"ry careful not to spill their Tubby 
Custard, but if they do, the Noo-Noo will have to tidy up. The Teletubbies 
have a big hug before Tubby Bye Bye. 
Featuring: Louise Condon with Julien Jallane, Leia Kennedy and Bernadette 
Marron")</f>
        <v>Inside the Home Hill, Po has to eat her Tubby Custard, but the Magic 
Windmill stops her and she watches some children painting in a garden. 
After that, Po and the other Teletubbies prepare for some Tubby Custard 
again. The Teletubbies also try to be very careful not to spill their Tubby 
Custard, but if they do, the Noo-Noo will have to tidy up. The Teletubbies 
have a big hug before Tubby Bye Bye. 
Featuring: Louise Condon with Julien Jallane, Leia Kennedy and Bernadette 
Marron</v>
      </c>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f>IFERROR(__xludf.DUMMYFUNCTION("""COMPUTED_VALUE"""),201.0)</f>
        <v>201</v>
      </c>
      <c r="B166" s="8" t="str">
        <f>IFERROR(__xludf.DUMMYFUNCTION("""COMPUTED_VALUE"""),"""Woodlice""")</f>
        <v>"Woodlice"</v>
      </c>
      <c r="C166" s="8" t="str">
        <f>IFERROR(__xludf.DUMMYFUNCTION("""COMPUTED_VALUE"""),"14 September 1998 (1998-09-14)")</f>
        <v>14 September 1998 (1998-09-14)</v>
      </c>
      <c r="D166" s="8"/>
      <c r="E166" s="8"/>
      <c r="F166" s="8"/>
      <c r="G166" s="8"/>
      <c r="H166" s="8"/>
      <c r="I166" s="8"/>
      <c r="J166" s="8"/>
      <c r="K166" s="8"/>
      <c r="L166" s="8"/>
      <c r="M166" s="8"/>
      <c r="N166" s="8"/>
      <c r="O166" s="8"/>
      <c r="P166" s="8"/>
      <c r="Q166" s="8"/>
      <c r="R166" s="8"/>
      <c r="S166" s="8"/>
      <c r="T166" s="8"/>
      <c r="U166" s="8"/>
      <c r="V166" s="8"/>
      <c r="W166" s="8"/>
      <c r="X166" s="8"/>
      <c r="Y166" s="8"/>
      <c r="Z166" s="8"/>
    </row>
    <row r="167">
      <c r="A167" s="8" t="str">
        <f>IFERROR(__xludf.DUMMYFUNCTION("""COMPUTED_VALUE"""),"Tinky Winky and Po give each other a Big Hug before the Magic Windmill 
spins, and the Teletubbies watch Andy Brown and some children looking for 
creatures. They find some woodlice under a log. Tinky Winky, Dipsy and 
Laa-Laa go in, and out of the rounda"&amp;"bout with the Tubbytronic Superdome. 
The Teletubbies play an in and out and roundabout game. 
Featuring: Andy Brown with Emily and Jack Baker, Josh Reynolds and Jodie 
Wiltshire")</f>
        <v>Tinky Winky and Po give each other a Big Hug before the Magic Windmill 
spins, and the Teletubbies watch Andy Brown and some children looking for 
creatures. They find some woodlice under a log. Tinky Winky, Dipsy and 
Laa-Laa go in, and out of the roundabout with the Tubbytronic Superdome. 
The Teletubbies play an in and out and roundabout game. 
Featuring: Andy Brown with Emily and Jack Baker, Josh Reynolds and Jodie 
Wiltshire</v>
      </c>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f>IFERROR(__xludf.DUMMYFUNCTION("""COMPUTED_VALUE"""),202.0)</f>
        <v>202</v>
      </c>
      <c r="B168" s="8" t="str">
        <f>IFERROR(__xludf.DUMMYFUNCTION("""COMPUTED_VALUE"""),"""Land Yachting""")</f>
        <v>"Land Yachting"</v>
      </c>
      <c r="C168" s="8" t="str">
        <f>IFERROR(__xludf.DUMMYFUNCTION("""COMPUTED_VALUE"""),"15 September 1998 (1998-09-15)")</f>
        <v>15 September 1998 (1998-09-15)</v>
      </c>
      <c r="D168" s="8"/>
      <c r="E168" s="8"/>
      <c r="F168" s="8"/>
      <c r="G168" s="8"/>
      <c r="H168" s="8"/>
      <c r="I168" s="8"/>
      <c r="J168" s="8"/>
      <c r="K168" s="8"/>
      <c r="L168" s="8"/>
      <c r="M168" s="8"/>
      <c r="N168" s="8"/>
      <c r="O168" s="8"/>
      <c r="P168" s="8"/>
      <c r="Q168" s="8"/>
      <c r="R168" s="8"/>
      <c r="S168" s="8"/>
      <c r="T168" s="8"/>
      <c r="U168" s="8"/>
      <c r="V168" s="8"/>
      <c r="W168" s="8"/>
      <c r="X168" s="8"/>
      <c r="Y168" s="8"/>
      <c r="Z168" s="8"/>
    </row>
    <row r="169">
      <c r="A169" s="8" t="str">
        <f>IFERROR(__xludf.DUMMYFUNCTION("""COMPUTED_VALUE"""),"Dipsy jumps indoors, then the Teletubbies run off to watch Annie and her 
dad land-yachting on a beach. The Teletubbies are having a very busy day 
until a big wind blows. The wind is so strong that it blows the Teletubbies 
favourite things away. The Tel"&amp;"etubbies decide to sing a Come back 
everything song and then the wind drops and their favourite things come 
back to them. The Teletubbies are very happy again. 
Featuring: Megan &amp; Abigail Gosbee and Annie &amp; Jim Moran")</f>
        <v>Dipsy jumps indoors, then the Teletubbies run off to watch Annie and her 
dad land-yachting on a beach. The Teletubbies are having a very busy day 
until a big wind blows. The wind is so strong that it blows the Teletubbies 
favourite things away. The Teletubbies decide to sing a Come back 
everything song and then the wind drops and their favourite things come 
back to them. The Teletubbies are very happy again. 
Featuring: Megan &amp; Abigail Gosbee and Annie &amp; Jim Moran</v>
      </c>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f>IFERROR(__xludf.DUMMYFUNCTION("""COMPUTED_VALUE"""),203.0)</f>
        <v>203</v>
      </c>
      <c r="B170" s="8" t="str">
        <f>IFERROR(__xludf.DUMMYFUNCTION("""COMPUTED_VALUE"""),"""Tropical Fish""")</f>
        <v>"Tropical Fish"</v>
      </c>
      <c r="C170" s="8" t="str">
        <f>IFERROR(__xludf.DUMMYFUNCTION("""COMPUTED_VALUE"""),"16 September 1998 (1998-09-16)")</f>
        <v>16 September 1998 (1998-09-16)</v>
      </c>
      <c r="D170" s="8"/>
      <c r="E170" s="8"/>
      <c r="F170" s="8"/>
      <c r="G170" s="8"/>
      <c r="H170" s="8"/>
      <c r="I170" s="8"/>
      <c r="J170" s="8"/>
      <c r="K170" s="8"/>
      <c r="L170" s="8"/>
      <c r="M170" s="8"/>
      <c r="N170" s="8"/>
      <c r="O170" s="8"/>
      <c r="P170" s="8"/>
      <c r="Q170" s="8"/>
      <c r="R170" s="8"/>
      <c r="S170" s="8"/>
      <c r="T170" s="8"/>
      <c r="U170" s="8"/>
      <c r="V170" s="8"/>
      <c r="W170" s="8"/>
      <c r="X170" s="8"/>
      <c r="Y170" s="8"/>
      <c r="Z170" s="8"/>
    </row>
    <row r="171">
      <c r="A171" s="8" t="str">
        <f>IFERROR(__xludf.DUMMYFUNCTION("""COMPUTED_VALUE"""),"The Teletubbies are asleep in bed. They sit up to listen as five voice 
trumpets rise playing some lovely music. The Teletubbies join hands and 
dance round and round in a circle. Then the Teletubbies watch a group of 
children at an aquarium store. They "&amp;"look in all the tanks at the different 
fish. Tinky Winky pretends to swim. He swims round the table, then swims 
off to find the other Teletubbies and the magical event with The Three 
Ships sailing past occurs before the Magic Windmill stops spinning an"&amp;"d it 
is time for Tubby Bye-Bye. 
Featuring: Sinead Gabriel and Donnette Harry")</f>
        <v>The Teletubbies are asleep in bed. They sit up to listen as five voice 
trumpets rise playing some lovely music. The Teletubbies join hands and 
dance round and round in a circle. Then the Teletubbies watch a group of 
children at an aquarium store. They look in all the tanks at the different 
fish. Tinky Winky pretends to swim. He swims round the table, then swims 
off to find the other Teletubbies and the magical event with The Three 
Ships sailing past occurs before the Magic Windmill stops spinning and it 
is time for Tubby Bye-Bye. 
Featuring: Sinead Gabriel and Donnette Harry</v>
      </c>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f>IFERROR(__xludf.DUMMYFUNCTION("""COMPUTED_VALUE"""),204.0)</f>
        <v>204</v>
      </c>
      <c r="B172" s="8" t="str">
        <f>IFERROR(__xludf.DUMMYFUNCTION("""COMPUTED_VALUE"""),"""My Piano""")</f>
        <v>"My Piano"</v>
      </c>
      <c r="C172" s="8" t="str">
        <f>IFERROR(__xludf.DUMMYFUNCTION("""COMPUTED_VALUE"""),"17 September 1998 (1998-09-17)")</f>
        <v>17 September 1998 (1998-09-17)</v>
      </c>
      <c r="D172" s="8"/>
      <c r="E172" s="8"/>
      <c r="F172" s="8"/>
      <c r="G172" s="8"/>
      <c r="H172" s="8"/>
      <c r="I172" s="8"/>
      <c r="J172" s="8"/>
      <c r="K172" s="8"/>
      <c r="L172" s="8"/>
      <c r="M172" s="8"/>
      <c r="N172" s="8"/>
      <c r="O172" s="8"/>
      <c r="P172" s="8"/>
      <c r="Q172" s="8"/>
      <c r="R172" s="8"/>
      <c r="S172" s="8"/>
      <c r="T172" s="8"/>
      <c r="U172" s="8"/>
      <c r="V172" s="8"/>
      <c r="W172" s="8"/>
      <c r="X172" s="8"/>
      <c r="Y172" s="8"/>
      <c r="Z172" s="8"/>
    </row>
    <row r="173">
      <c r="A173" s="8" t="str">
        <f>IFERROR(__xludf.DUMMYFUNCTION("""COMPUTED_VALUE"""),"Tinky Winky, Dipsy, Laa Laa and Po are playing with their favourite things 
on the path while listening to piano music from a Voice Trumpet before the 
Magic Windmill starts spinning, and the Teletubbies watch a little girl 
play her piano. A voice trumpe"&amp;"t makes a big roaring noise. Tinky Winky, 
Dipsy and Laa Laa have lots of fun running away from the Voice Trumpet's 
roars. 
Featuring: Bryony Kay")</f>
        <v>Tinky Winky, Dipsy, Laa Laa and Po are playing with their favourite things 
on the path while listening to piano music from a Voice Trumpet before the 
Magic Windmill starts spinning, and the Teletubbies watch a little girl 
play her piano. A voice trumpet makes a big roaring noise. Tinky Winky, 
Dipsy and Laa Laa have lots of fun running away from the Voice Trumpet's 
roars. 
Featuring: Bryony Kay</v>
      </c>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f>IFERROR(__xludf.DUMMYFUNCTION("""COMPUTED_VALUE"""),205.0)</f>
        <v>205</v>
      </c>
      <c r="B174" s="8" t="str">
        <f>IFERROR(__xludf.DUMMYFUNCTION("""COMPUTED_VALUE"""),"""Twirlers""")</f>
        <v>"Twirlers"</v>
      </c>
      <c r="C174" s="8" t="str">
        <f>IFERROR(__xludf.DUMMYFUNCTION("""COMPUTED_VALUE"""),"18 September 1998 (1998-09-18)")</f>
        <v>18 September 1998 (1998-09-18)</v>
      </c>
      <c r="D174" s="8"/>
      <c r="E174" s="8"/>
      <c r="F174" s="8"/>
      <c r="G174" s="8"/>
      <c r="H174" s="8"/>
      <c r="I174" s="8"/>
      <c r="J174" s="8"/>
      <c r="K174" s="8"/>
      <c r="L174" s="8"/>
      <c r="M174" s="8"/>
      <c r="N174" s="8"/>
      <c r="O174" s="8"/>
      <c r="P174" s="8"/>
      <c r="Q174" s="8"/>
      <c r="R174" s="8"/>
      <c r="S174" s="8"/>
      <c r="T174" s="8"/>
      <c r="U174" s="8"/>
      <c r="V174" s="8"/>
      <c r="W174" s="8"/>
      <c r="X174" s="8"/>
      <c r="Y174" s="8"/>
      <c r="Z174" s="8"/>
    </row>
    <row r="175">
      <c r="A175" s="8" t="str">
        <f>IFERROR(__xludf.DUMMYFUNCTION("""COMPUTED_VALUE"""),"Tinky Winky listens to a voice trumpet make the sound of a whistle blowing 
and he runs away from the repeating noise. The Teletubbies watch some 
children marching and dancing with Twirlers. Then the Teletubbies march 
with their Favourite Things, after "&amp;"that the Windmill starts to spin and the 
Teletubbies watch The Animal Parade, then the Windmill stops spinning for 
Tubby Bye-Bye. 
Featuring: Pouneh Almasi, Annette Borg, Gabriella Franco, Mary &amp; Charlie 
Sands and Carrie &amp; Joliene Wade")</f>
        <v>Tinky Winky listens to a voice trumpet make the sound of a whistle blowing 
and he runs away from the repeating noise. The Teletubbies watch some 
children marching and dancing with Twirlers. Then the Teletubbies march 
with their Favourite Things, after that the Windmill starts to spin and the 
Teletubbies watch The Animal Parade, then the Windmill stops spinning for 
Tubby Bye-Bye. 
Featuring: Pouneh Almasi, Annette Borg, Gabriella Franco, Mary &amp; Charlie 
Sands and Carrie &amp; Joliene Wade</v>
      </c>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f>IFERROR(__xludf.DUMMYFUNCTION("""COMPUTED_VALUE"""),206.0)</f>
        <v>206</v>
      </c>
      <c r="B176" s="8" t="str">
        <f>IFERROR(__xludf.DUMMYFUNCTION("""COMPUTED_VALUE"""),"""The Very Proud Crown""")</f>
        <v>"The Very Proud Crown"</v>
      </c>
      <c r="C176" s="8" t="str">
        <f>IFERROR(__xludf.DUMMYFUNCTION("""COMPUTED_VALUE"""),"21 September 1998 (1998-09-21)")</f>
        <v>21 September 1998 (1998-09-21)</v>
      </c>
      <c r="D176" s="8"/>
      <c r="E176" s="8"/>
      <c r="F176" s="8"/>
      <c r="G176" s="8"/>
      <c r="H176" s="8"/>
      <c r="I176" s="8"/>
      <c r="J176" s="8"/>
      <c r="K176" s="8"/>
      <c r="L176" s="8"/>
      <c r="M176" s="8"/>
      <c r="N176" s="8"/>
      <c r="O176" s="8"/>
      <c r="P176" s="8"/>
      <c r="Q176" s="8"/>
      <c r="R176" s="8"/>
      <c r="S176" s="8"/>
      <c r="T176" s="8"/>
      <c r="U176" s="8"/>
      <c r="V176" s="8"/>
      <c r="W176" s="8"/>
      <c r="X176" s="8"/>
      <c r="Y176" s="8"/>
      <c r="Z176" s="8"/>
    </row>
    <row r="177">
      <c r="A177" s="8" t="str">
        <f>IFERROR(__xludf.DUMMYFUNCTION("""COMPUTED_VALUE"""),"Tinky Winky comes down the slide and says 'eh-oh!' to Po. A voice trumpet 
comes up and plays some music. Tinky Winky and Po dance around the inside 
of Home Hill until the Magic Windmill spins and the Teletubbies Watch 
Tamzin Griffin pretending to be th"&amp;"e Funny Lady and telling a story of a 
very proud crown. Laa Laa invites Dipsy to go for a walk over the hills. 
Featuring: Tamzin Griffin, The Children of Ravenor Infant's School, 
Greenford")</f>
        <v>Tinky Winky comes down the slide and says 'eh-oh!' to Po. A voice trumpet 
comes up and plays some music. Tinky Winky and Po dance around the inside 
of Home Hill until the Magic Windmill spins and the Teletubbies Watch 
Tamzin Griffin pretending to be the Funny Lady and telling a story of a 
very proud crown. Laa Laa invites Dipsy to go for a walk over the hills. 
Featuring: Tamzin Griffin, The Children of Ravenor Infant's School, 
Greenford</v>
      </c>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f>IFERROR(__xludf.DUMMYFUNCTION("""COMPUTED_VALUE"""),207.0)</f>
        <v>207</v>
      </c>
      <c r="B178" s="8" t="str">
        <f>IFERROR(__xludf.DUMMYFUNCTION("""COMPUTED_VALUE"""),"""Boom Boom Dance""")</f>
        <v>"Boom Boom Dance"</v>
      </c>
      <c r="C178" s="8" t="str">
        <f>IFERROR(__xludf.DUMMYFUNCTION("""COMPUTED_VALUE"""),"22 September 1998 (1998-09-22)")</f>
        <v>22 September 1998 (1998-09-22)</v>
      </c>
      <c r="D178" s="8"/>
      <c r="E178" s="8"/>
      <c r="F178" s="8"/>
      <c r="G178" s="8"/>
      <c r="H178" s="8"/>
      <c r="I178" s="8"/>
      <c r="J178" s="8"/>
      <c r="K178" s="8"/>
      <c r="L178" s="8"/>
      <c r="M178" s="8"/>
      <c r="N178" s="8"/>
      <c r="O178" s="8"/>
      <c r="P178" s="8"/>
      <c r="Q178" s="8"/>
      <c r="R178" s="8"/>
      <c r="S178" s="8"/>
      <c r="T178" s="8"/>
      <c r="U178" s="8"/>
      <c r="V178" s="8"/>
      <c r="W178" s="8"/>
      <c r="X178" s="8"/>
      <c r="Y178" s="8"/>
      <c r="Z178" s="8"/>
    </row>
    <row r="179">
      <c r="A179" s="8" t="str">
        <f>IFERROR(__xludf.DUMMYFUNCTION("""COMPUTED_VALUE"""),"The Teletubbies all sit down on a hill before watching some people do a 
dance called ""The Boom-Boom Dance"" to bongo music. In Teletubbyland, 
Tinky-Winky is sleeping and he does the Boom-Boom dance when he wakes up. 
Dipsy is going on a walk, and then "&amp;"does the Boom-boom dance. Laa-Laa is 
eating Tubby toast and then does the Boom-Boom dance. Po is riding on her 
scooter, and then does the Boom-Boom dance. The Teletubbies meet up and do 
the Boom-Boom dance together, even the Noo-Noo joins in. The ""Tub"&amp;"by 
Bye-Bye"" sequence takes place and The Baby Sun sets. 
Featuring: The Kokuma Dance Company, The Children of Birmingham Settlement 
Nursery")</f>
        <v>The Teletubbies all sit down on a hill before watching some people do a 
dance called "The Boom-Boom Dance" to bongo music. In Teletubbyland, 
Tinky-Winky is sleeping and he does the Boom-Boom dance when he wakes up. 
Dipsy is going on a walk, and then does the Boom-boom dance. Laa-Laa is 
eating Tubby toast and then does the Boom-Boom dance. Po is riding on her 
scooter, and then does the Boom-Boom dance. The Teletubbies meet up and do 
the Boom-Boom dance together, even the Noo-Noo joins in. The "Tubby 
Bye-Bye" sequence takes place and The Baby Sun sets. 
Featuring: The Kokuma Dance Company, The Children of Birmingham Settlement 
Nursery</v>
      </c>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f>IFERROR(__xludf.DUMMYFUNCTION("""COMPUTED_VALUE"""),208.0)</f>
        <v>208</v>
      </c>
      <c r="B180" s="8" t="str">
        <f>IFERROR(__xludf.DUMMYFUNCTION("""COMPUTED_VALUE"""),"""Peacocks""")</f>
        <v>"Peacocks"</v>
      </c>
      <c r="C180" s="8" t="str">
        <f>IFERROR(__xludf.DUMMYFUNCTION("""COMPUTED_VALUE"""),"23 September 1998 (1998-09-23)")</f>
        <v>23 September 1998 (1998-09-23)</v>
      </c>
      <c r="D180" s="8"/>
      <c r="E180" s="8"/>
      <c r="F180" s="8"/>
      <c r="G180" s="8"/>
      <c r="H180" s="8"/>
      <c r="I180" s="8"/>
      <c r="J180" s="8"/>
      <c r="K180" s="8"/>
      <c r="L180" s="8"/>
      <c r="M180" s="8"/>
      <c r="N180" s="8"/>
      <c r="O180" s="8"/>
      <c r="P180" s="8"/>
      <c r="Q180" s="8"/>
      <c r="R180" s="8"/>
      <c r="S180" s="8"/>
      <c r="T180" s="8"/>
      <c r="U180" s="8"/>
      <c r="V180" s="8"/>
      <c r="W180" s="8"/>
      <c r="X180" s="8"/>
      <c r="Y180" s="8"/>
      <c r="Z180" s="8"/>
    </row>
    <row r="181">
      <c r="A181" s="8" t="str">
        <f>IFERROR(__xludf.DUMMYFUNCTION("""COMPUTED_VALUE"""),"In Teletubbyland Dipsy came in to say eh-oh then run back out to fetch the 
others back inside before they say eh-oh also. Then they bump their tummies 
before giving Big hugs. Then the magic windmill starts spinning and they 
rushed out to watch Andy Bro"&amp;"wn and some children looking at peacocks. Then 
the windmill spins again and they arrived to watch the magical tree that 
appears in Teletubbyland. A voice trumpet rises and Laa Laa and Po march to 
the music and the ""Tubby Bye-Bye"" sequence takes place"&amp;". 
Featuring: Andy Brown with Harriet Spilsbury and Philip Taylor")</f>
        <v>In Teletubbyland Dipsy came in to say eh-oh then run back out to fetch the 
others back inside before they say eh-oh also. Then they bump their tummies 
before giving Big hugs. Then the magic windmill starts spinning and they 
rushed out to watch Andy Brown and some children looking at peacocks. Then 
the windmill spins again and they arrived to watch the magical tree that 
appears in Teletubbyland. A voice trumpet rises and Laa Laa and Po march to 
the music and the "Tubby Bye-Bye" sequence takes place. 
Featuring: Andy Brown with Harriet Spilsbury and Philip Taylor</v>
      </c>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f>IFERROR(__xludf.DUMMYFUNCTION("""COMPUTED_VALUE"""),209.0)</f>
        <v>209</v>
      </c>
      <c r="B182" s="8" t="str">
        <f>IFERROR(__xludf.DUMMYFUNCTION("""COMPUTED_VALUE"""),"""Numbers – 6 (version 2)""")</f>
        <v>"Numbers – 6 (version 2)"</v>
      </c>
      <c r="C182" s="8" t="str">
        <f>IFERROR(__xludf.DUMMYFUNCTION("""COMPUTED_VALUE"""),"24 September 1998 (1998-09-24)")</f>
        <v>24 September 1998 (1998-09-24)</v>
      </c>
      <c r="D182" s="8"/>
      <c r="E182" s="8"/>
      <c r="F182" s="8"/>
      <c r="G182" s="8"/>
      <c r="H182" s="8"/>
      <c r="I182" s="8"/>
      <c r="J182" s="8"/>
      <c r="K182" s="8"/>
      <c r="L182" s="8"/>
      <c r="M182" s="8"/>
      <c r="N182" s="8"/>
      <c r="O182" s="8"/>
      <c r="P182" s="8"/>
      <c r="Q182" s="8"/>
      <c r="R182" s="8"/>
      <c r="S182" s="8"/>
      <c r="T182" s="8"/>
      <c r="U182" s="8"/>
      <c r="V182" s="8"/>
      <c r="W182" s="8"/>
      <c r="X182" s="8"/>
      <c r="Y182" s="8"/>
      <c r="Z182" s="8"/>
    </row>
    <row r="183">
      <c r="A183" s="8" t="str">
        <f>IFERROR(__xludf.DUMMYFUNCTION("""COMPUTED_VALUE"""),"Inside the Home Hill, the Teletubbies were having Tubby Toast, but there's 
no toast for Laa Laa after she pushed a button. So Laa Laa pushes a button 
again, and Laa Laa still doesn't have toast. Laa Laa tries again one more 
time. But there's still toas"&amp;"t for Laa Laa. Laa Laa was very sad, and she 
sings about Tubby Toast very sadly. So Tinky Winky, Dipsy and Po decided to 
share their toast with Laa Laa. And Laa Laa has six toast on her plate. And 
Laa Laa was happy again. Then the Magic Windmill starts"&amp;" spinning and the 
Teletubbies run off to watch some children learn about the number six 
before the Sun baby giggles for Tubby Bye Bye. 
Featuring: The Children of Duncombe School, London")</f>
        <v>Inside the Home Hill, the Teletubbies were having Tubby Toast, but there's 
no toast for Laa Laa after she pushed a button. So Laa Laa pushes a button 
again, and Laa Laa still doesn't have toast. Laa Laa tries again one more 
time. But there's still toast for Laa Laa. Laa Laa was very sad, and she 
sings about Tubby Toast very sadly. So Tinky Winky, Dipsy and Po decided to 
share their toast with Laa Laa. And Laa Laa has six toast on her plate. And 
Laa Laa was happy again. Then the Magic Windmill starts spinning and the 
Teletubbies run off to watch some children learn about the number six 
before the Sun baby giggles for Tubby Bye Bye. 
Featuring: The Children of Duncombe School, London</v>
      </c>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f>IFERROR(__xludf.DUMMYFUNCTION("""COMPUTED_VALUE"""),210.0)</f>
        <v>210</v>
      </c>
      <c r="B184" s="8" t="str">
        <f>IFERROR(__xludf.DUMMYFUNCTION("""COMPUTED_VALUE"""),"""Basketball""")</f>
        <v>"Basketball"</v>
      </c>
      <c r="C184" s="8" t="str">
        <f>IFERROR(__xludf.DUMMYFUNCTION("""COMPUTED_VALUE"""),"25 September 1998 (1998-09-25)")</f>
        <v>25 September 1998 (1998-09-25)</v>
      </c>
      <c r="D184" s="8"/>
      <c r="E184" s="8"/>
      <c r="F184" s="8"/>
      <c r="G184" s="8"/>
      <c r="H184" s="8"/>
      <c r="I184" s="8"/>
      <c r="J184" s="8"/>
      <c r="K184" s="8"/>
      <c r="L184" s="8"/>
      <c r="M184" s="8"/>
      <c r="N184" s="8"/>
      <c r="O184" s="8"/>
      <c r="P184" s="8"/>
      <c r="Q184" s="8"/>
      <c r="R184" s="8"/>
      <c r="S184" s="8"/>
      <c r="T184" s="8"/>
      <c r="U184" s="8"/>
      <c r="V184" s="8"/>
      <c r="W184" s="8"/>
      <c r="X184" s="8"/>
      <c r="Y184" s="8"/>
      <c r="Z184" s="8"/>
    </row>
    <row r="185">
      <c r="A185" s="8" t="str">
        <f>IFERROR(__xludf.DUMMYFUNCTION("""COMPUTED_VALUE"""),"The Teletubbies put their arms in the air with a Voice Trumpet, then the 
Magic Windmill started to spin, so they go see some basketball. The little 
boy got a basket, yay for him! Then the Teletubbies have Tubby Toast, 
except for Tinky Winky, because hi"&amp;"s toast was on the floor, so Noo-Noo 
cleans it up, then the Teletubbies chase him around for a hug, then the 
magic windmill started to spin again. When they say uh-oh, they rush off to 
see the dancing bear in a stage to end the episode. After the Danci"&amp;"ng Bear 
had finished, the Magic Windmill stopped spinning and it was time for Tubby 
Bye Bye. 
Featuring: Jordan &amp; Philip Mathews")</f>
        <v>The Teletubbies put their arms in the air with a Voice Trumpet, then the 
Magic Windmill started to spin, so they go see some basketball. The little 
boy got a basket, yay for him! Then the Teletubbies have Tubby Toast, 
except for Tinky Winky, because his toast was on the floor, so Noo-Noo 
cleans it up, then the Teletubbies chase him around for a hug, then the 
magic windmill started to spin again. When they say uh-oh, they rush off to 
see the dancing bear in a stage to end the episode. After the Dancing Bear 
had finished, the Magic Windmill stopped spinning and it was time for Tubby 
Bye Bye. 
Featuring: Jordan &amp; Philip Mathews</v>
      </c>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f>IFERROR(__xludf.DUMMYFUNCTION("""COMPUTED_VALUE"""),211.0)</f>
        <v>211</v>
      </c>
      <c r="B186" s="8" t="str">
        <f>IFERROR(__xludf.DUMMYFUNCTION("""COMPUTED_VALUE"""),"""Rangoli""")</f>
        <v>"Rangoli"</v>
      </c>
      <c r="C186" s="8" t="str">
        <f>IFERROR(__xludf.DUMMYFUNCTION("""COMPUTED_VALUE"""),"28 September 1998 (1998-09-28)")</f>
        <v>28 September 1998 (1998-09-28)</v>
      </c>
      <c r="D186" s="8"/>
      <c r="E186" s="8"/>
      <c r="F186" s="8"/>
      <c r="G186" s="8"/>
      <c r="H186" s="8"/>
      <c r="I186" s="8"/>
      <c r="J186" s="8"/>
      <c r="K186" s="8"/>
      <c r="L186" s="8"/>
      <c r="M186" s="8"/>
      <c r="N186" s="8"/>
      <c r="O186" s="8"/>
      <c r="P186" s="8"/>
      <c r="Q186" s="8"/>
      <c r="R186" s="8"/>
      <c r="S186" s="8"/>
      <c r="T186" s="8"/>
      <c r="U186" s="8"/>
      <c r="V186" s="8"/>
      <c r="W186" s="8"/>
      <c r="X186" s="8"/>
      <c r="Y186" s="8"/>
      <c r="Z186" s="8"/>
    </row>
    <row r="187">
      <c r="A187" s="8" t="str">
        <f>IFERROR(__xludf.DUMMYFUNCTION("""COMPUTED_VALUE"""),"The Teletubbies walk in and out before the Magic Windmill spins and the 
Teletubbies watch a little boy and his mum paint some Rangoli pictures for 
the Hindu and Sikh festival of Diwali. A decoration appears in 
Teletubbyland. The Tubbies think the decor"&amp;"ation is very decorative, but 
Dipsy is not too pleased when the decoration decorates him! 
Featuring: Rikesh Karsan")</f>
        <v>The Teletubbies walk in and out before the Magic Windmill spins and the 
Teletubbies watch a little boy and his mum paint some Rangoli pictures for 
the Hindu and Sikh festival of Diwali. A decoration appears in 
Teletubbyland. The Tubbies think the decoration is very decorative, but 
Dipsy is not too pleased when the decoration decorates him! 
Featuring: Rikesh Karsan</v>
      </c>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f>IFERROR(__xludf.DUMMYFUNCTION("""COMPUTED_VALUE"""),212.0)</f>
        <v>212</v>
      </c>
      <c r="B188" s="8" t="str">
        <f>IFERROR(__xludf.DUMMYFUNCTION("""COMPUTED_VALUE"""),"""Frogs""")</f>
        <v>"Frogs"</v>
      </c>
      <c r="C188" s="8" t="str">
        <f>IFERROR(__xludf.DUMMYFUNCTION("""COMPUTED_VALUE"""),"29 September 1998 (1998-09-29)")</f>
        <v>29 September 1998 (1998-09-29)</v>
      </c>
      <c r="D188" s="8"/>
      <c r="E188" s="8"/>
      <c r="F188" s="8"/>
      <c r="G188" s="8"/>
      <c r="H188" s="8"/>
      <c r="I188" s="8"/>
      <c r="J188" s="8"/>
      <c r="K188" s="8"/>
      <c r="L188" s="8"/>
      <c r="M188" s="8"/>
      <c r="N188" s="8"/>
      <c r="O188" s="8"/>
      <c r="P188" s="8"/>
      <c r="Q188" s="8"/>
      <c r="R188" s="8"/>
      <c r="S188" s="8"/>
      <c r="T188" s="8"/>
      <c r="U188" s="8"/>
      <c r="V188" s="8"/>
      <c r="W188" s="8"/>
      <c r="X188" s="8"/>
      <c r="Y188" s="8"/>
      <c r="Z188" s="8"/>
    </row>
    <row r="189">
      <c r="A189" s="8" t="str">
        <f>IFERROR(__xludf.DUMMYFUNCTION("""COMPUTED_VALUE"""),"The Teletubbies watch Andy Brown and two children looking into a pool of 
frogs. Laa-Laa looks at the flowers, but Dipsy keeps getting in the way. 
Featuring: Andy Brown with Emily &amp; Jack Baker")</f>
        <v>The Teletubbies watch Andy Brown and two children looking into a pool of 
frogs. Laa-Laa looks at the flowers, but Dipsy keeps getting in the way. 
Featuring: Andy Brown with Emily &amp; Jack Baker</v>
      </c>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f>IFERROR(__xludf.DUMMYFUNCTION("""COMPUTED_VALUE"""),213.0)</f>
        <v>213</v>
      </c>
      <c r="B190" s="8" t="str">
        <f>IFERROR(__xludf.DUMMYFUNCTION("""COMPUTED_VALUE"""),"""Old King Cole""")</f>
        <v>"Old King Cole"</v>
      </c>
      <c r="C190" s="8" t="str">
        <f>IFERROR(__xludf.DUMMYFUNCTION("""COMPUTED_VALUE"""),"30 September 1998 (1998-09-30)")</f>
        <v>30 September 1998 (1998-09-30)</v>
      </c>
      <c r="D190" s="8"/>
      <c r="E190" s="8"/>
      <c r="F190" s="8"/>
      <c r="G190" s="8"/>
      <c r="H190" s="8"/>
      <c r="I190" s="8"/>
      <c r="J190" s="8"/>
      <c r="K190" s="8"/>
      <c r="L190" s="8"/>
      <c r="M190" s="8"/>
      <c r="N190" s="8"/>
      <c r="O190" s="8"/>
      <c r="P190" s="8"/>
      <c r="Q190" s="8"/>
      <c r="R190" s="8"/>
      <c r="S190" s="8"/>
      <c r="T190" s="8"/>
      <c r="U190" s="8"/>
      <c r="V190" s="8"/>
      <c r="W190" s="8"/>
      <c r="X190" s="8"/>
      <c r="Y190" s="8"/>
      <c r="Z190" s="8"/>
    </row>
    <row r="191">
      <c r="A191" s="8" t="str">
        <f>IFERROR(__xludf.DUMMYFUNCTION("""COMPUTED_VALUE"""),"Laa-Laa watches some children sing and act out the nursery rhyme Old King 
Cole. Then the Teletubbies act out their own version of Old King Cole. 
Featuring: The Children of Hardwick Primary School, Banbury")</f>
        <v>Laa-Laa watches some children sing and act out the nursery rhyme Old King 
Cole. Then the Teletubbies act out their own version of Old King Cole. 
Featuring: The Children of Hardwick Primary School, Banbury</v>
      </c>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f>IFERROR(__xludf.DUMMYFUNCTION("""COMPUTED_VALUE"""),214.0)</f>
        <v>214</v>
      </c>
      <c r="B192" s="8" t="str">
        <f>IFERROR(__xludf.DUMMYFUNCTION("""COMPUTED_VALUE"""),"""Jigsaw – Elephant""")</f>
        <v>"Jigsaw – Elephant"</v>
      </c>
      <c r="C192" s="8" t="str">
        <f>IFERROR(__xludf.DUMMYFUNCTION("""COMPUTED_VALUE"""),"1 October 1998 (1998-10-01)")</f>
        <v>1 October 1998 (1998-10-01)</v>
      </c>
      <c r="D192" s="8"/>
      <c r="E192" s="8"/>
      <c r="F192" s="8"/>
      <c r="G192" s="8"/>
      <c r="H192" s="8"/>
      <c r="I192" s="8"/>
      <c r="J192" s="8"/>
      <c r="K192" s="8"/>
      <c r="L192" s="8"/>
      <c r="M192" s="8"/>
      <c r="N192" s="8"/>
      <c r="O192" s="8"/>
      <c r="P192" s="8"/>
      <c r="Q192" s="8"/>
      <c r="R192" s="8"/>
      <c r="S192" s="8"/>
      <c r="T192" s="8"/>
      <c r="U192" s="8"/>
      <c r="V192" s="8"/>
      <c r="W192" s="8"/>
      <c r="X192" s="8"/>
      <c r="Y192" s="8"/>
      <c r="Z192" s="8"/>
    </row>
    <row r="193">
      <c r="A193" s="8" t="str">
        <f>IFERROR(__xludf.DUMMYFUNCTION("""COMPUTED_VALUE"""),"Inside the Teletubbies' Superdome, the Teletubbies giggle together as they 
hold hands and side step around Home Hill. Then they rush outside to watch 
three children build a jigsaw puzzle of an elephant. Later, the Bear and 
Lion appear and play hide and"&amp;" seek in Teletubbyland before the Magic 
Windmill stops spinning and it is time for Tubby Bye-Bye. 
Featuring: Aaron Ellis, Danielle Miller and Sally Sadler")</f>
        <v>Inside the Teletubbies' Superdome, the Teletubbies giggle together as they 
hold hands and side step around Home Hill. Then they rush outside to watch 
three children build a jigsaw puzzle of an elephant. Later, the Bear and 
Lion appear and play hide and seek in Teletubbyland before the Magic 
Windmill stops spinning and it is time for Tubby Bye-Bye. 
Featuring: Aaron Ellis, Danielle Miller and Sally Sadler</v>
      </c>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f>IFERROR(__xludf.DUMMYFUNCTION("""COMPUTED_VALUE"""),215.0)</f>
        <v>215</v>
      </c>
      <c r="B194" s="8" t="str">
        <f>IFERROR(__xludf.DUMMYFUNCTION("""COMPUTED_VALUE"""),"""Naughty Soap""")</f>
        <v>"Naughty Soap"</v>
      </c>
      <c r="C194" s="8" t="str">
        <f>IFERROR(__xludf.DUMMYFUNCTION("""COMPUTED_VALUE"""),"2 October 1998 (1998-10-02)")</f>
        <v>2 October 1998 (1998-10-02)</v>
      </c>
      <c r="D194" s="8"/>
      <c r="E194" s="8"/>
      <c r="F194" s="8"/>
      <c r="G194" s="8"/>
      <c r="H194" s="8"/>
      <c r="I194" s="8"/>
      <c r="J194" s="8"/>
      <c r="K194" s="8"/>
      <c r="L194" s="8"/>
      <c r="M194" s="8"/>
      <c r="N194" s="8"/>
      <c r="O194" s="8"/>
      <c r="P194" s="8"/>
      <c r="Q194" s="8"/>
      <c r="R194" s="8"/>
      <c r="S194" s="8"/>
      <c r="T194" s="8"/>
      <c r="U194" s="8"/>
      <c r="V194" s="8"/>
      <c r="W194" s="8"/>
      <c r="X194" s="8"/>
      <c r="Y194" s="8"/>
      <c r="Z194" s="8"/>
    </row>
    <row r="195">
      <c r="A195" s="8" t="str">
        <f>IFERROR(__xludf.DUMMYFUNCTION("""COMPUTED_VALUE"""),"The Noo Noo helps Po wash with her Tubby sponge. Meanwhile, funny lady 
Tamzin Griffin tells the story of a silly, soppy soap. 
Featuring: Tamzin Griffin, The Children of Chater Infants School, Watford")</f>
        <v>The Noo Noo helps Po wash with her Tubby sponge. Meanwhile, funny lady 
Tamzin Griffin tells the story of a silly, soppy soap. 
Featuring: Tamzin Griffin, The Children of Chater Infants School, Watford</v>
      </c>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f>IFERROR(__xludf.DUMMYFUNCTION("""COMPUTED_VALUE"""),216.0)</f>
        <v>216</v>
      </c>
      <c r="B196" s="8" t="str">
        <f>IFERROR(__xludf.DUMMYFUNCTION("""COMPUTED_VALUE"""),"""Dad's Portrait""")</f>
        <v>"Dad's Portrait"</v>
      </c>
      <c r="C196" s="8" t="str">
        <f>IFERROR(__xludf.DUMMYFUNCTION("""COMPUTED_VALUE"""),"5 October 1998 (1998-10-05)")</f>
        <v>5 October 1998 (1998-10-05)</v>
      </c>
      <c r="D196" s="8"/>
      <c r="E196" s="8"/>
      <c r="F196" s="8"/>
      <c r="G196" s="8"/>
      <c r="H196" s="8"/>
      <c r="I196" s="8"/>
      <c r="J196" s="8"/>
      <c r="K196" s="8"/>
      <c r="L196" s="8"/>
      <c r="M196" s="8"/>
      <c r="N196" s="8"/>
      <c r="O196" s="8"/>
      <c r="P196" s="8"/>
      <c r="Q196" s="8"/>
      <c r="R196" s="8"/>
      <c r="S196" s="8"/>
      <c r="T196" s="8"/>
      <c r="U196" s="8"/>
      <c r="V196" s="8"/>
      <c r="W196" s="8"/>
      <c r="X196" s="8"/>
      <c r="Y196" s="8"/>
      <c r="Z196" s="8"/>
    </row>
    <row r="197">
      <c r="A197" s="8" t="str">
        <f>IFERROR(__xludf.DUMMYFUNCTION("""COMPUTED_VALUE"""),"The Teletubbies hide from Noo-Noo, whenever Noo-Noo looks to see whats 
behind him the Teletubbies go back to their hiding places. They come out 
from their hiding places when it is time for the video clip. The 
Teletubbies watch a girl painting a picture"&amp;" of her dad and repeatedly dance 
to a voice trumpet singing the nursery rhyme Here We Go Looby Loo. Then the 
Windmill stops spinning and it is time for Tubby Bye-Bye. 
Featuring: Thena and Peter Mimmack")</f>
        <v>The Teletubbies hide from Noo-Noo, whenever Noo-Noo looks to see whats 
behind him the Teletubbies go back to their hiding places. They come out 
from their hiding places when it is time for the video clip. The 
Teletubbies watch a girl painting a picture of her dad and repeatedly dance 
to a voice trumpet singing the nursery rhyme Here We Go Looby Loo. Then the 
Windmill stops spinning and it is time for Tubby Bye-Bye. 
Featuring: Thena and Peter Mimmack</v>
      </c>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f>IFERROR(__xludf.DUMMYFUNCTION("""COMPUTED_VALUE"""),217.0)</f>
        <v>217</v>
      </c>
      <c r="B198" s="8" t="str">
        <f>IFERROR(__xludf.DUMMYFUNCTION("""COMPUTED_VALUE"""),"""Colours – Orange""")</f>
        <v>"Colours – Orange"</v>
      </c>
      <c r="C198" s="8" t="str">
        <f>IFERROR(__xludf.DUMMYFUNCTION("""COMPUTED_VALUE"""),"6 October 1998 (1998-10-06)")</f>
        <v>6 October 1998 (1998-10-06)</v>
      </c>
      <c r="D198" s="8"/>
      <c r="E198" s="8"/>
      <c r="F198" s="8"/>
      <c r="G198" s="8"/>
      <c r="H198" s="8"/>
      <c r="I198" s="8"/>
      <c r="J198" s="8"/>
      <c r="K198" s="8"/>
      <c r="L198" s="8"/>
      <c r="M198" s="8"/>
      <c r="N198" s="8"/>
      <c r="O198" s="8"/>
      <c r="P198" s="8"/>
      <c r="Q198" s="8"/>
      <c r="R198" s="8"/>
      <c r="S198" s="8"/>
      <c r="T198" s="8"/>
      <c r="U198" s="8"/>
      <c r="V198" s="8"/>
      <c r="W198" s="8"/>
      <c r="X198" s="8"/>
      <c r="Y198" s="8"/>
      <c r="Z198" s="8"/>
    </row>
    <row r="199">
      <c r="A199" s="8" t="str">
        <f>IFERROR(__xludf.DUMMYFUNCTION("""COMPUTED_VALUE"""),"A Voice Trumpet appears, which draws the attention of Noo-Noo, and Laa-Laa. 
It says the word 'Orange' .The Teletubbies watch some children finding out 
about things that are coloured orange and Laa-Laa's ball is also bright 
orange . Laa-Laa keeps losing"&amp;" her ball, she meets the other Teletubbies, 
they learn that Tinky Winky's bag is red, Dipsy's hat is black and white 
and Po's scooter is pink and blue. Laa Laa finally catches her ball. Then 
the Windmill stops spinning for tubby bye bye. 
Featuring: Th"&amp;"e Children of Oxhey Infants School, Watford")</f>
        <v>A Voice Trumpet appears, which draws the attention of Noo-Noo, and Laa-Laa. 
It says the word 'Orange' .The Teletubbies watch some children finding out 
about things that are coloured orange and Laa-Laa's ball is also bright 
orange . Laa-Laa keeps losing her ball, she meets the other Teletubbies, 
they learn that Tinky Winky's bag is red, Dipsy's hat is black and white 
and Po's scooter is pink and blue. Laa Laa finally catches her ball. Then 
the Windmill stops spinning for tubby bye bye. 
Featuring: The Children of Oxhey Infants School, Watford</v>
      </c>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f>IFERROR(__xludf.DUMMYFUNCTION("""COMPUTED_VALUE"""),218.0)</f>
        <v>218</v>
      </c>
      <c r="B200" s="8" t="str">
        <f>IFERROR(__xludf.DUMMYFUNCTION("""COMPUTED_VALUE"""),"""Piglets""")</f>
        <v>"Piglets"</v>
      </c>
      <c r="C200" s="8" t="str">
        <f>IFERROR(__xludf.DUMMYFUNCTION("""COMPUTED_VALUE"""),"7 October 1998 (1998-10-07)")</f>
        <v>7 October 1998 (1998-10-07)</v>
      </c>
      <c r="D200" s="8"/>
      <c r="E200" s="8"/>
      <c r="F200" s="8"/>
      <c r="G200" s="8"/>
      <c r="H200" s="8"/>
      <c r="I200" s="8"/>
      <c r="J200" s="8"/>
      <c r="K200" s="8"/>
      <c r="L200" s="8"/>
      <c r="M200" s="8"/>
      <c r="N200" s="8"/>
      <c r="O200" s="8"/>
      <c r="P200" s="8"/>
      <c r="Q200" s="8"/>
      <c r="R200" s="8"/>
      <c r="S200" s="8"/>
      <c r="T200" s="8"/>
      <c r="U200" s="8"/>
      <c r="V200" s="8"/>
      <c r="W200" s="8"/>
      <c r="X200" s="8"/>
      <c r="Y200" s="8"/>
      <c r="Z200" s="8"/>
    </row>
    <row r="201">
      <c r="A201" s="8" t="str">
        <f>IFERROR(__xludf.DUMMYFUNCTION("""COMPUTED_VALUE"""),"The Teletubbies run back and forth past some trees, then they watch 
Matthew, James, Mark, Angus and their Dad playing with their piglets. 
Inside the Tubbytronic Superdome, the Teletubbies laugh at the noises their 
bottoms make when they sit down, then "&amp;"they watch the Animal Parade march 
through Teletubbyland. The Teletubbies do the Stamping and Stepping Dance 
before the Tubby Bye-Bye sequence takes place and the Baby Sun sets. 
Featuring: Matthew, James, Mark and Angus Carnie")</f>
        <v>The Teletubbies run back and forth past some trees, then they watch 
Matthew, James, Mark, Angus and their Dad playing with their piglets. 
Inside the Tubbytronic Superdome, the Teletubbies laugh at the noises their 
bottoms make when they sit down, then they watch the Animal Parade march 
through Teletubbyland. The Teletubbies do the Stamping and Stepping Dance 
before the Tubby Bye-Bye sequence takes place and the Baby Sun sets. 
Featuring: Matthew, James, Mark and Angus Carnie</v>
      </c>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f>IFERROR(__xludf.DUMMYFUNCTION("""COMPUTED_VALUE"""),219.0)</f>
        <v>219</v>
      </c>
      <c r="B202" s="8" t="str">
        <f>IFERROR(__xludf.DUMMYFUNCTION("""COMPUTED_VALUE"""),"""Water""")</f>
        <v>"Water"</v>
      </c>
      <c r="C202" s="8" t="str">
        <f>IFERROR(__xludf.DUMMYFUNCTION("""COMPUTED_VALUE"""),"8 October 1998 (1998-10-08)")</f>
        <v>8 October 1998 (1998-10-08)</v>
      </c>
      <c r="D202" s="8"/>
      <c r="E202" s="8"/>
      <c r="F202" s="8"/>
      <c r="G202" s="8"/>
      <c r="H202" s="8"/>
      <c r="I202" s="8"/>
      <c r="J202" s="8"/>
      <c r="K202" s="8"/>
      <c r="L202" s="8"/>
      <c r="M202" s="8"/>
      <c r="N202" s="8"/>
      <c r="O202" s="8"/>
      <c r="P202" s="8"/>
      <c r="Q202" s="8"/>
      <c r="R202" s="8"/>
      <c r="S202" s="8"/>
      <c r="T202" s="8"/>
      <c r="U202" s="8"/>
      <c r="V202" s="8"/>
      <c r="W202" s="8"/>
      <c r="X202" s="8"/>
      <c r="Y202" s="8"/>
      <c r="Z202" s="8"/>
    </row>
    <row r="203">
      <c r="A203" s="8" t="str">
        <f>IFERROR(__xludf.DUMMYFUNCTION("""COMPUTED_VALUE"""),"In Teletubbyland, Dipsy listens to a Voice Trumpet say the nursery rhyme 
'Doctor Foster'. Then the Teletubbies watch some children playing with 
water. A cloud appears in Teletubbyland. The cloud rains and makes a 
puddle. Laa Laa steps into the puddle, "&amp;"Dipsy steps around the puddle, Tinky 
Winky steps over the puddle and Po rides her Scooter through the puddle 
spraying the other Teletubbies. The Teletubbies love Po very much. 
Featuring: Amy and Harry Scott")</f>
        <v>In Teletubbyland, Dipsy listens to a Voice Trumpet say the nursery rhyme 
'Doctor Foster'. Then the Teletubbies watch some children playing with 
water. A cloud appears in Teletubbyland. The cloud rains and makes a 
puddle. Laa Laa steps into the puddle, Dipsy steps around the puddle, Tinky 
Winky steps over the puddle and Po rides her Scooter through the puddle 
spraying the other Teletubbies. The Teletubbies love Po very much. 
Featuring: Amy and Harry Scott</v>
      </c>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f>IFERROR(__xludf.DUMMYFUNCTION("""COMPUTED_VALUE"""),220.0)</f>
        <v>220</v>
      </c>
      <c r="B204" s="8" t="str">
        <f>IFERROR(__xludf.DUMMYFUNCTION("""COMPUTED_VALUE"""),"""Wrapping""")</f>
        <v>"Wrapping"</v>
      </c>
      <c r="C204" s="8" t="str">
        <f>IFERROR(__xludf.DUMMYFUNCTION("""COMPUTED_VALUE"""),"9 October 1998 (1998-10-09)")</f>
        <v>9 October 1998 (1998-10-09)</v>
      </c>
      <c r="D204" s="8"/>
      <c r="E204" s="8"/>
      <c r="F204" s="8"/>
      <c r="G204" s="8"/>
      <c r="H204" s="8"/>
      <c r="I204" s="8"/>
      <c r="J204" s="8"/>
      <c r="K204" s="8"/>
      <c r="L204" s="8"/>
      <c r="M204" s="8"/>
      <c r="N204" s="8"/>
      <c r="O204" s="8"/>
      <c r="P204" s="8"/>
      <c r="Q204" s="8"/>
      <c r="R204" s="8"/>
      <c r="S204" s="8"/>
      <c r="T204" s="8"/>
      <c r="U204" s="8"/>
      <c r="V204" s="8"/>
      <c r="W204" s="8"/>
      <c r="X204" s="8"/>
      <c r="Y204" s="8"/>
      <c r="Z204" s="8"/>
    </row>
    <row r="205">
      <c r="A205" s="8" t="str">
        <f>IFERROR(__xludf.DUMMYFUNCTION("""COMPUTED_VALUE"""),"The Teletubbies dance The Swinging Dance before watching some children 
wrapping presents for their friend. The Teletubbies are asleep before Noo 
Noo comes along and tidies up. The Teletubbies chase the Noo Noo before the 
Magic Windmill spins. The Singi"&amp;"ng Man in the Pink House also appears in 
Teletubbyland before the sun baby giggles for ""Tubby Bye-Bye."" 
Featuring: Christine Liang, Lupondo Lyambo, Stacey Mulryan and Minh Nguyen")</f>
        <v>The Teletubbies dance The Swinging Dance before watching some children 
wrapping presents for their friend. The Teletubbies are asleep before Noo 
Noo comes along and tidies up. The Teletubbies chase the Noo Noo before the 
Magic Windmill spins. The Singing Man in the Pink House also appears in 
Teletubbyland before the sun baby giggles for "Tubby Bye-Bye." 
Featuring: Christine Liang, Lupondo Lyambo, Stacey Mulryan and Minh Nguyen</v>
      </c>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f>IFERROR(__xludf.DUMMYFUNCTION("""COMPUTED_VALUE"""),221.0)</f>
        <v>221</v>
      </c>
      <c r="B206" s="8" t="str">
        <f>IFERROR(__xludf.DUMMYFUNCTION("""COMPUTED_VALUE"""),"""Making Bread""")</f>
        <v>"Making Bread"</v>
      </c>
      <c r="C206" s="8" t="str">
        <f>IFERROR(__xludf.DUMMYFUNCTION("""COMPUTED_VALUE"""),"12 October 1998 (1998-10-12)")</f>
        <v>12 October 1998 (1998-10-12)</v>
      </c>
      <c r="D206" s="8"/>
      <c r="E206" s="8"/>
      <c r="F206" s="8"/>
      <c r="G206" s="8"/>
      <c r="H206" s="8"/>
      <c r="I206" s="8"/>
      <c r="J206" s="8"/>
      <c r="K206" s="8"/>
      <c r="L206" s="8"/>
      <c r="M206" s="8"/>
      <c r="N206" s="8"/>
      <c r="O206" s="8"/>
      <c r="P206" s="8"/>
      <c r="Q206" s="8"/>
      <c r="R206" s="8"/>
      <c r="S206" s="8"/>
      <c r="T206" s="8"/>
      <c r="U206" s="8"/>
      <c r="V206" s="8"/>
      <c r="W206" s="8"/>
      <c r="X206" s="8"/>
      <c r="Y206" s="8"/>
      <c r="Z206" s="8"/>
    </row>
    <row r="207">
      <c r="A207" s="8" t="str">
        <f>IFERROR(__xludf.DUMMYFUNCTION("""COMPUTED_VALUE"""),"The Teletubbies go in and out of the house before the Magic Windmill spins 
and the Teletubbies watch two little boys making some bread. After the 
Stretching dance, they then watch The Three Ships sail through 
Teletubbyland, the Baby Sun giggles while t"&amp;"he Voice Trumpet rises for Tubby 
Bye-Bye. 
Featuring: George and Thomas Griffiths")</f>
        <v>The Teletubbies go in and out of the house before the Magic Windmill spins 
and the Teletubbies watch two little boys making some bread. After the 
Stretching dance, they then watch The Three Ships sail through 
Teletubbyland, the Baby Sun giggles while the Voice Trumpet rises for Tubby 
Bye-Bye. 
Featuring: George and Thomas Griffiths</v>
      </c>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f>IFERROR(__xludf.DUMMYFUNCTION("""COMPUTED_VALUE"""),222.0)</f>
        <v>222</v>
      </c>
      <c r="B208" s="8" t="str">
        <f>IFERROR(__xludf.DUMMYFUNCTION("""COMPUTED_VALUE"""),"""Ice Lollipops""")</f>
        <v>"Ice Lollipops"</v>
      </c>
      <c r="C208" s="8" t="str">
        <f>IFERROR(__xludf.DUMMYFUNCTION("""COMPUTED_VALUE"""),"13 October 1998 (1998-10-13)")</f>
        <v>13 October 1998 (1998-10-13)</v>
      </c>
      <c r="D208" s="8"/>
      <c r="E208" s="8"/>
      <c r="F208" s="8"/>
      <c r="G208" s="8"/>
      <c r="H208" s="8"/>
      <c r="I208" s="8"/>
      <c r="J208" s="8"/>
      <c r="K208" s="8"/>
      <c r="L208" s="8"/>
      <c r="M208" s="8"/>
      <c r="N208" s="8"/>
      <c r="O208" s="8"/>
      <c r="P208" s="8"/>
      <c r="Q208" s="8"/>
      <c r="R208" s="8"/>
      <c r="S208" s="8"/>
      <c r="T208" s="8"/>
      <c r="U208" s="8"/>
      <c r="V208" s="8"/>
      <c r="W208" s="8"/>
      <c r="X208" s="8"/>
      <c r="Y208" s="8"/>
      <c r="Z208" s="8"/>
    </row>
    <row r="209">
      <c r="A209" s="8" t="str">
        <f>IFERROR(__xludf.DUMMYFUNCTION("""COMPUTED_VALUE"""),"Laa Laa appears and tries to make some Tubby Custard but the Magic Windmill 
spins and Po watches some children making ice-lollies by freezing their 
favourite juice. The Teletubbies walk around Home Hill smelling the flowers 
but they all fall over. The "&amp;"Teletubbies all try to go indoors but it is not 
possible and then they have to go in one at a time. The Teletubbies decided 
to go up the slide but they fell down. They get up and go up the slide one 
at a time. 
Featuring: Becky, Toby &amp; Connor Knight, M"&amp;"anjot Singh, Kyle Strudwick, 
Antonia Suckling and Christopher Wiggans")</f>
        <v>Laa Laa appears and tries to make some Tubby Custard but the Magic Windmill 
spins and Po watches some children making ice-lollies by freezing their 
favourite juice. The Teletubbies walk around Home Hill smelling the flowers 
but they all fall over. The Teletubbies all try to go indoors but it is not 
possible and then they have to go in one at a time. The Teletubbies decided 
to go up the slide but they fell down. They get up and go up the slide one 
at a time. 
Featuring: Becky, Toby &amp; Connor Knight, Manjot Singh, Kyle Strudwick, 
Antonia Suckling and Christopher Wiggans</v>
      </c>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f>IFERROR(__xludf.DUMMYFUNCTION("""COMPUTED_VALUE"""),223.0)</f>
        <v>223</v>
      </c>
      <c r="B210" s="8" t="str">
        <f>IFERROR(__xludf.DUMMYFUNCTION("""COMPUTED_VALUE"""),"""Orange Picking""")</f>
        <v>"Orange Picking"</v>
      </c>
      <c r="C210" s="8" t="str">
        <f>IFERROR(__xludf.DUMMYFUNCTION("""COMPUTED_VALUE"""),"14 October 1998 (1998-10-14)")</f>
        <v>14 October 1998 (1998-10-14)</v>
      </c>
      <c r="D210" s="8"/>
      <c r="E210" s="8"/>
      <c r="F210" s="8"/>
      <c r="G210" s="8"/>
      <c r="H210" s="8"/>
      <c r="I210" s="8"/>
      <c r="J210" s="8"/>
      <c r="K210" s="8"/>
      <c r="L210" s="8"/>
      <c r="M210" s="8"/>
      <c r="N210" s="8"/>
      <c r="O210" s="8"/>
      <c r="P210" s="8"/>
      <c r="Q210" s="8"/>
      <c r="R210" s="8"/>
      <c r="S210" s="8"/>
      <c r="T210" s="8"/>
      <c r="U210" s="8"/>
      <c r="V210" s="8"/>
      <c r="W210" s="8"/>
      <c r="X210" s="8"/>
      <c r="Y210" s="8"/>
      <c r="Z210" s="8"/>
    </row>
    <row r="211">
      <c r="A211" s="8" t="str">
        <f>IFERROR(__xludf.DUMMYFUNCTION("""COMPUTED_VALUE"""),"Dipsy comes out of the house. He looks and listens before going inside of 
the house. The Teletubbies come out of the house and the Magic Windmill 
spins. The Teletubbies watch children picking fresh oranges. Tinky Winky 
and Po are eating Tubby Toast. La"&amp;"a Laa comes into Home Hill and she plays 
with the ball but it bounces all over home hill and the ball is stuck up 
the top of the slide. Tinky Winky reaches but he is too short. Po comes up 
the slide but she slides back down. Noo Noo comes along and he "&amp;"sucks the 
ball up. Noo Noo gives the ball back to Laa Laa The Teletubbies chase Noo 
Noo around Home Hill. 
Featuring: Wil and Leah Flannery")</f>
        <v>Dipsy comes out of the house. He looks and listens before going inside of 
the house. The Teletubbies come out of the house and the Magic Windmill 
spins. The Teletubbies watch children picking fresh oranges. Tinky Winky 
and Po are eating Tubby Toast. Laa Laa comes into Home Hill and she plays 
with the ball but it bounces all over home hill and the ball is stuck up 
the top of the slide. Tinky Winky reaches but he is too short. Po comes up 
the slide but she slides back down. Noo Noo comes along and he sucks the 
ball up. Noo Noo gives the ball back to Laa Laa The Teletubbies chase Noo 
Noo around Home Hill. 
Featuring: Wil and Leah Flannery</v>
      </c>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f>IFERROR(__xludf.DUMMYFUNCTION("""COMPUTED_VALUE"""),224.0)</f>
        <v>224</v>
      </c>
      <c r="B212" s="8" t="str">
        <f>IFERROR(__xludf.DUMMYFUNCTION("""COMPUTED_VALUE"""),"""Double Bass""")</f>
        <v>"Double Bass"</v>
      </c>
      <c r="C212" s="8" t="str">
        <f>IFERROR(__xludf.DUMMYFUNCTION("""COMPUTED_VALUE"""),"15 October 1998 (1998-10-15)")</f>
        <v>15 October 1998 (1998-10-15)</v>
      </c>
      <c r="D212" s="8"/>
      <c r="E212" s="8"/>
      <c r="F212" s="8"/>
      <c r="G212" s="8"/>
      <c r="H212" s="8"/>
      <c r="I212" s="8"/>
      <c r="J212" s="8"/>
      <c r="K212" s="8"/>
      <c r="L212" s="8"/>
      <c r="M212" s="8"/>
      <c r="N212" s="8"/>
      <c r="O212" s="8"/>
      <c r="P212" s="8"/>
      <c r="Q212" s="8"/>
      <c r="R212" s="8"/>
      <c r="S212" s="8"/>
      <c r="T212" s="8"/>
      <c r="U212" s="8"/>
      <c r="V212" s="8"/>
      <c r="W212" s="8"/>
      <c r="X212" s="8"/>
      <c r="Y212" s="8"/>
      <c r="Z212" s="8"/>
    </row>
    <row r="213">
      <c r="A213" s="8" t="str">
        <f>IFERROR(__xludf.DUMMYFUNCTION("""COMPUTED_VALUE"""),"A Voice Trumpet appears to make music for Laa-Laa, and the pals, Then Po 
receives a video watch children visit their friend who plays the double 
bass. The Teletubbies do the Calypso dance and Dipsy has a go on the switch 
panel before the Magic Windmill"&amp;" stops spinning and it is time for Tubby 
Bye-Bye. 
Featuring: Gary Crosby with Kadeem Clarke, Rehanna Mundle and Shanice 
Weekes-Brown")</f>
        <v>A Voice Trumpet appears to make music for Laa-Laa, and the pals, Then Po 
receives a video watch children visit their friend who plays the double 
bass. The Teletubbies do the Calypso dance and Dipsy has a go on the switch 
panel before the Magic Windmill stops spinning and it is time for Tubby 
Bye-Bye. 
Featuring: Gary Crosby with Kadeem Clarke, Rehanna Mundle and Shanice 
Weekes-Brown</v>
      </c>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f>IFERROR(__xludf.DUMMYFUNCTION("""COMPUTED_VALUE"""),225.0)</f>
        <v>225</v>
      </c>
      <c r="B214" s="8" t="str">
        <f>IFERROR(__xludf.DUMMYFUNCTION("""COMPUTED_VALUE"""),"""Numbers – 7""")</f>
        <v>"Numbers – 7"</v>
      </c>
      <c r="C214" s="8" t="str">
        <f>IFERROR(__xludf.DUMMYFUNCTION("""COMPUTED_VALUE"""),"18 October 1998 (1998-10-18)")</f>
        <v>18 October 1998 (1998-10-18)</v>
      </c>
      <c r="D214" s="8"/>
      <c r="E214" s="8"/>
      <c r="F214" s="8"/>
      <c r="G214" s="8"/>
      <c r="H214" s="8"/>
      <c r="I214" s="8"/>
      <c r="J214" s="8"/>
      <c r="K214" s="8"/>
      <c r="L214" s="8"/>
      <c r="M214" s="8"/>
      <c r="N214" s="8"/>
      <c r="O214" s="8"/>
      <c r="P214" s="8"/>
      <c r="Q214" s="8"/>
      <c r="R214" s="8"/>
      <c r="S214" s="8"/>
      <c r="T214" s="8"/>
      <c r="U214" s="8"/>
      <c r="V214" s="8"/>
      <c r="W214" s="8"/>
      <c r="X214" s="8"/>
      <c r="Y214" s="8"/>
      <c r="Z214" s="8"/>
    </row>
    <row r="215">
      <c r="A215" s="8" t="str">
        <f>IFERROR(__xludf.DUMMYFUNCTION("""COMPUTED_VALUE"""),"Seven clouds appear but they quickly go away. The Teletubbies watch some 
children learning about the number 7. The Teletubbies join each other on 
the table and a Voice Trumpet rises and counts to 7. The Teletubbies do the 
round and round dance before T"&amp;"ubby Bye-Bye. 
Featuring: The Children of Duncombe School, London")</f>
        <v>Seven clouds appear but they quickly go away. The Teletubbies watch some 
children learning about the number 7. The Teletubbies join each other on 
the table and a Voice Trumpet rises and counts to 7. The Teletubbies do the 
round and round dance before Tubby Bye-Bye. 
Featuring: The Children of Duncombe School, London</v>
      </c>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f>IFERROR(__xludf.DUMMYFUNCTION("""COMPUTED_VALUE"""),226.0)</f>
        <v>226</v>
      </c>
      <c r="B216" s="8" t="str">
        <f>IFERROR(__xludf.DUMMYFUNCTION("""COMPUTED_VALUE"""),"""Sparkly Spider""")</f>
        <v>"Sparkly Spider"</v>
      </c>
      <c r="C216" s="8" t="str">
        <f>IFERROR(__xludf.DUMMYFUNCTION("""COMPUTED_VALUE"""),"19 October 1998 (1998-10-19)")</f>
        <v>19 October 1998 (1998-10-19)</v>
      </c>
      <c r="D216" s="8"/>
      <c r="E216" s="8"/>
      <c r="F216" s="8"/>
      <c r="G216" s="8"/>
      <c r="H216" s="8"/>
      <c r="I216" s="8"/>
      <c r="J216" s="8"/>
      <c r="K216" s="8"/>
      <c r="L216" s="8"/>
      <c r="M216" s="8"/>
      <c r="N216" s="8"/>
      <c r="O216" s="8"/>
      <c r="P216" s="8"/>
      <c r="Q216" s="8"/>
      <c r="R216" s="8"/>
      <c r="S216" s="8"/>
      <c r="T216" s="8"/>
      <c r="U216" s="8"/>
      <c r="V216" s="8"/>
      <c r="W216" s="8"/>
      <c r="X216" s="8"/>
      <c r="Y216" s="8"/>
      <c r="Z216" s="8"/>
    </row>
    <row r="217">
      <c r="A217" s="8" t="str">
        <f>IFERROR(__xludf.DUMMYFUNCTION("""COMPUTED_VALUE"""),"The Teletubbies walk in a line and they walk up a hill and walk down the 
hill before they meet in the middle and say 'Eh-oh!' before the Magic 
Windmill spins and the Teletubbies watch the Funny Lady tell the story of 
the Sparkly Spider. The Teletubbies"&amp;" do the Dizzy dance before the Magic 
Windmill Spins and the Teletubbies watch the Magic Tree before the Magic 
Windmill stops spinning for Tubby Bye Bye. 
Featuring: Tamzin Griffin, The Children of Ravenor School, Greenford")</f>
        <v>The Teletubbies walk in a line and they walk up a hill and walk down the 
hill before they meet in the middle and say 'Eh-oh!' before the Magic 
Windmill spins and the Teletubbies watch the Funny Lady tell the story of 
the Sparkly Spider. The Teletubbies do the Dizzy dance before the Magic 
Windmill Spins and the Teletubbies watch the Magic Tree before the Magic 
Windmill stops spinning for Tubby Bye Bye. 
Featuring: Tamzin Griffin, The Children of Ravenor School, Greenford</v>
      </c>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f>IFERROR(__xludf.DUMMYFUNCTION("""COMPUTED_VALUE"""),227.0)</f>
        <v>227</v>
      </c>
      <c r="B218" s="8" t="str">
        <f>IFERROR(__xludf.DUMMYFUNCTION("""COMPUTED_VALUE"""),"""Cat's Night Out""")</f>
        <v>"Cat's Night Out"</v>
      </c>
      <c r="C218" s="8" t="str">
        <f>IFERROR(__xludf.DUMMYFUNCTION("""COMPUTED_VALUE"""),"20 October 1998 (1998-10-20)")</f>
        <v>20 October 1998 (1998-10-20)</v>
      </c>
      <c r="D218" s="8"/>
      <c r="E218" s="8"/>
      <c r="F218" s="8"/>
      <c r="G218" s="8"/>
      <c r="H218" s="8"/>
      <c r="I218" s="8"/>
      <c r="J218" s="8"/>
      <c r="K218" s="8"/>
      <c r="L218" s="8"/>
      <c r="M218" s="8"/>
      <c r="N218" s="8"/>
      <c r="O218" s="8"/>
      <c r="P218" s="8"/>
      <c r="Q218" s="8"/>
      <c r="R218" s="8"/>
      <c r="S218" s="8"/>
      <c r="T218" s="8"/>
      <c r="U218" s="8"/>
      <c r="V218" s="8"/>
      <c r="W218" s="8"/>
      <c r="X218" s="8"/>
      <c r="Y218" s="8"/>
      <c r="Z218" s="8"/>
    </row>
    <row r="219">
      <c r="A219" s="8" t="str">
        <f>IFERROR(__xludf.DUMMYFUNCTION("""COMPUTED_VALUE"""),"The Teletubbies walk down the Path, into the House and up the other Path. 
Then they watch Nathan talk about what his Cat Grace does at night. Inside 
the House, Po wakes up and hears the other Teletubbies shouting outside, 
she runs out to them for a Big"&amp;" Hug, the Windmill starts spinning and they 
all watch the Animal Parade. The Teletubbies do the Walking Dance before 
Tubby Bye Bye. 
Featuring: Nathan Grammell and Grace the Cat")</f>
        <v>The Teletubbies walk down the Path, into the House and up the other Path. 
Then they watch Nathan talk about what his Cat Grace does at night. Inside 
the House, Po wakes up and hears the other Teletubbies shouting outside, 
she runs out to them for a Big Hug, the Windmill starts spinning and they 
all watch the Animal Parade. The Teletubbies do the Walking Dance before 
Tubby Bye Bye. 
Featuring: Nathan Grammell and Grace the Cat</v>
      </c>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f>IFERROR(__xludf.DUMMYFUNCTION("""COMPUTED_VALUE"""),228.0)</f>
        <v>228</v>
      </c>
      <c r="B220" s="8" t="str">
        <f>IFERROR(__xludf.DUMMYFUNCTION("""COMPUTED_VALUE"""),"""Chicks""")</f>
        <v>"Chicks"</v>
      </c>
      <c r="C220" s="8" t="str">
        <f>IFERROR(__xludf.DUMMYFUNCTION("""COMPUTED_VALUE"""),"21 October 1998 (1998-10-21)")</f>
        <v>21 October 1998 (1998-10-21)</v>
      </c>
      <c r="D220" s="8"/>
      <c r="E220" s="8"/>
      <c r="F220" s="8"/>
      <c r="G220" s="8"/>
      <c r="H220" s="8"/>
      <c r="I220" s="8"/>
      <c r="J220" s="8"/>
      <c r="K220" s="8"/>
      <c r="L220" s="8"/>
      <c r="M220" s="8"/>
      <c r="N220" s="8"/>
      <c r="O220" s="8"/>
      <c r="P220" s="8"/>
      <c r="Q220" s="8"/>
      <c r="R220" s="8"/>
      <c r="S220" s="8"/>
      <c r="T220" s="8"/>
      <c r="U220" s="8"/>
      <c r="V220" s="8"/>
      <c r="W220" s="8"/>
      <c r="X220" s="8"/>
      <c r="Y220" s="8"/>
      <c r="Z220" s="8"/>
    </row>
    <row r="221">
      <c r="A221" s="8" t="str">
        <f>IFERROR(__xludf.DUMMYFUNCTION("""COMPUTED_VALUE"""),"The Teletubbies walk around some hills before watching Matthew, James and 
Mark talking about their chicks on a farm. Dipsy watches Po riding on her 
scooter, Laa-Laa playing with her ball and Tinky Winky running with his 
bag. So Dipsy gives each other a"&amp;" big hug before tubby bye bye. 
Featuring: Matthew, James, Mark and Angus Carnie")</f>
        <v>The Teletubbies walk around some hills before watching Matthew, James and 
Mark talking about their chicks on a farm. Dipsy watches Po riding on her 
scooter, Laa-Laa playing with her ball and Tinky Winky running with his 
bag. So Dipsy gives each other a big hug before tubby bye bye. 
Featuring: Matthew, James, Mark and Angus Carnie</v>
      </c>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f>IFERROR(__xludf.DUMMYFUNCTION("""COMPUTED_VALUE"""),229.0)</f>
        <v>229</v>
      </c>
      <c r="B222" s="8" t="str">
        <f>IFERROR(__xludf.DUMMYFUNCTION("""COMPUTED_VALUE"""),"""Body to Body""")</f>
        <v>"Body to Body"</v>
      </c>
      <c r="C222" s="8" t="str">
        <f>IFERROR(__xludf.DUMMYFUNCTION("""COMPUTED_VALUE"""),"22 October 1998 (1998-10-22)")</f>
        <v>22 October 1998 (1998-10-22)</v>
      </c>
      <c r="D222" s="8"/>
      <c r="E222" s="8"/>
      <c r="F222" s="8"/>
      <c r="G222" s="8"/>
      <c r="H222" s="8"/>
      <c r="I222" s="8"/>
      <c r="J222" s="8"/>
      <c r="K222" s="8"/>
      <c r="L222" s="8"/>
      <c r="M222" s="8"/>
      <c r="N222" s="8"/>
      <c r="O222" s="8"/>
      <c r="P222" s="8"/>
      <c r="Q222" s="8"/>
      <c r="R222" s="8"/>
      <c r="S222" s="8"/>
      <c r="T222" s="8"/>
      <c r="U222" s="8"/>
      <c r="V222" s="8"/>
      <c r="W222" s="8"/>
      <c r="X222" s="8"/>
      <c r="Y222" s="8"/>
      <c r="Z222" s="8"/>
    </row>
    <row r="223">
      <c r="A223" s="8" t="str">
        <f>IFERROR(__xludf.DUMMYFUNCTION("""COMPUTED_VALUE"""),"The Teletubbies bump into each other indoors than watch some children play 
a body to body game. The Teletubbies then play a falling down game before 
watching the Tap Dancing Teddy Bear before the Magic Windmill stops 
spinning for Tubby Bye-Bye. 
Featur"&amp;"ing: The Children of Earlsfield Primary School")</f>
        <v>The Teletubbies bump into each other indoors than watch some children play 
a body to body game. The Teletubbies then play a falling down game before 
watching the Tap Dancing Teddy Bear before the Magic Windmill stops 
spinning for Tubby Bye-Bye. 
Featuring: The Children of Earlsfield Primary School</v>
      </c>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f>IFERROR(__xludf.DUMMYFUNCTION("""COMPUTED_VALUE"""),230.0)</f>
        <v>230</v>
      </c>
      <c r="B224" s="8" t="str">
        <f>IFERROR(__xludf.DUMMYFUNCTION("""COMPUTED_VALUE"""),"""Camping""")</f>
        <v>"Camping"</v>
      </c>
      <c r="C224" s="8" t="str">
        <f>IFERROR(__xludf.DUMMYFUNCTION("""COMPUTED_VALUE"""),"23 October 1998 (1998-10-23)")</f>
        <v>23 October 1998 (1998-10-23)</v>
      </c>
      <c r="D224" s="8"/>
      <c r="E224" s="8"/>
      <c r="F224" s="8"/>
      <c r="G224" s="8"/>
      <c r="H224" s="8"/>
      <c r="I224" s="8"/>
      <c r="J224" s="8"/>
      <c r="K224" s="8"/>
      <c r="L224" s="8"/>
      <c r="M224" s="8"/>
      <c r="N224" s="8"/>
      <c r="O224" s="8"/>
      <c r="P224" s="8"/>
      <c r="Q224" s="8"/>
      <c r="R224" s="8"/>
      <c r="S224" s="8"/>
      <c r="T224" s="8"/>
      <c r="U224" s="8"/>
      <c r="V224" s="8"/>
      <c r="W224" s="8"/>
      <c r="X224" s="8"/>
      <c r="Y224" s="8"/>
      <c r="Z224" s="8"/>
    </row>
    <row r="225">
      <c r="A225" s="8" t="str">
        <f>IFERROR(__xludf.DUMMYFUNCTION("""COMPUTED_VALUE"""),"A door appears in Teletubbyland. Po comes and founds it. She opens the door 
and goes in. Then comes Laa-Laa and knocks the door, so Po opens the door 
and Laa-Laa goes with Po. Soon comes Dipsy who knocks the door and goes 
with Laa-Laa and Po. Finally c"&amp;"omes Tinky Winky and knocks the door and goes 
with the other Teletubbies. The door then disappears and the magic windmill 
starts spinning and the Teletubbies watch children go camping with their 
parents before the baby sun giggles for Tubby Bye-Bye. 
F"&amp;"eaturing: Joel and Kiri Wood")</f>
        <v>A door appears in Teletubbyland. Po comes and founds it. She opens the door 
and goes in. Then comes Laa-Laa and knocks the door, so Po opens the door 
and Laa-Laa goes with Po. Soon comes Dipsy who knocks the door and goes 
with Laa-Laa and Po. Finally comes Tinky Winky and knocks the door and goes 
with the other Teletubbies. The door then disappears and the magic windmill 
starts spinning and the Teletubbies watch children go camping with their 
parents before the baby sun giggles for Tubby Bye-Bye. 
Featuring: Joel and Kiri Wood</v>
      </c>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f>IFERROR(__xludf.DUMMYFUNCTION("""COMPUTED_VALUE"""),231.0)</f>
        <v>231</v>
      </c>
      <c r="B226" s="8" t="str">
        <f>IFERROR(__xludf.DUMMYFUNCTION("""COMPUTED_VALUE"""),"""Colours – Black""")</f>
        <v>"Colours – Black"</v>
      </c>
      <c r="C226" s="8" t="str">
        <f>IFERROR(__xludf.DUMMYFUNCTION("""COMPUTED_VALUE"""),"14 December 1998 (1998-12-14)")</f>
        <v>14 December 1998 (1998-12-14)</v>
      </c>
      <c r="D226" s="8"/>
      <c r="E226" s="8"/>
      <c r="F226" s="8"/>
      <c r="G226" s="8"/>
      <c r="H226" s="8"/>
      <c r="I226" s="8"/>
      <c r="J226" s="8"/>
      <c r="K226" s="8"/>
      <c r="L226" s="8"/>
      <c r="M226" s="8"/>
      <c r="N226" s="8"/>
      <c r="O226" s="8"/>
      <c r="P226" s="8"/>
      <c r="Q226" s="8"/>
      <c r="R226" s="8"/>
      <c r="S226" s="8"/>
      <c r="T226" s="8"/>
      <c r="U226" s="8"/>
      <c r="V226" s="8"/>
      <c r="W226" s="8"/>
      <c r="X226" s="8"/>
      <c r="Y226" s="8"/>
      <c r="Z226" s="8"/>
    </row>
    <row r="227">
      <c r="A227" s="8" t="str">
        <f>IFERROR(__xludf.DUMMYFUNCTION("""COMPUTED_VALUE"""),"A black and white cloud appears in Teletubbyland. The Teletubbies watch 
some children finding out about things that are coloured black. Dipsy 
leaves his hat behind, but when he comes to find it, the Noo-Noo has tidied 
up. Later, the Noo-Noo blows it ou"&amp;"t before the Magic Windmill stops 
spinning as the Tubby Bye-Bye sequence takes place. 
Featuring: The Children of Oxhey Infants School, Watford")</f>
        <v>A black and white cloud appears in Teletubbyland. The Teletubbies watch 
some children finding out about things that are coloured black. Dipsy 
leaves his hat behind, but when he comes to find it, the Noo-Noo has tidied 
up. Later, the Noo-Noo blows it out before the Magic Windmill stops 
spinning as the Tubby Bye-Bye sequence takes place. 
Featuring: The Children of Oxhey Infants School, Watford</v>
      </c>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f>IFERROR(__xludf.DUMMYFUNCTION("""COMPUTED_VALUE"""),232.0)</f>
        <v>232</v>
      </c>
      <c r="B228" s="8" t="str">
        <f>IFERROR(__xludf.DUMMYFUNCTION("""COMPUTED_VALUE"""),"""Pebbles""")</f>
        <v>"Pebbles"</v>
      </c>
      <c r="C228" s="8" t="str">
        <f>IFERROR(__xludf.DUMMYFUNCTION("""COMPUTED_VALUE"""),"15 December 1998 (1998-12-15)")</f>
        <v>15 December 1998 (1998-12-15)</v>
      </c>
      <c r="D228" s="8"/>
      <c r="E228" s="8"/>
      <c r="F228" s="8"/>
      <c r="G228" s="8"/>
      <c r="H228" s="8"/>
      <c r="I228" s="8"/>
      <c r="J228" s="8"/>
      <c r="K228" s="8"/>
      <c r="L228" s="8"/>
      <c r="M228" s="8"/>
      <c r="N228" s="8"/>
      <c r="O228" s="8"/>
      <c r="P228" s="8"/>
      <c r="Q228" s="8"/>
      <c r="R228" s="8"/>
      <c r="S228" s="8"/>
      <c r="T228" s="8"/>
      <c r="U228" s="8"/>
      <c r="V228" s="8"/>
      <c r="W228" s="8"/>
      <c r="X228" s="8"/>
      <c r="Y228" s="8"/>
      <c r="Z228" s="8"/>
    </row>
    <row r="229">
      <c r="A229" s="8" t="str">
        <f>IFERROR(__xludf.DUMMYFUNCTION("""COMPUTED_VALUE"""),"The Teletubbies walk around the tree and the windmill starts to spin when 
they watch two boys and two girls pick up pebbles to create a smile face in 
the sand with their dad. Later, in Teletubbyland, It Was Time for Tubby 
Toast, But The Tubby Toast Mac"&amp;"hine Wouldn't Work. So Tinky-Winky Tried It 
Again But It Still Wouldn't Work. So He Tried It Again But It Beeped 3 
Times, But Then The Tubby Toast Made 3 Tubby Toasts for 4 Teletubbies. (The 
Tubby Toast Has Made a Happy Pattern On The Table). Then The "&amp;"Teletubbies Do 
The Stretching Dance, And Then The Magic Windmill stopped spinning as The 
Tubby Bye-Bye Takes Place. 
Featuring: Eloise Casey, Harry Fellows, Aisha Merrick, Jordan Yahya")</f>
        <v>The Teletubbies walk around the tree and the windmill starts to spin when 
they watch two boys and two girls pick up pebbles to create a smile face in 
the sand with their dad. Later, in Teletubbyland, It Was Time for Tubby 
Toast, But The Tubby Toast Machine Wouldn't Work. So Tinky-Winky Tried It 
Again But It Still Wouldn't Work. So He Tried It Again But It Beeped 3 
Times, But Then The Tubby Toast Made 3 Tubby Toasts for 4 Teletubbies. (The 
Tubby Toast Has Made a Happy Pattern On The Table). Then The Teletubbies Do 
The Stretching Dance, And Then The Magic Windmill stopped spinning as The 
Tubby Bye-Bye Takes Place. 
Featuring: Eloise Casey, Harry Fellows, Aisha Merrick, Jordan Yahya</v>
      </c>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f>IFERROR(__xludf.DUMMYFUNCTION("""COMPUTED_VALUE"""),233.0)</f>
        <v>233</v>
      </c>
      <c r="B230" s="8" t="str">
        <f>IFERROR(__xludf.DUMMYFUNCTION("""COMPUTED_VALUE"""),"""Otters""")</f>
        <v>"Otters"</v>
      </c>
      <c r="C230" s="8" t="str">
        <f>IFERROR(__xludf.DUMMYFUNCTION("""COMPUTED_VALUE"""),"16 December 1998 (1998-12-16)")</f>
        <v>16 December 1998 (1998-12-16)</v>
      </c>
      <c r="D230" s="8"/>
      <c r="E230" s="8"/>
      <c r="F230" s="8"/>
      <c r="G230" s="8"/>
      <c r="H230" s="8"/>
      <c r="I230" s="8"/>
      <c r="J230" s="8"/>
      <c r="K230" s="8"/>
      <c r="L230" s="8"/>
      <c r="M230" s="8"/>
      <c r="N230" s="8"/>
      <c r="O230" s="8"/>
      <c r="P230" s="8"/>
      <c r="Q230" s="8"/>
      <c r="R230" s="8"/>
      <c r="S230" s="8"/>
      <c r="T230" s="8"/>
      <c r="U230" s="8"/>
      <c r="V230" s="8"/>
      <c r="W230" s="8"/>
      <c r="X230" s="8"/>
      <c r="Y230" s="8"/>
      <c r="Z230" s="8"/>
    </row>
    <row r="231">
      <c r="A231" s="8" t="str">
        <f>IFERROR(__xludf.DUMMYFUNCTION("""COMPUTED_VALUE"""),"Dipsy and Po watch the clouds together and children look for otters. 
Featuring: Andy Brown with Letesha Gray, Jamie McCullum and Louie Whatling")</f>
        <v>Dipsy and Po watch the clouds together and children look for otters. 
Featuring: Andy Brown with Letesha Gray, Jamie McCullum and Louie Whatling</v>
      </c>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f>IFERROR(__xludf.DUMMYFUNCTION("""COMPUTED_VALUE"""),234.0)</f>
        <v>234</v>
      </c>
      <c r="B232" s="8" t="str">
        <f>IFERROR(__xludf.DUMMYFUNCTION("""COMPUTED_VALUE"""),"""Decorating Boxes""")</f>
        <v>"Decorating Boxes"</v>
      </c>
      <c r="C232" s="8" t="str">
        <f>IFERROR(__xludf.DUMMYFUNCTION("""COMPUTED_VALUE"""),"17 December 1998 (1998-12-17)")</f>
        <v>17 December 1998 (1998-12-17)</v>
      </c>
      <c r="D232" s="8"/>
      <c r="E232" s="8"/>
      <c r="F232" s="8"/>
      <c r="G232" s="8"/>
      <c r="H232" s="8"/>
      <c r="I232" s="8"/>
      <c r="J232" s="8"/>
      <c r="K232" s="8"/>
      <c r="L232" s="8"/>
      <c r="M232" s="8"/>
      <c r="N232" s="8"/>
      <c r="O232" s="8"/>
      <c r="P232" s="8"/>
      <c r="Q232" s="8"/>
      <c r="R232" s="8"/>
      <c r="S232" s="8"/>
      <c r="T232" s="8"/>
      <c r="U232" s="8"/>
      <c r="V232" s="8"/>
      <c r="W232" s="8"/>
      <c r="X232" s="8"/>
      <c r="Y232" s="8"/>
      <c r="Z232" s="8"/>
    </row>
    <row r="233">
      <c r="A233" s="8" t="str">
        <f>IFERROR(__xludf.DUMMYFUNCTION("""COMPUTED_VALUE"""),"The Teletubbies do the Bumping Dance and then watch children making boxes 
into a caterpillar. A Box appears from Far Away but it's no ordinary Box. 
The Teletubbies want to know what's in the box. It's a Jack in the Box. The 
Teletubbies think that the J"&amp;"ack in the Box is very surprising, then they 
all run away before the Jack in the Box disappears. 
Featuring: Christopher &amp; Stephen Bone, Sarah &amp; Jason Brooker, Lawrence &amp; 
Catherine Smith, Lucienne Spencer and Oliver Taylor")</f>
        <v>The Teletubbies do the Bumping Dance and then watch children making boxes 
into a caterpillar. A Box appears from Far Away but it's no ordinary Box. 
The Teletubbies want to know what's in the box. It's a Jack in the Box. The 
Teletubbies think that the Jack in the Box is very surprising, then they 
all run away before the Jack in the Box disappears. 
Featuring: Christopher &amp; Stephen Bone, Sarah &amp; Jason Brooker, Lawrence &amp; 
Catherine Smith, Lucienne Spencer and Oliver Taylor</v>
      </c>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f>IFERROR(__xludf.DUMMYFUNCTION("""COMPUTED_VALUE"""),235.0)</f>
        <v>235</v>
      </c>
      <c r="B234" s="8" t="str">
        <f>IFERROR(__xludf.DUMMYFUNCTION("""COMPUTED_VALUE"""),"""Kathak Dancing""")</f>
        <v>"Kathak Dancing"</v>
      </c>
      <c r="C234" s="8" t="str">
        <f>IFERROR(__xludf.DUMMYFUNCTION("""COMPUTED_VALUE"""),"18 December 1998 (1998-12-18)")</f>
        <v>18 December 1998 (1998-12-18)</v>
      </c>
      <c r="D234" s="8"/>
      <c r="E234" s="8"/>
      <c r="F234" s="8"/>
      <c r="G234" s="8"/>
      <c r="H234" s="8"/>
      <c r="I234" s="8"/>
      <c r="J234" s="8"/>
      <c r="K234" s="8"/>
      <c r="L234" s="8"/>
      <c r="M234" s="8"/>
      <c r="N234" s="8"/>
      <c r="O234" s="8"/>
      <c r="P234" s="8"/>
      <c r="Q234" s="8"/>
      <c r="R234" s="8"/>
      <c r="S234" s="8"/>
      <c r="T234" s="8"/>
      <c r="U234" s="8"/>
      <c r="V234" s="8"/>
      <c r="W234" s="8"/>
      <c r="X234" s="8"/>
      <c r="Y234" s="8"/>
      <c r="Z234" s="8"/>
    </row>
    <row r="235">
      <c r="A235" s="8" t="str">
        <f>IFERROR(__xludf.DUMMYFUNCTION("""COMPUTED_VALUE"""),"The Teletubbies bump tummies and then watch five girls dance a Kathak 
dance. The Teletubbies play a game and swap their favorite things, but they 
are very happy when they each have their own special favourite things back. 
Featuring: Pooja Chapenara, Ne"&amp;"elam Gohil, Ritika Mehrotra, Saijal Reahal 
and Devina Vig")</f>
        <v>The Teletubbies bump tummies and then watch five girls dance a Kathak 
dance. The Teletubbies play a game and swap their favorite things, but they 
are very happy when they each have their own special favourite things back. 
Featuring: Pooja Chapenara, Neelam Gohil, Ritika Mehrotra, Saijal Reahal 
and Devina Vig</v>
      </c>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f>IFERROR(__xludf.DUMMYFUNCTION("""COMPUTED_VALUE"""),236.0)</f>
        <v>236</v>
      </c>
      <c r="B236" s="8" t="str">
        <f>IFERROR(__xludf.DUMMYFUNCTION("""COMPUTED_VALUE"""),"""Christmas in South Africa""")</f>
        <v>"Christmas in South Africa"</v>
      </c>
      <c r="C236" s="8" t="str">
        <f>IFERROR(__xludf.DUMMYFUNCTION("""COMPUTED_VALUE"""),"21 December 1998 (1998-12-21)")</f>
        <v>21 December 1998 (1998-12-21)</v>
      </c>
      <c r="D236" s="8"/>
      <c r="E236" s="8"/>
      <c r="F236" s="8"/>
      <c r="G236" s="8"/>
      <c r="H236" s="8"/>
      <c r="I236" s="8"/>
      <c r="J236" s="8"/>
      <c r="K236" s="8"/>
      <c r="L236" s="8"/>
      <c r="M236" s="8"/>
      <c r="N236" s="8"/>
      <c r="O236" s="8"/>
      <c r="P236" s="8"/>
      <c r="Q236" s="8"/>
      <c r="R236" s="8"/>
      <c r="S236" s="8"/>
      <c r="T236" s="8"/>
      <c r="U236" s="8"/>
      <c r="V236" s="8"/>
      <c r="W236" s="8"/>
      <c r="X236" s="8"/>
      <c r="Y236" s="8"/>
      <c r="Z236" s="8"/>
    </row>
    <row r="237">
      <c r="A237" s="8" t="str">
        <f>IFERROR(__xludf.DUMMYFUNCTION("""COMPUTED_VALUE"""),"The Teletubbies are playing with their favorite things, but stop to learn 
about a South African Christmas. Lots of clouds appear in Teletubbyland and 
it begins to snow. The excited Teletubbies run inside their Tubbytronic 
Superdome and watch the snow f"&amp;"rom the window before running out to dance a 
snowy dance. 
Featuring: Eira &amp; Catherine Palme and The Children from Sante Sana Game 
Reserve, South Africa")</f>
        <v>The Teletubbies are playing with their favorite things, but stop to learn 
about a South African Christmas. Lots of clouds appear in Teletubbyland and 
it begins to snow. The excited Teletubbies run inside their Tubbytronic 
Superdome and watch the snow from the window before running out to dance a 
snowy dance. 
Featuring: Eira &amp; Catherine Palme and The Children from Sante Sana Game 
Reserve, South Africa</v>
      </c>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f>IFERROR(__xludf.DUMMYFUNCTION("""COMPUTED_VALUE"""),237.0)</f>
        <v>237</v>
      </c>
      <c r="B238" s="8" t="str">
        <f>IFERROR(__xludf.DUMMYFUNCTION("""COMPUTED_VALUE"""),"""Christmas in Finland""")</f>
        <v>"Christmas in Finland"</v>
      </c>
      <c r="C238" s="8" t="str">
        <f>IFERROR(__xludf.DUMMYFUNCTION("""COMPUTED_VALUE"""),"22 December 1998 (1998-12-22)")</f>
        <v>22 December 1998 (1998-12-22)</v>
      </c>
      <c r="D238" s="8"/>
      <c r="E238" s="8"/>
      <c r="F238" s="8"/>
      <c r="G238" s="8"/>
      <c r="H238" s="8"/>
      <c r="I238" s="8"/>
      <c r="J238" s="8"/>
      <c r="K238" s="8"/>
      <c r="L238" s="8"/>
      <c r="M238" s="8"/>
      <c r="N238" s="8"/>
      <c r="O238" s="8"/>
      <c r="P238" s="8"/>
      <c r="Q238" s="8"/>
      <c r="R238" s="8"/>
      <c r="S238" s="8"/>
      <c r="T238" s="8"/>
      <c r="U238" s="8"/>
      <c r="V238" s="8"/>
      <c r="W238" s="8"/>
      <c r="X238" s="8"/>
      <c r="Y238" s="8"/>
      <c r="Z238" s="8"/>
    </row>
    <row r="239">
      <c r="A239" s="8" t="str">
        <f>IFERROR(__xludf.DUMMYFUNCTION("""COMPUTED_VALUE"""),"Po remembers the snow and looks outside through the window at the snow. She 
rushes to the other Teletubbies due to the Windmill Spinning and all the 
Teletubbies watch some Finnish children sing ""The Elves' Christmas Night."" 
When the Teletubbies take "&amp;"a walk and look at the things that are covered in 
snow, they find out that their favourite things are covered in snow, too. 
First, Tinky Winky finds his bag. Second, Dipsy finds his hat. Third, 
Laa-Laa finds her ball. At last, Po finds her scooter. Aft"&amp;"erwards, the 
Teletubbies are happy playing with them. Po rides too fast and slips around 
Teletubbyland and crashes into a tree, which covers her in snow when she 
says ""Uh-oh!"" and then giggles all the time. The other Teletubbies go find 
out what hap"&amp;"pened. When Tinky Winky, Dipsy and Laa-Laa find something 
covered in snow and they don't know what it is, Po pops out of the snow 
when she sits up and they all have a Big Hug. 
Featuring: Tuomas, Natias, Katarina, Sofia, Aleksi, Daniel, Alexander, 
Mika"&amp;", Anni, Vilma, Jaaskelainan, Henrietta, Emma, Tuuli, Ella, Hanna, Riku, 
Suvi and Annika")</f>
        <v>Po remembers the snow and looks outside through the window at the snow. She 
rushes to the other Teletubbies due to the Windmill Spinning and all the 
Teletubbies watch some Finnish children sing "The Elves' Christmas Night." 
When the Teletubbies take a walk and look at the things that are covered in 
snow, they find out that their favourite things are covered in snow, too. 
First, Tinky Winky finds his bag. Second, Dipsy finds his hat. Third, 
Laa-Laa finds her ball. At last, Po finds her scooter. Afterwards, the 
Teletubbies are happy playing with them. Po rides too fast and slips around 
Teletubbyland and crashes into a tree, which covers her in snow when she 
says "Uh-oh!" and then giggles all the time. The other Teletubbies go find 
out what happened. When Tinky Winky, Dipsy and Laa-Laa find something 
covered in snow and they don't know what it is, Po pops out of the snow 
when she sits up and they all have a Big Hug. 
Featuring: Tuomas, Natias, Katarina, Sofia, Aleksi, Daniel, Alexander, 
Mika, Anni, Vilma, Jaaskelainan, Henrietta, Emma, Tuuli, Ella, Hanna, Riku, 
Suvi and Annika</v>
      </c>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f>IFERROR(__xludf.DUMMYFUNCTION("""COMPUTED_VALUE"""),238.0)</f>
        <v>238</v>
      </c>
      <c r="B240" s="8" t="str">
        <f>IFERROR(__xludf.DUMMYFUNCTION("""COMPUTED_VALUE"""),"""Christmas in the UK""")</f>
        <v>"Christmas in the UK"</v>
      </c>
      <c r="C240" s="8" t="str">
        <f>IFERROR(__xludf.DUMMYFUNCTION("""COMPUTED_VALUE"""),"23 December 1998 (1998-12-23)")</f>
        <v>23 December 1998 (1998-12-23)</v>
      </c>
      <c r="D240" s="8"/>
      <c r="E240" s="8"/>
      <c r="F240" s="8"/>
      <c r="G240" s="8"/>
      <c r="H240" s="8"/>
      <c r="I240" s="8"/>
      <c r="J240" s="8"/>
      <c r="K240" s="8"/>
      <c r="L240" s="8"/>
      <c r="M240" s="8"/>
      <c r="N240" s="8"/>
      <c r="O240" s="8"/>
      <c r="P240" s="8"/>
      <c r="Q240" s="8"/>
      <c r="R240" s="8"/>
      <c r="S240" s="8"/>
      <c r="T240" s="8"/>
      <c r="U240" s="8"/>
      <c r="V240" s="8"/>
      <c r="W240" s="8"/>
      <c r="X240" s="8"/>
      <c r="Y240" s="8"/>
      <c r="Z240" s="8"/>
    </row>
    <row r="241">
      <c r="A241" s="8" t="str">
        <f>IFERROR(__xludf.DUMMYFUNCTION("""COMPUTED_VALUE"""),"Dipsy remembers the snow. The Teletubbies watch some children gospel 
singing and go into the snow. They are walking very carefully because the 
snow can be very slippery. When Tinky Winky slips, he begins to slide. It 
looks like fun so the other Teletub"&amp;"bies slide in the snow too. Laa-Laa 
wants to slide too so she slips and slides down the snow. It is Po's turn 
so she slides down the snow too. Tinky Winky, Laa-Laa and Po want Dipsy to 
play sliding, but he is too scared until he slides down the snow. H"&amp;"e is not 
scared anymore when the other Teletubbies and narrator say ""What clever 
sliding"". 
Featuring: The New Testament Church of God, Birmingham")</f>
        <v>Dipsy remembers the snow. The Teletubbies watch some children gospel 
singing and go into the snow. They are walking very carefully because the 
snow can be very slippery. When Tinky Winky slips, he begins to slide. It 
looks like fun so the other Teletubbies slide in the snow too. Laa-Laa 
wants to slide too so she slips and slides down the snow. It is Po's turn 
so she slides down the snow too. Tinky Winky, Laa-Laa and Po want Dipsy to 
play sliding, but he is too scared until he slides down the snow. He is not 
scared anymore when the other Teletubbies and narrator say "What clever 
sliding". 
Featuring: The New Testament Church of God, Birmingham</v>
      </c>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f>IFERROR(__xludf.DUMMYFUNCTION("""COMPUTED_VALUE"""),239.0)</f>
        <v>239</v>
      </c>
      <c r="B242" s="8" t="str">
        <f>IFERROR(__xludf.DUMMYFUNCTION("""COMPUTED_VALUE"""),"""Christmas in Spain""")</f>
        <v>"Christmas in Spain"</v>
      </c>
      <c r="C242" s="8" t="str">
        <f>IFERROR(__xludf.DUMMYFUNCTION("""COMPUTED_VALUE"""),"24 December 1998 (1998-12-24)")</f>
        <v>24 December 1998 (1998-12-24)</v>
      </c>
      <c r="D242" s="8"/>
      <c r="E242" s="8"/>
      <c r="F242" s="8"/>
      <c r="G242" s="8"/>
      <c r="H242" s="8"/>
      <c r="I242" s="8"/>
      <c r="J242" s="8"/>
      <c r="K242" s="8"/>
      <c r="L242" s="8"/>
      <c r="M242" s="8"/>
      <c r="N242" s="8"/>
      <c r="O242" s="8"/>
      <c r="P242" s="8"/>
      <c r="Q242" s="8"/>
      <c r="R242" s="8"/>
      <c r="S242" s="8"/>
      <c r="T242" s="8"/>
      <c r="U242" s="8"/>
      <c r="V242" s="8"/>
      <c r="W242" s="8"/>
      <c r="X242" s="8"/>
      <c r="Y242" s="8"/>
      <c r="Z242" s="8"/>
    </row>
    <row r="243">
      <c r="A243" s="8" t="str">
        <f>IFERROR(__xludf.DUMMYFUNCTION("""COMPUTED_VALUE"""),"Inside the House, Laa Laa was asleep in her bed and then she remembers the 
snow. The Teletubbies learn about a Spanish Christmas. The Teletubbies are 
very busy in the snow, Tinky Winky and Dipsy make foot prints, Po makes a 
Po print and Laa-Laa makes a"&amp;" very small snowball. Laa Laa's snowball rolls 
away and grows bigger and bigger, the Teletubbies chase after it until it 
rolls up a hill and back down, the Teletubbies all run away from the big 
snowball. The big snowball rolls into the house and crashe"&amp;"s into Noo Noo. 
The Teletubbies run inside to find Noo Noo covered in snow, what a snowy 
mess, then Noo Noo tidies up all the snow. Clever Noo Noo. 
Featuring: Maria Ballester, The Duesa Family and The Juanet Family")</f>
        <v>Inside the House, Laa Laa was asleep in her bed and then she remembers the 
snow. The Teletubbies learn about a Spanish Christmas. The Teletubbies are 
very busy in the snow, Tinky Winky and Dipsy make foot prints, Po makes a 
Po print and Laa-Laa makes a very small snowball. Laa Laa's snowball rolls 
away and grows bigger and bigger, the Teletubbies chase after it until it 
rolls up a hill and back down, the Teletubbies all run away from the big 
snowball. The big snowball rolls into the house and crashes into Noo Noo. 
The Teletubbies run inside to find Noo Noo covered in snow, what a snowy 
mess, then Noo Noo tidies up all the snow. Clever Noo Noo. 
Featuring: Maria Ballester, The Duesa Family and The Juanet Family</v>
      </c>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f>IFERROR(__xludf.DUMMYFUNCTION("""COMPUTED_VALUE"""),240.0)</f>
        <v>240</v>
      </c>
      <c r="B244" s="8" t="str">
        <f>IFERROR(__xludf.DUMMYFUNCTION("""COMPUTED_VALUE"""),"""Nativity Play""")</f>
        <v>"Nativity Play"</v>
      </c>
      <c r="C244" s="8" t="str">
        <f>IFERROR(__xludf.DUMMYFUNCTION("""COMPUTED_VALUE"""),"25 December 1998 (1998-12-25)")</f>
        <v>25 December 1998 (1998-12-25)</v>
      </c>
      <c r="D244" s="8"/>
      <c r="E244" s="8"/>
      <c r="F244" s="8"/>
      <c r="G244" s="8"/>
      <c r="H244" s="8"/>
      <c r="I244" s="8"/>
      <c r="J244" s="8"/>
      <c r="K244" s="8"/>
      <c r="L244" s="8"/>
      <c r="M244" s="8"/>
      <c r="N244" s="8"/>
      <c r="O244" s="8"/>
      <c r="P244" s="8"/>
      <c r="Q244" s="8"/>
      <c r="R244" s="8"/>
      <c r="S244" s="8"/>
      <c r="T244" s="8"/>
      <c r="U244" s="8"/>
      <c r="V244" s="8"/>
      <c r="W244" s="8"/>
      <c r="X244" s="8"/>
      <c r="Y244" s="8"/>
      <c r="Z244" s="8"/>
    </row>
    <row r="245">
      <c r="A245" s="8" t="str">
        <f>IFERROR(__xludf.DUMMYFUNCTION("""COMPUTED_VALUE"""),"Tinky Winky remembers the snow, Just then he suddenly sees the Magic 
Windmill spinning. The Teletubbies watch some children perform a Nativity 
Play, then they get busy making snowballs. All the snowballs are different 
sizes, so the Teletubbies decide t"&amp;"o use their snowballs to make a 
snowtubby. They all love their Snowtubby so much they give him their 
favourite things. 
Featuring: Overdale Nursery School, Scarborough")</f>
        <v>Tinky Winky remembers the snow, Just then he suddenly sees the Magic 
Windmill spinning. The Teletubbies watch some children perform a Nativity 
Play, then they get busy making snowballs. All the snowballs are different 
sizes, so the Teletubbies decide to use their snowballs to make a 
snowtubby. They all love their Snowtubby so much they give him their 
favourite things. 
Featuring: Overdale Nursery School, Scarborough</v>
      </c>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f>IFERROR(__xludf.DUMMYFUNCTION("""COMPUTED_VALUE"""),241.0)</f>
        <v>241</v>
      </c>
      <c r="B246" s="8" t="str">
        <f>IFERROR(__xludf.DUMMYFUNCTION("""COMPUTED_VALUE"""),"""Towers""")</f>
        <v>"Towers"</v>
      </c>
      <c r="C246" s="8" t="str">
        <f>IFERROR(__xludf.DUMMYFUNCTION("""COMPUTED_VALUE"""),"28 December 1998 (1998-12-28)")</f>
        <v>28 December 1998 (1998-12-28)</v>
      </c>
      <c r="D246" s="8"/>
      <c r="E246" s="8"/>
      <c r="F246" s="8"/>
      <c r="G246" s="8"/>
      <c r="H246" s="8"/>
      <c r="I246" s="8"/>
      <c r="J246" s="8"/>
      <c r="K246" s="8"/>
      <c r="L246" s="8"/>
      <c r="M246" s="8"/>
      <c r="N246" s="8"/>
      <c r="O246" s="8"/>
      <c r="P246" s="8"/>
      <c r="Q246" s="8"/>
      <c r="R246" s="8"/>
      <c r="S246" s="8"/>
      <c r="T246" s="8"/>
      <c r="U246" s="8"/>
      <c r="V246" s="8"/>
      <c r="W246" s="8"/>
      <c r="X246" s="8"/>
      <c r="Y246" s="8"/>
      <c r="Z246" s="8"/>
    </row>
    <row r="247">
      <c r="A247" s="8" t="str">
        <f>IFERROR(__xludf.DUMMYFUNCTION("""COMPUTED_VALUE"""),"The Teletubbies walk on some hills before watching some children making 
towers out of bricks. Dipsy and Laa-Laa have fun going up and down. 
Featuring: The Children of Bartlemas Nursery School, Oxford")</f>
        <v>The Teletubbies walk on some hills before watching some children making 
towers out of bricks. Dipsy and Laa-Laa have fun going up and down. 
Featuring: The Children of Bartlemas Nursery School, Oxford</v>
      </c>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f>IFERROR(__xludf.DUMMYFUNCTION("""COMPUTED_VALUE"""),242.0)</f>
        <v>242</v>
      </c>
      <c r="B248" s="8" t="str">
        <f>IFERROR(__xludf.DUMMYFUNCTION("""COMPUTED_VALUE"""),"""Oranges and Lemons""")</f>
        <v>"Oranges and Lemons"</v>
      </c>
      <c r="C248" s="8" t="str">
        <f>IFERROR(__xludf.DUMMYFUNCTION("""COMPUTED_VALUE"""),"29 December 1998 (1998-12-29)")</f>
        <v>29 December 1998 (1998-12-29)</v>
      </c>
      <c r="D248" s="8"/>
      <c r="E248" s="8"/>
      <c r="F248" s="8"/>
      <c r="G248" s="8"/>
      <c r="H248" s="8"/>
      <c r="I248" s="8"/>
      <c r="J248" s="8"/>
      <c r="K248" s="8"/>
      <c r="L248" s="8"/>
      <c r="M248" s="8"/>
      <c r="N248" s="8"/>
      <c r="O248" s="8"/>
      <c r="P248" s="8"/>
      <c r="Q248" s="8"/>
      <c r="R248" s="8"/>
      <c r="S248" s="8"/>
      <c r="T248" s="8"/>
      <c r="U248" s="8"/>
      <c r="V248" s="8"/>
      <c r="W248" s="8"/>
      <c r="X248" s="8"/>
      <c r="Y248" s="8"/>
      <c r="Z248" s="8"/>
    </row>
    <row r="249">
      <c r="A249" s="8" t="str">
        <f>IFERROR(__xludf.DUMMYFUNCTION("""COMPUTED_VALUE"""),"The Teletubbies are inside Home Hill when a voice trumpet rises and plays 
church bell noises, then the Magic Windmill spins and the Teletubbies watch 
some children playing a game called Oranges and Lemons. Later, a ringing 
bell appears in Teletubbyland"&amp;". Dipsy rings the bell, and it makes a very 
loud ringing sound. After the ringing bell disappears, the Magic Windmill 
stops spinning, and it is time for Tubby Bye Bye. 
Featuring: Children from the Heidi Rhodes School of Dancing")</f>
        <v>The Teletubbies are inside Home Hill when a voice trumpet rises and plays 
church bell noises, then the Magic Windmill spins and the Teletubbies watch 
some children playing a game called Oranges and Lemons. Later, a ringing 
bell appears in Teletubbyland. Dipsy rings the bell, and it makes a very 
loud ringing sound. After the ringing bell disappears, the Magic Windmill 
stops spinning, and it is time for Tubby Bye Bye. 
Featuring: Children from the Heidi Rhodes School of Dancing</v>
      </c>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f>IFERROR(__xludf.DUMMYFUNCTION("""COMPUTED_VALUE"""),243.0)</f>
        <v>243</v>
      </c>
      <c r="B250" s="8" t="str">
        <f>IFERROR(__xludf.DUMMYFUNCTION("""COMPUTED_VALUE"""),"""Feeding Baby Penguins""")</f>
        <v>"Feeding Baby Penguins"</v>
      </c>
      <c r="C250" s="8" t="str">
        <f>IFERROR(__xludf.DUMMYFUNCTION("""COMPUTED_VALUE"""),"30 December 1998 (1998-12-30)")</f>
        <v>30 December 1998 (1998-12-30)</v>
      </c>
      <c r="D250" s="8"/>
      <c r="E250" s="8"/>
      <c r="F250" s="8"/>
      <c r="G250" s="8"/>
      <c r="H250" s="8"/>
      <c r="I250" s="8"/>
      <c r="J250" s="8"/>
      <c r="K250" s="8"/>
      <c r="L250" s="8"/>
      <c r="M250" s="8"/>
      <c r="N250" s="8"/>
      <c r="O250" s="8"/>
      <c r="P250" s="8"/>
      <c r="Q250" s="8"/>
      <c r="R250" s="8"/>
      <c r="S250" s="8"/>
      <c r="T250" s="8"/>
      <c r="U250" s="8"/>
      <c r="V250" s="8"/>
      <c r="W250" s="8"/>
      <c r="X250" s="8"/>
      <c r="Y250" s="8"/>
      <c r="Z250" s="8"/>
    </row>
    <row r="251">
      <c r="A251" s="8" t="str">
        <f>IFERROR(__xludf.DUMMYFUNCTION("""COMPUTED_VALUE"""),"Inside the Teletubbies' Superdome, Tinky Winky is starting to have Tubby 
Custard, when the Windmill spins. Tinky Winky turns off the Tubby Custard 
Machine and rushes outside to fetch the other Teletubbies and they watch 
group of youngsters feed a flock"&amp;" of baby penguins. The Magic Windmill 
starts to spin and the Teletubbies run off to the Magical Event of the Bear 
and the Lion appear playing hide and seek in the Teletubbyland. After that 
the Teletubbies go to the path to do the Jumping Dance before t"&amp;"he Magic 
Windmill spins, the Teletubbies said ""Uh Oh"" and the Magic Windmill stops 
spinning for Tubby Bye-Bye. 
Featuring: Hannah Mackay, Alex, Jess &amp; Jo Osborne and Catherine Watkins")</f>
        <v>Inside the Teletubbies' Superdome, Tinky Winky is starting to have Tubby 
Custard, when the Windmill spins. Tinky Winky turns off the Tubby Custard 
Machine and rushes outside to fetch the other Teletubbies and they watch 
group of youngsters feed a flock of baby penguins. The Magic Windmill 
starts to spin and the Teletubbies run off to the Magical Event of the Bear 
and the Lion appear playing hide and seek in the Teletubbyland. After that 
the Teletubbies go to the path to do the Jumping Dance before the Magic 
Windmill spins, the Teletubbies said "Uh Oh" and the Magic Windmill stops 
spinning for Tubby Bye-Bye. 
Featuring: Hannah Mackay, Alex, Jess &amp; Jo Osborne and Catherine Watkins</v>
      </c>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f>IFERROR(__xludf.DUMMYFUNCTION("""COMPUTED_VALUE"""),244.0)</f>
        <v>244</v>
      </c>
      <c r="B252" s="8" t="str">
        <f>IFERROR(__xludf.DUMMYFUNCTION("""COMPUTED_VALUE"""),"""Trickle Painting""")</f>
        <v>"Trickle Painting"</v>
      </c>
      <c r="C252" s="8" t="str">
        <f>IFERROR(__xludf.DUMMYFUNCTION("""COMPUTED_VALUE"""),"31 December 1998 (1998-12-31)")</f>
        <v>31 December 1998 (1998-12-31)</v>
      </c>
      <c r="D252" s="8"/>
      <c r="E252" s="8"/>
      <c r="F252" s="8"/>
      <c r="G252" s="8"/>
      <c r="H252" s="8"/>
      <c r="I252" s="8"/>
      <c r="J252" s="8"/>
      <c r="K252" s="8"/>
      <c r="L252" s="8"/>
      <c r="M252" s="8"/>
      <c r="N252" s="8"/>
      <c r="O252" s="8"/>
      <c r="P252" s="8"/>
      <c r="Q252" s="8"/>
      <c r="R252" s="8"/>
      <c r="S252" s="8"/>
      <c r="T252" s="8"/>
      <c r="U252" s="8"/>
      <c r="V252" s="8"/>
      <c r="W252" s="8"/>
      <c r="X252" s="8"/>
      <c r="Y252" s="8"/>
      <c r="Z252" s="8"/>
    </row>
    <row r="253">
      <c r="A253" s="8" t="str">
        <f>IFERROR(__xludf.DUMMYFUNCTION("""COMPUTED_VALUE"""),"The Teletubbies walk round some hills, then they watch some children make 
pictures called Trickle Paintings. Inside the house, it's time for Po to 
have Tubby Custard, but the Tubby Custard Machine won't stop and makes more 
and more Tubby Custard, Po tu"&amp;"rns the Tubby Custard Machine off and it's 
time for the Noo Noo to tidy up, the Teletubbies love Noo Noo very much. 
Featuring: Christopher &amp; Stephen Bone and Lawrence &amp; Catherine Smith")</f>
        <v>The Teletubbies walk round some hills, then they watch some children make 
pictures called Trickle Paintings. Inside the house, it's time for Po to 
have Tubby Custard, but the Tubby Custard Machine won't stop and makes more 
and more Tubby Custard, Po turns the Tubby Custard Machine off and it's 
time for the Noo Noo to tidy up, the Teletubbies love Noo Noo very much. 
Featuring: Christopher &amp; Stephen Bone and Lawrence &amp; Catherine Smith</v>
      </c>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IFERROR(__xludf.DUMMYFUNCTION("IMPORTHTML(""https://fr.wikipedia.org/wiki/Liste_des_pr%C3%A9sidents_des_%C3%89tats-Unis"",""table"",1)"),"#REF!")</f>
        <v>#REF!</v>
      </c>
    </row>
    <row r="48">
      <c r="A48" t="s">
        <v>38</v>
      </c>
      <c r="B48" t="s">
        <v>39</v>
      </c>
      <c r="C48" t="s">
        <v>40</v>
      </c>
      <c r="D48" t="s">
        <v>41</v>
      </c>
      <c r="E48" t="s">
        <v>42</v>
      </c>
      <c r="F48" t="s">
        <v>43</v>
      </c>
      <c r="G48" t="s">
        <v>44</v>
      </c>
      <c r="H48" t="s">
        <v>45</v>
      </c>
      <c r="I48" t="s">
        <v>46</v>
      </c>
    </row>
    <row r="49">
      <c r="A49" t="s">
        <v>47</v>
      </c>
      <c r="B49" t="s">
        <v>48</v>
      </c>
      <c r="D49">
        <v>-40420.0</v>
      </c>
      <c r="E49">
        <v>-37555.0</v>
      </c>
      <c r="F49" t="s">
        <v>49</v>
      </c>
      <c r="G49" t="s">
        <v>42</v>
      </c>
      <c r="H49" t="s">
        <v>50</v>
      </c>
      <c r="I49" t="s">
        <v>51</v>
      </c>
    </row>
    <row r="50">
      <c r="A50" t="s">
        <v>52</v>
      </c>
      <c r="B50" t="s">
        <v>53</v>
      </c>
      <c r="D50">
        <v>-37555.0</v>
      </c>
      <c r="E50">
        <v>-36095.0</v>
      </c>
      <c r="F50" t="s">
        <v>54</v>
      </c>
      <c r="G50" t="s">
        <v>42</v>
      </c>
      <c r="H50" t="s">
        <v>55</v>
      </c>
      <c r="I50" t="s">
        <v>56</v>
      </c>
    </row>
    <row r="51">
      <c r="A51" t="s">
        <v>57</v>
      </c>
      <c r="B51" t="s">
        <v>58</v>
      </c>
      <c r="D51">
        <v>-36095.0</v>
      </c>
      <c r="E51">
        <v>-33173.0</v>
      </c>
      <c r="F51" t="s">
        <v>59</v>
      </c>
      <c r="G51" t="s">
        <v>42</v>
      </c>
      <c r="H51" t="s">
        <v>60</v>
      </c>
      <c r="I51" t="s">
        <v>61</v>
      </c>
    </row>
    <row r="52">
      <c r="A52" t="s">
        <v>62</v>
      </c>
      <c r="B52" t="s">
        <v>63</v>
      </c>
      <c r="D52">
        <v>-33173.0</v>
      </c>
      <c r="E52">
        <v>-30251.0</v>
      </c>
      <c r="F52" t="s">
        <v>59</v>
      </c>
      <c r="G52" t="s">
        <v>42</v>
      </c>
      <c r="H52" t="s">
        <v>60</v>
      </c>
      <c r="I52" t="s">
        <v>64</v>
      </c>
    </row>
    <row r="53">
      <c r="A53" t="s">
        <v>65</v>
      </c>
      <c r="B53" t="s">
        <v>66</v>
      </c>
      <c r="D53">
        <v>-30251.0</v>
      </c>
      <c r="E53">
        <v>-27329.0</v>
      </c>
      <c r="F53" t="s">
        <v>59</v>
      </c>
      <c r="G53" t="s">
        <v>42</v>
      </c>
      <c r="H53" t="s">
        <v>60</v>
      </c>
      <c r="I53" t="s">
        <v>67</v>
      </c>
    </row>
    <row r="54">
      <c r="A54" t="s">
        <v>68</v>
      </c>
      <c r="B54" t="s">
        <v>69</v>
      </c>
      <c r="D54">
        <v>-27329.0</v>
      </c>
      <c r="E54">
        <v>-25868.0</v>
      </c>
      <c r="F54" t="s">
        <v>54</v>
      </c>
      <c r="G54" t="s">
        <v>42</v>
      </c>
      <c r="H54" t="s">
        <v>60</v>
      </c>
      <c r="I54" t="s">
        <v>70</v>
      </c>
    </row>
    <row r="55">
      <c r="A55" t="s">
        <v>71</v>
      </c>
      <c r="B55" t="s">
        <v>72</v>
      </c>
      <c r="D55">
        <v>-25868.0</v>
      </c>
      <c r="E55">
        <v>-22946.0</v>
      </c>
      <c r="F55" t="s">
        <v>59</v>
      </c>
      <c r="G55" t="s">
        <v>42</v>
      </c>
      <c r="H55" t="s">
        <v>73</v>
      </c>
      <c r="I55" t="s">
        <v>74</v>
      </c>
    </row>
    <row r="56">
      <c r="A56" t="s">
        <v>75</v>
      </c>
      <c r="B56" t="s">
        <v>76</v>
      </c>
      <c r="D56">
        <v>-22946.0</v>
      </c>
      <c r="E56">
        <v>-21485.0</v>
      </c>
      <c r="F56" t="s">
        <v>54</v>
      </c>
      <c r="G56" t="s">
        <v>42</v>
      </c>
      <c r="H56" t="s">
        <v>73</v>
      </c>
      <c r="I56" t="s">
        <v>77</v>
      </c>
    </row>
    <row r="57">
      <c r="A57" t="s">
        <v>78</v>
      </c>
      <c r="B57" t="s">
        <v>79</v>
      </c>
      <c r="D57">
        <v>-21485.0</v>
      </c>
      <c r="E57">
        <v>-21454.0</v>
      </c>
      <c r="F57" t="s">
        <v>80</v>
      </c>
      <c r="G57" t="s">
        <v>81</v>
      </c>
      <c r="H57" t="s">
        <v>82</v>
      </c>
      <c r="I57" t="s">
        <v>83</v>
      </c>
    </row>
    <row r="58">
      <c r="A58" t="s">
        <v>84</v>
      </c>
      <c r="B58" t="s">
        <v>85</v>
      </c>
      <c r="D58">
        <v>-21454.0</v>
      </c>
      <c r="E58">
        <v>-20024.0</v>
      </c>
      <c r="F58" t="s">
        <v>86</v>
      </c>
      <c r="G58" t="s">
        <v>42</v>
      </c>
      <c r="H58" t="s">
        <v>50</v>
      </c>
      <c r="I58" t="s">
        <v>87</v>
      </c>
    </row>
    <row r="59">
      <c r="A59" t="s">
        <v>88</v>
      </c>
      <c r="B59" t="s">
        <v>89</v>
      </c>
      <c r="D59">
        <v>-20024.0</v>
      </c>
      <c r="E59">
        <v>-18563.0</v>
      </c>
      <c r="F59" t="s">
        <v>54</v>
      </c>
      <c r="G59" t="s">
        <v>42</v>
      </c>
      <c r="H59" t="s">
        <v>73</v>
      </c>
      <c r="I59" t="s">
        <v>90</v>
      </c>
    </row>
    <row r="60">
      <c r="A60" t="s">
        <v>91</v>
      </c>
      <c r="B60" t="s">
        <v>92</v>
      </c>
      <c r="D60">
        <v>-18563.0</v>
      </c>
      <c r="E60">
        <v>-18071.0</v>
      </c>
      <c r="F60" t="s">
        <v>93</v>
      </c>
      <c r="G60" t="s">
        <v>81</v>
      </c>
      <c r="H60" t="s">
        <v>82</v>
      </c>
      <c r="I60" t="s">
        <v>94</v>
      </c>
    </row>
    <row r="61">
      <c r="A61" t="s">
        <v>95</v>
      </c>
      <c r="B61" t="s">
        <v>96</v>
      </c>
      <c r="D61">
        <v>-18071.0</v>
      </c>
      <c r="E61">
        <v>-17102.0</v>
      </c>
      <c r="F61" t="s">
        <v>97</v>
      </c>
      <c r="G61" t="s">
        <v>42</v>
      </c>
      <c r="H61" t="s">
        <v>82</v>
      </c>
      <c r="I61" t="s">
        <v>98</v>
      </c>
    </row>
    <row r="62">
      <c r="A62" t="s">
        <v>99</v>
      </c>
      <c r="B62" t="s">
        <v>100</v>
      </c>
      <c r="D62">
        <v>-17102.0</v>
      </c>
      <c r="E62">
        <v>-15641.0</v>
      </c>
      <c r="F62" t="s">
        <v>54</v>
      </c>
      <c r="G62" t="s">
        <v>42</v>
      </c>
      <c r="H62" t="s">
        <v>73</v>
      </c>
      <c r="I62" t="s">
        <v>101</v>
      </c>
    </row>
    <row r="63">
      <c r="A63" t="s">
        <v>102</v>
      </c>
      <c r="B63" t="s">
        <v>103</v>
      </c>
      <c r="D63">
        <v>-15641.0</v>
      </c>
      <c r="E63">
        <v>-14180.0</v>
      </c>
      <c r="F63" t="s">
        <v>54</v>
      </c>
      <c r="G63" t="s">
        <v>42</v>
      </c>
      <c r="H63" t="s">
        <v>73</v>
      </c>
      <c r="I63" t="s">
        <v>104</v>
      </c>
    </row>
    <row r="64">
      <c r="A64" t="s">
        <v>105</v>
      </c>
      <c r="B64" t="s">
        <v>106</v>
      </c>
      <c r="D64">
        <v>-14180.0</v>
      </c>
      <c r="E64">
        <v>-12677.0</v>
      </c>
      <c r="F64" t="s">
        <v>107</v>
      </c>
      <c r="G64" t="s">
        <v>108</v>
      </c>
      <c r="H64" t="s">
        <v>109</v>
      </c>
      <c r="I64" t="s">
        <v>110</v>
      </c>
    </row>
    <row r="65">
      <c r="A65" t="s">
        <v>111</v>
      </c>
      <c r="B65" t="s">
        <v>112</v>
      </c>
      <c r="D65">
        <v>-12677.0</v>
      </c>
      <c r="E65">
        <v>-11258.0</v>
      </c>
      <c r="F65" t="s">
        <v>113</v>
      </c>
      <c r="G65" t="s">
        <v>42</v>
      </c>
      <c r="H65" t="s">
        <v>114</v>
      </c>
      <c r="I65" t="s">
        <v>115</v>
      </c>
    </row>
    <row r="66">
      <c r="A66" t="s">
        <v>116</v>
      </c>
      <c r="B66" t="s">
        <v>117</v>
      </c>
      <c r="D66">
        <v>-11258.0</v>
      </c>
      <c r="E66">
        <v>-8336.0</v>
      </c>
      <c r="F66" t="s">
        <v>59</v>
      </c>
      <c r="G66" t="s">
        <v>42</v>
      </c>
      <c r="H66" t="s">
        <v>118</v>
      </c>
      <c r="I66" t="s">
        <v>119</v>
      </c>
    </row>
    <row r="67">
      <c r="A67" t="s">
        <v>120</v>
      </c>
      <c r="B67" t="s">
        <v>121</v>
      </c>
      <c r="D67">
        <v>-8336.0</v>
      </c>
      <c r="E67">
        <v>-6875.0</v>
      </c>
      <c r="F67" t="s">
        <v>54</v>
      </c>
      <c r="G67" t="s">
        <v>42</v>
      </c>
      <c r="H67" t="s">
        <v>118</v>
      </c>
      <c r="I67" t="s">
        <v>122</v>
      </c>
    </row>
    <row r="68">
      <c r="A68" t="s">
        <v>123</v>
      </c>
      <c r="B68" t="s">
        <v>124</v>
      </c>
      <c r="D68">
        <v>-6875.0</v>
      </c>
      <c r="E68">
        <v>-6676.0</v>
      </c>
      <c r="F68" t="s">
        <v>125</v>
      </c>
      <c r="G68" t="s">
        <v>108</v>
      </c>
      <c r="H68" t="s">
        <v>118</v>
      </c>
      <c r="I68" t="s">
        <v>126</v>
      </c>
    </row>
    <row r="69">
      <c r="A69" t="s">
        <v>127</v>
      </c>
      <c r="B69" t="s">
        <v>128</v>
      </c>
      <c r="D69">
        <v>-6676.0</v>
      </c>
      <c r="E69">
        <v>-5414.0</v>
      </c>
      <c r="F69" t="s">
        <v>129</v>
      </c>
      <c r="G69" t="s">
        <v>42</v>
      </c>
      <c r="H69" t="s">
        <v>118</v>
      </c>
      <c r="I69" t="s">
        <v>130</v>
      </c>
    </row>
    <row r="70">
      <c r="A70" t="s">
        <v>131</v>
      </c>
      <c r="B70" t="s">
        <v>132</v>
      </c>
      <c r="D70">
        <v>-5414.0</v>
      </c>
      <c r="E70">
        <v>-3953.0</v>
      </c>
      <c r="F70" t="s">
        <v>54</v>
      </c>
      <c r="G70" t="s">
        <v>42</v>
      </c>
      <c r="H70" t="s">
        <v>73</v>
      </c>
      <c r="I70" t="s">
        <v>133</v>
      </c>
    </row>
    <row r="71">
      <c r="A71" t="s">
        <v>134</v>
      </c>
      <c r="B71" t="s">
        <v>135</v>
      </c>
      <c r="D71">
        <v>-3953.0</v>
      </c>
      <c r="E71">
        <v>-2492.0</v>
      </c>
      <c r="F71" t="s">
        <v>54</v>
      </c>
      <c r="G71" t="s">
        <v>42</v>
      </c>
      <c r="H71" t="s">
        <v>118</v>
      </c>
      <c r="I71" t="s">
        <v>136</v>
      </c>
    </row>
    <row r="72">
      <c r="A72" t="s">
        <v>137</v>
      </c>
      <c r="B72" t="s">
        <v>138</v>
      </c>
      <c r="D72">
        <v>-2492.0</v>
      </c>
      <c r="E72">
        <v>-1031.0</v>
      </c>
      <c r="F72" t="s">
        <v>54</v>
      </c>
      <c r="G72" t="s">
        <v>42</v>
      </c>
      <c r="H72" t="s">
        <v>73</v>
      </c>
      <c r="I72" t="s">
        <v>139</v>
      </c>
    </row>
    <row r="73">
      <c r="A73" t="s">
        <v>140</v>
      </c>
      <c r="B73" t="s">
        <v>141</v>
      </c>
      <c r="D73">
        <v>-1031.0</v>
      </c>
      <c r="E73">
        <v>623.0</v>
      </c>
      <c r="F73" t="s">
        <v>142</v>
      </c>
      <c r="G73" t="s">
        <v>108</v>
      </c>
      <c r="H73" t="s">
        <v>118</v>
      </c>
      <c r="I73" t="s">
        <v>143</v>
      </c>
    </row>
    <row r="74">
      <c r="A74" t="s">
        <v>144</v>
      </c>
      <c r="B74" t="s">
        <v>145</v>
      </c>
      <c r="D74">
        <v>623.0</v>
      </c>
      <c r="E74">
        <v>3351.0</v>
      </c>
      <c r="F74" t="s">
        <v>146</v>
      </c>
      <c r="G74" t="s">
        <v>42</v>
      </c>
      <c r="H74" t="s">
        <v>118</v>
      </c>
      <c r="I74" t="s">
        <v>147</v>
      </c>
    </row>
    <row r="75">
      <c r="A75" t="s">
        <v>148</v>
      </c>
      <c r="B75" t="s">
        <v>149</v>
      </c>
      <c r="D75">
        <v>3351.0</v>
      </c>
      <c r="E75">
        <v>4812.0</v>
      </c>
      <c r="F75" t="s">
        <v>54</v>
      </c>
      <c r="G75" t="s">
        <v>42</v>
      </c>
      <c r="H75" t="s">
        <v>118</v>
      </c>
      <c r="I75" t="s">
        <v>150</v>
      </c>
    </row>
    <row r="76">
      <c r="A76" t="s">
        <v>151</v>
      </c>
      <c r="B76" t="s">
        <v>152</v>
      </c>
      <c r="D76">
        <v>4812.0</v>
      </c>
      <c r="E76">
        <v>7734.0</v>
      </c>
      <c r="F76" t="s">
        <v>59</v>
      </c>
      <c r="G76" t="s">
        <v>42</v>
      </c>
      <c r="H76" t="s">
        <v>73</v>
      </c>
      <c r="I76" t="s">
        <v>153</v>
      </c>
    </row>
    <row r="77">
      <c r="A77" t="s">
        <v>154</v>
      </c>
      <c r="B77" t="s">
        <v>155</v>
      </c>
      <c r="D77">
        <v>7734.0</v>
      </c>
      <c r="E77">
        <v>8615.0</v>
      </c>
      <c r="F77" t="s">
        <v>156</v>
      </c>
      <c r="G77" t="s">
        <v>81</v>
      </c>
      <c r="H77" t="s">
        <v>118</v>
      </c>
      <c r="I77" t="s">
        <v>157</v>
      </c>
    </row>
    <row r="78">
      <c r="A78" t="s">
        <v>158</v>
      </c>
      <c r="B78" t="s">
        <v>159</v>
      </c>
      <c r="D78">
        <v>8615.0</v>
      </c>
      <c r="E78">
        <v>10656.0</v>
      </c>
      <c r="F78" t="s">
        <v>160</v>
      </c>
      <c r="G78" t="s">
        <v>42</v>
      </c>
      <c r="H78" t="s">
        <v>118</v>
      </c>
      <c r="I78" t="s">
        <v>161</v>
      </c>
    </row>
    <row r="79">
      <c r="A79" t="s">
        <v>162</v>
      </c>
      <c r="B79" t="s">
        <v>163</v>
      </c>
      <c r="D79">
        <v>10656.0</v>
      </c>
      <c r="E79">
        <v>12117.0</v>
      </c>
      <c r="F79" t="s">
        <v>54</v>
      </c>
      <c r="G79" t="s">
        <v>42</v>
      </c>
      <c r="H79" t="s">
        <v>118</v>
      </c>
      <c r="I79" t="s">
        <v>164</v>
      </c>
    </row>
    <row r="80">
      <c r="A80" t="s">
        <v>165</v>
      </c>
      <c r="B80" t="s">
        <v>166</v>
      </c>
      <c r="D80">
        <v>12117.0</v>
      </c>
      <c r="E80">
        <v>16539.0</v>
      </c>
      <c r="F80" t="s">
        <v>167</v>
      </c>
      <c r="G80" t="s">
        <v>81</v>
      </c>
      <c r="H80" t="s">
        <v>73</v>
      </c>
      <c r="I80" t="s">
        <v>168</v>
      </c>
    </row>
    <row r="81">
      <c r="A81" t="s">
        <v>169</v>
      </c>
      <c r="B81" t="s">
        <v>170</v>
      </c>
      <c r="D81">
        <v>16539.0</v>
      </c>
      <c r="E81">
        <v>19379.0</v>
      </c>
      <c r="F81" t="s">
        <v>171</v>
      </c>
      <c r="G81" t="s">
        <v>42</v>
      </c>
      <c r="H81" t="s">
        <v>73</v>
      </c>
      <c r="I81" t="s">
        <v>172</v>
      </c>
    </row>
    <row r="82">
      <c r="A82" t="s">
        <v>173</v>
      </c>
      <c r="B82" t="s">
        <v>174</v>
      </c>
      <c r="D82">
        <v>19379.0</v>
      </c>
      <c r="E82">
        <v>22301.0</v>
      </c>
      <c r="F82" t="s">
        <v>59</v>
      </c>
      <c r="G82" t="s">
        <v>42</v>
      </c>
      <c r="H82" t="s">
        <v>118</v>
      </c>
      <c r="I82" t="s">
        <v>175</v>
      </c>
    </row>
    <row r="83">
      <c r="A83" t="s">
        <v>176</v>
      </c>
      <c r="B83" t="s">
        <v>177</v>
      </c>
      <c r="D83">
        <v>22301.0</v>
      </c>
      <c r="E83">
        <v>23337.0</v>
      </c>
      <c r="F83" t="s">
        <v>178</v>
      </c>
      <c r="G83" t="s">
        <v>108</v>
      </c>
      <c r="H83" t="s">
        <v>73</v>
      </c>
      <c r="I83" t="s">
        <v>179</v>
      </c>
    </row>
    <row r="84">
      <c r="A84" t="s">
        <v>180</v>
      </c>
      <c r="B84" t="s">
        <v>181</v>
      </c>
      <c r="D84">
        <v>23337.0</v>
      </c>
      <c r="E84">
        <v>25223.0</v>
      </c>
      <c r="F84" t="s">
        <v>182</v>
      </c>
      <c r="G84" t="s">
        <v>42</v>
      </c>
      <c r="H84" t="s">
        <v>73</v>
      </c>
      <c r="I84" t="s">
        <v>183</v>
      </c>
    </row>
    <row r="85">
      <c r="A85" t="s">
        <v>184</v>
      </c>
      <c r="B85" t="s">
        <v>185</v>
      </c>
      <c r="D85">
        <v>25223.0</v>
      </c>
      <c r="E85">
        <v>27250.0</v>
      </c>
      <c r="F85" t="s">
        <v>186</v>
      </c>
      <c r="G85" t="s">
        <v>187</v>
      </c>
      <c r="H85" t="s">
        <v>118</v>
      </c>
      <c r="I85" t="s">
        <v>188</v>
      </c>
    </row>
    <row r="86">
      <c r="A86" t="s">
        <v>189</v>
      </c>
      <c r="B86" t="s">
        <v>190</v>
      </c>
      <c r="D86">
        <v>27250.0</v>
      </c>
      <c r="E86">
        <v>28145.0</v>
      </c>
      <c r="F86" t="s">
        <v>191</v>
      </c>
      <c r="G86" t="s">
        <v>42</v>
      </c>
      <c r="H86" t="s">
        <v>118</v>
      </c>
      <c r="I86" t="s">
        <v>192</v>
      </c>
    </row>
    <row r="87">
      <c r="A87" t="s">
        <v>193</v>
      </c>
      <c r="B87" t="s">
        <v>194</v>
      </c>
      <c r="D87">
        <v>28145.0</v>
      </c>
      <c r="E87">
        <v>29606.0</v>
      </c>
      <c r="F87" t="s">
        <v>54</v>
      </c>
      <c r="G87" t="s">
        <v>42</v>
      </c>
      <c r="H87" t="s">
        <v>73</v>
      </c>
      <c r="I87" t="s">
        <v>195</v>
      </c>
    </row>
    <row r="88">
      <c r="A88" t="s">
        <v>196</v>
      </c>
      <c r="B88" t="s">
        <v>197</v>
      </c>
      <c r="D88">
        <v>29606.0</v>
      </c>
      <c r="E88">
        <v>32528.0</v>
      </c>
      <c r="F88" t="s">
        <v>59</v>
      </c>
      <c r="G88" t="s">
        <v>42</v>
      </c>
      <c r="H88" t="s">
        <v>118</v>
      </c>
      <c r="I88" t="s">
        <v>198</v>
      </c>
    </row>
    <row r="89">
      <c r="A89" t="s">
        <v>199</v>
      </c>
      <c r="B89" t="s">
        <v>200</v>
      </c>
      <c r="D89">
        <v>32528.0</v>
      </c>
      <c r="E89">
        <v>33989.0</v>
      </c>
      <c r="F89" t="s">
        <v>54</v>
      </c>
      <c r="G89" t="s">
        <v>42</v>
      </c>
      <c r="H89" t="s">
        <v>118</v>
      </c>
      <c r="I89" t="s">
        <v>201</v>
      </c>
    </row>
    <row r="90">
      <c r="A90" t="s">
        <v>202</v>
      </c>
      <c r="B90" t="s">
        <v>203</v>
      </c>
      <c r="D90">
        <v>33989.0</v>
      </c>
      <c r="E90">
        <v>36911.0</v>
      </c>
      <c r="F90" t="s">
        <v>59</v>
      </c>
      <c r="G90" t="s">
        <v>42</v>
      </c>
      <c r="H90" t="s">
        <v>73</v>
      </c>
      <c r="I90" t="s">
        <v>204</v>
      </c>
    </row>
    <row r="91">
      <c r="A91" t="s">
        <v>205</v>
      </c>
      <c r="B91" t="s">
        <v>206</v>
      </c>
      <c r="D91">
        <v>36911.0</v>
      </c>
      <c r="E91">
        <v>39833.0</v>
      </c>
      <c r="F91" t="s">
        <v>59</v>
      </c>
      <c r="G91" t="s">
        <v>42</v>
      </c>
      <c r="H91" t="s">
        <v>118</v>
      </c>
      <c r="I91" t="s">
        <v>207</v>
      </c>
    </row>
    <row r="92">
      <c r="A92" t="s">
        <v>208</v>
      </c>
      <c r="B92" t="s">
        <v>209</v>
      </c>
      <c r="D92">
        <v>39833.0</v>
      </c>
      <c r="E92">
        <v>42755.0</v>
      </c>
      <c r="F92" t="s">
        <v>59</v>
      </c>
      <c r="G92" t="s">
        <v>42</v>
      </c>
      <c r="H92" t="s">
        <v>73</v>
      </c>
      <c r="I92" t="s">
        <v>210</v>
      </c>
    </row>
    <row r="93">
      <c r="A93" t="s">
        <v>211</v>
      </c>
      <c r="B93" t="s">
        <v>212</v>
      </c>
      <c r="D93">
        <v>42755.0</v>
      </c>
      <c r="E93" t="s">
        <v>213</v>
      </c>
      <c r="F93" t="s">
        <v>214</v>
      </c>
      <c r="H93" t="s">
        <v>118</v>
      </c>
      <c r="I93" t="s">
        <v>215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IFERROR(__xludf.DUMMYFUNCTION("IMPORTHTML(""https://fr.wikipedia.org/wiki/Ang%C3%A8le_(chanteuse)"", ""table"")"),"Nom de naissance")</f>
        <v>Nom de naissance</v>
      </c>
      <c r="B1" t="str">
        <f>IFERROR(__xludf.DUMMYFUNCTION("""COMPUTED_VALUE"""),"Angèle Joséphine Aimée Van Laeken")</f>
        <v>Angèle Joséphine Aimée Van Laeken</v>
      </c>
    </row>
    <row r="2">
      <c r="A2" s="10" t="str">
        <f>IFERROR(__xludf.DUMMYFUNCTION("""COMPUTED_VALUE"""),"Naissance")</f>
        <v>Naissance</v>
      </c>
      <c r="B2" s="11" t="str">
        <f>IFERROR(__xludf.DUMMYFUNCTION("""COMPUTED_VALUE"""),"3décembre1995(30 ans)
Uccle (Belgique)")</f>
        <v>3décembre1995(30 ans)
Uccle (Belgique)</v>
      </c>
      <c r="C2" s="12"/>
    </row>
    <row r="3">
      <c r="A3" s="10" t="str">
        <f>IFERROR(__xludf.DUMMYFUNCTION("""COMPUTED_VALUE"""),"Nationalité")</f>
        <v>Nationalité</v>
      </c>
      <c r="B3" s="11" t="str">
        <f>IFERROR(__xludf.DUMMYFUNCTION("""COMPUTED_VALUE"""),"Belge")</f>
        <v>Belge</v>
      </c>
      <c r="C3" s="12"/>
    </row>
    <row r="4">
      <c r="A4" s="10" t="str">
        <f>IFERROR(__xludf.DUMMYFUNCTION("""COMPUTED_VALUE"""),"Activité principale")</f>
        <v>Activité principale</v>
      </c>
      <c r="B4" s="11" t="str">
        <f>IFERROR(__xludf.DUMMYFUNCTION("""COMPUTED_VALUE"""),"Auteure-compositrice-interprète
Musicienne
Productrice
Actrice
Mannequin")</f>
        <v>Auteure-compositrice-interprète
Musicienne
Productrice
Actrice
Mannequin</v>
      </c>
      <c r="C4" s="12"/>
    </row>
    <row r="5">
      <c r="A5" s="10" t="str">
        <f>IFERROR(__xludf.DUMMYFUNCTION("""COMPUTED_VALUE"""),"Genre musical")</f>
        <v>Genre musical</v>
      </c>
      <c r="B5" s="11" t="str">
        <f>IFERROR(__xludf.DUMMYFUNCTION("""COMPUTED_VALUE"""),"- Chanson
   - Pop")</f>
        <v>- Chanson
   - Pop</v>
      </c>
      <c r="C5" s="12"/>
    </row>
    <row r="6">
      <c r="A6" t="str">
        <f>IFERROR(__xludf.DUMMYFUNCTION("""COMPUTED_VALUE"""),"Instruments")</f>
        <v>Instruments</v>
      </c>
      <c r="B6" t="str">
        <f>IFERROR(__xludf.DUMMYFUNCTION("""COMPUTED_VALUE"""),"- Voix
   - Piano")</f>
        <v>- Voix
   - Piano</v>
      </c>
    </row>
    <row r="7">
      <c r="A7" t="str">
        <f>IFERROR(__xludf.DUMMYFUNCTION("""COMPUTED_VALUE"""),"Années actives")</f>
        <v>Années actives</v>
      </c>
      <c r="B7" t="str">
        <f>IFERROR(__xludf.DUMMYFUNCTION("""COMPUTED_VALUE"""),"Depuis 2015")</f>
        <v>Depuis 2015</v>
      </c>
    </row>
    <row r="8">
      <c r="A8" t="str">
        <f>IFERROR(__xludf.DUMMYFUNCTION("""COMPUTED_VALUE"""),"Labels")</f>
        <v>Labels</v>
      </c>
      <c r="B8" t="str">
        <f>IFERROR(__xludf.DUMMYFUNCTION("""COMPUTED_VALUE"""),"- Angèle VL
   - Initial Artist Services
   - Universal Music France")</f>
        <v>- Angèle VL
   - Initial Artist Services
   - Universal Music France</v>
      </c>
    </row>
    <row r="9">
      <c r="A9" t="str">
        <f>IFERROR(__xludf.DUMMYFUNCTION("""COMPUTED_VALUE"""),"Site officiel")</f>
        <v>Site officiel</v>
      </c>
      <c r="B9" s="7" t="str">
        <f>IFERROR(__xludf.DUMMYFUNCTION("""COMPUTED_VALUE"""),"www.angelevl.be")</f>
        <v>www.angelevl.be</v>
      </c>
    </row>
  </sheetData>
  <hyperlinks>
    <hyperlink r:id="rId1" ref="B9"/>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IFERROR(__xludf.DUMMYFUNCTION("IMPORTHTML(""https://en.wikipedia.org/wiki/List_of_Teletubbies_episodes_and_videos"", ""table"")"),"No.")</f>
        <v>No.</v>
      </c>
      <c r="B1" t="str">
        <f>IFERROR(__xludf.DUMMYFUNCTION("""COMPUTED_VALUE"""),"Title")</f>
        <v>Title</v>
      </c>
      <c r="C1" t="str">
        <f>IFERROR(__xludf.DUMMYFUNCTION("""COMPUTED_VALUE"""),"Original release date")</f>
        <v>Original release date</v>
      </c>
      <c r="F1" s="1" t="s">
        <v>216</v>
      </c>
    </row>
    <row r="2">
      <c r="A2">
        <f>IFERROR(__xludf.DUMMYFUNCTION("""COMPUTED_VALUE"""),119.0)</f>
        <v>119</v>
      </c>
      <c r="B2" t="str">
        <f>IFERROR(__xludf.DUMMYFUNCTION("""COMPUTED_VALUE"""),"""Colours – Pink""")</f>
        <v>"Colours – Pink"</v>
      </c>
      <c r="C2" t="str">
        <f>IFERROR(__xludf.DUMMYFUNCTION("""COMPUTED_VALUE"""),"1 January 1998 (1998-01-01)")</f>
        <v>1 January 1998 (1998-01-01)</v>
      </c>
    </row>
    <row r="3">
      <c r="A3" t="str">
        <f>IFERROR(__xludf.DUMMYFUNCTION("""COMPUTED_VALUE"""),"The Teletubbies march up and down the hill and then they watch some 
children explore the colour pink. Po makes Tubby Custard which is pink too. 
She gets a Tubby Custard bowl, uses a Tubby Custard tap and turns on the 
Tubby Custard and the Tubby Cusard "&amp;"enter her bowl. Finally, when Po gets a 
bowl of Tubby Custard, she sees and hears Tinky-Winky coming around her. 
She shows him her bowl of Tubby Custard. Tinky Winky wants some Tubby 
Custard too, but he doesn't know how to make it. When Po tells him he"&amp;" needs 
a bowl, Tinky Winky gets it too but accidentally makes a mess around Home 
Hill. She was so surprised when he was accidentally spreading Tubby Custard 
all over her. He accidentally spreads it on the Noo-Noo as well. Just then, 
Laa-Laa comes in t"&amp;"o play with her ball when she sees Tubby Custard 
splattering all over her ball. The Noo-Noo tidies up the mess and around 
himself, too. Teletubbies give him a big hug before the Pink Tubby Custard 
Spots segment is over. 
Featuring: The Children of Oxhe"&amp;"y Infants School, Watford")</f>
        <v>The Teletubbies march up and down the hill and then they watch some 
children explore the colour pink. Po makes Tubby Custard which is pink too. 
She gets a Tubby Custard bowl, uses a Tubby Custard tap and turns on the 
Tubby Custard and the Tubby Cusard enter her bowl. Finally, when Po gets a 
bowl of Tubby Custard, she sees and hears Tinky-Winky coming around her. 
She shows him her bowl of Tubby Custard. Tinky Winky wants some Tubby 
Custard too, but he doesn't know how to make it. When Po tells him he needs 
a bowl, Tinky Winky gets it too but accidentally makes a mess around Home 
Hill. She was so surprised when he was accidentally spreading Tubby Custard 
all over her. He accidentally spreads it on the Noo-Noo as well. Just then, 
Laa-Laa comes in to play with her ball when she sees Tubby Custard 
splattering all over her ball. The Noo-Noo tidies up the mess and around 
himself, too. Teletubbies give him a big hug before the Pink Tubby Custard 
Spots segment is over. 
Featuring: The Children of Oxhey Infants School, Watford</v>
      </c>
    </row>
    <row r="4">
      <c r="A4">
        <f>IFERROR(__xludf.DUMMYFUNCTION("""COMPUTED_VALUE"""),120.0)</f>
        <v>120</v>
      </c>
      <c r="B4" t="str">
        <f>IFERROR(__xludf.DUMMYFUNCTION("""COMPUTED_VALUE"""),"""Living in Flats""")</f>
        <v>"Living in Flats"</v>
      </c>
      <c r="C4" t="str">
        <f>IFERROR(__xludf.DUMMYFUNCTION("""COMPUTED_VALUE"""),"2 January 1998 (1998-01-02)")</f>
        <v>2 January 1998 (1998-01-02)</v>
      </c>
    </row>
    <row r="5">
      <c r="A5" t="str">
        <f>IFERROR(__xludf.DUMMYFUNCTION("""COMPUTED_VALUE"""),"Laa-Laa dances with her ball and the Teletubbies watch a boy describing why 
he likes to live in flats. A balloon appears in Teletubbyland and the 
Teletubbies follow it around until Po catches it and they all take turns to 
hold it. After they have their"&amp;" turns, all the Teletubbies wanted to hold 
the balloon, but they let go of it and it flies away into the sky. 
Featuring: Alan Henderson, Sharon and Ramone Moody")</f>
        <v>Laa-Laa dances with her ball and the Teletubbies watch a boy describing why 
he likes to live in flats. A balloon appears in Teletubbyland and the 
Teletubbies follow it around until Po catches it and they all take turns to 
hold it. After they have their turns, all the Teletubbies wanted to hold 
the balloon, but they let go of it and it flies away into the sky. 
Featuring: Alan Henderson, Sharon and Ramone Moody</v>
      </c>
    </row>
    <row r="6">
      <c r="A6">
        <f>IFERROR(__xludf.DUMMYFUNCTION("""COMPUTED_VALUE"""),121.0)</f>
        <v>121</v>
      </c>
      <c r="B6" t="str">
        <f>IFERROR(__xludf.DUMMYFUNCTION("""COMPUTED_VALUE"""),"""Urban Walk""")</f>
        <v>"Urban Walk"</v>
      </c>
      <c r="C6" t="str">
        <f>IFERROR(__xludf.DUMMYFUNCTION("""COMPUTED_VALUE"""),"5 January 1998 (1998-01-05)")</f>
        <v>5 January 1998 (1998-01-05)</v>
      </c>
    </row>
    <row r="7">
      <c r="A7" t="str">
        <f>IFERROR(__xludf.DUMMYFUNCTION("""COMPUTED_VALUE"""),"The Teletubbies play their Through the Arch game. But the Windmill 
interrupts them, so they go off to watch a little girl and her dad go for a 
walk. A traffic light appears in Teletubbyland and Po admires the traffic 
lights changing and has to wait for"&amp;" the traffic lights to change to green. 
Then Dipsy who's wearing his hat arrives only to have to wait for the 
traffic lights to change to green. Laa Laa comes along with her ball and 
wants Dipsy to play with it. Tinky Winky comes along with his handbag"&amp;" and 
he wants to walk on the red light but can't and has to wait. The light 
turns green and the teletubbies go and then the traffic lights disappear. 
Featuring: Ellie, Trixie and Kevin Greening")</f>
        <v>The Teletubbies play their Through the Arch game. But the Windmill 
interrupts them, so they go off to watch a little girl and her dad go for a 
walk. A traffic light appears in Teletubbyland and Po admires the traffic 
lights changing and has to wait for the traffic lights to change to green. 
Then Dipsy who's wearing his hat arrives only to have to wait for the 
traffic lights to change to green. Laa Laa comes along with her ball and 
wants Dipsy to play with it. Tinky Winky comes along with his handbag and 
he wants to walk on the red light but can't and has to wait. The light 
turns green and the teletubbies go and then the traffic lights disappear. 
Featuring: Ellie, Trixie and Kevin Greening</v>
      </c>
    </row>
    <row r="8">
      <c r="A8">
        <f>IFERROR(__xludf.DUMMYFUNCTION("""COMPUTED_VALUE"""),122.0)</f>
        <v>122</v>
      </c>
      <c r="B8" t="str">
        <f>IFERROR(__xludf.DUMMYFUNCTION("""COMPUTED_VALUE"""),"""Our Calf Treacle""")</f>
        <v>"Our Calf Treacle"</v>
      </c>
      <c r="C8" t="str">
        <f>IFERROR(__xludf.DUMMYFUNCTION("""COMPUTED_VALUE"""),"6 January 1998 (1998-01-06)")</f>
        <v>6 January 1998 (1998-01-06)</v>
      </c>
    </row>
    <row r="9">
      <c r="A9" t="str">
        <f>IFERROR(__xludf.DUMMYFUNCTION("""COMPUTED_VALUE"""),"The Teletubbies are at the top of a hill and they say their names. They 
then run down the hill and run up a hill. Next, they run up the hill. The 
Magic Windmill spins and the Teletubbies watch Mark and Matthew feed a baby 
calf. Then they play a game to"&amp;" see who can eat their Tubby Custard the 
slowest, but Po can't wait and eats hers very fast. 
Featuring: Matthew &amp; Mark Carnie")</f>
        <v>The Teletubbies are at the top of a hill and they say their names. They 
then run down the hill and run up a hill. Next, they run up the hill. The 
Magic Windmill spins and the Teletubbies watch Mark and Matthew feed a baby 
calf. Then they play a game to see who can eat their Tubby Custard the 
slowest, but Po can't wait and eats hers very fast. 
Featuring: Matthew &amp; Mark Carnie</v>
      </c>
    </row>
    <row r="10">
      <c r="A10">
        <f>IFERROR(__xludf.DUMMYFUNCTION("""COMPUTED_VALUE"""),123.0)</f>
        <v>123</v>
      </c>
      <c r="B10" t="str">
        <f>IFERROR(__xludf.DUMMYFUNCTION("""COMPUTED_VALUE"""),"""Naughty Pig""")</f>
        <v>"Naughty Pig"</v>
      </c>
      <c r="C10" t="str">
        <f>IFERROR(__xludf.DUMMYFUNCTION("""COMPUTED_VALUE"""),"7 January 1998 (1998-01-07)")</f>
        <v>7 January 1998 (1998-01-07)</v>
      </c>
    </row>
    <row r="11">
      <c r="A11" t="str">
        <f>IFERROR(__xludf.DUMMYFUNCTION("""COMPUTED_VALUE"""),"The Noo Noo tidies up while Teletubbies come in the back entrance house 
saying hello. Just then, the Magic Windmill starts spinning and they run 
out the back door and they watch Tamzin Griffin pretends to be Funny Lady 
and tells the story of the naught"&amp;"y pig. Also, the wind blows off Dipsy's 
Hat. The Magic Tree appears in Teletubbyland before the Sun Baby giggles 
for Tubby Bye-Bye. 
Featuring: Tamzin Griffin with The Children of Chater Infants School, 
Watford")</f>
        <v>The Noo Noo tidies up while Teletubbies come in the back entrance house 
saying hello. Just then, the Magic Windmill starts spinning and they run 
out the back door and they watch Tamzin Griffin pretends to be Funny Lady 
and tells the story of the naughty pig. Also, the wind blows off Dipsy's 
Hat. The Magic Tree appears in Teletubbyland before the Sun Baby giggles 
for Tubby Bye-Bye. 
Featuring: Tamzin Griffin with The Children of Chater Infants School, 
Watford</v>
      </c>
    </row>
    <row r="12">
      <c r="A12">
        <f>IFERROR(__xludf.DUMMYFUNCTION("""COMPUTED_VALUE"""),124.0)</f>
        <v>124</v>
      </c>
      <c r="B12" t="str">
        <f>IFERROR(__xludf.DUMMYFUNCTION("""COMPUTED_VALUE"""),"""Washing the Car""")</f>
        <v>"Washing the Car"</v>
      </c>
      <c r="C12" t="str">
        <f>IFERROR(__xludf.DUMMYFUNCTION("""COMPUTED_VALUE"""),"8 January 1998 (1998-01-08)")</f>
        <v>8 January 1998 (1998-01-08)</v>
      </c>
    </row>
    <row r="13">
      <c r="A13" t="str">
        <f>IFERROR(__xludf.DUMMYFUNCTION("""COMPUTED_VALUE"""),"Tinky Winky, Dipsy, and Laa-Laa walk into the TubbyTronic Superdome, while 
Po zooms in on her scooter catching up with them. The Teletubbies watch 
Shannon, Nicolas, Cameron and their Dad wash the family car. The 
Teletubbies wash themselves with ""Tubby"&amp;" Sponges,"" in which each Teletubby 
has a Tubby wash and Noo-Noo gets a Tubby wash. Then the Magic Windmill 
stops spinning. The ""Tubby Bye-Bye"" sequence takes place and The Baby Sun 
sets. 
Featuring: Cameron and Shannon Patterson")</f>
        <v>Tinky Winky, Dipsy, and Laa-Laa walk into the TubbyTronic Superdome, while 
Po zooms in on her scooter catching up with them. The Teletubbies watch 
Shannon, Nicolas, Cameron and their Dad wash the family car. The 
Teletubbies wash themselves with "Tubby Sponges," in which each Teletubby 
has a Tubby wash and Noo-Noo gets a Tubby wash. Then the Magic Windmill 
stops spinning. The "Tubby Bye-Bye" sequence takes place and The Baby Sun 
sets. 
Featuring: Cameron and Shannon Patterson</v>
      </c>
    </row>
    <row r="14">
      <c r="A14">
        <f>IFERROR(__xludf.DUMMYFUNCTION("""COMPUTED_VALUE"""),125.0)</f>
        <v>125</v>
      </c>
      <c r="B14" t="str">
        <f>IFERROR(__xludf.DUMMYFUNCTION("""COMPUTED_VALUE"""),"""Handy Hands""")</f>
        <v>"Handy Hands"</v>
      </c>
      <c r="C14" t="str">
        <f>IFERROR(__xludf.DUMMYFUNCTION("""COMPUTED_VALUE"""),"9 January 1998 (1998-01-09)")</f>
        <v>9 January 1998 (1998-01-09)</v>
      </c>
    </row>
    <row r="15">
      <c r="A15" t="str">
        <f>IFERROR(__xludf.DUMMYFUNCTION("""COMPUTED_VALUE"""),"The Teletubbies crawl the arch in Home Hill and they go and watch Alex 
Pascall and some children sing handy hands. A pair of mittens appear in 
Teletubbyland, and Tinky Winky does a special dance wearing them. Next, Po 
wears the mittens, and she does a "&amp;"special dance too. 
Featuring: Alex Pascall, The Children of Earlsfield Primary School, London")</f>
        <v>The Teletubbies crawl the arch in Home Hill and they go and watch Alex 
Pascall and some children sing handy hands. A pair of mittens appear in 
Teletubbyland, and Tinky Winky does a special dance wearing them. Next, Po 
wears the mittens, and she does a special dance too. 
Featuring: Alex Pascall, The Children of Earlsfield Primary School, London</v>
      </c>
    </row>
    <row r="16">
      <c r="A16">
        <f>IFERROR(__xludf.DUMMYFUNCTION("""COMPUTED_VALUE"""),126.0)</f>
        <v>126</v>
      </c>
      <c r="B16" t="str">
        <f>IFERROR(__xludf.DUMMYFUNCTION("""COMPUTED_VALUE"""),"""Playing Ball""")</f>
        <v>"Playing Ball"</v>
      </c>
      <c r="C16" t="str">
        <f>IFERROR(__xludf.DUMMYFUNCTION("""COMPUTED_VALUE"""),"12 January 1998 (1998-01-12)")</f>
        <v>12 January 1998 (1998-01-12)</v>
      </c>
    </row>
    <row r="17">
      <c r="A17" t="str">
        <f>IFERROR(__xludf.DUMMYFUNCTION("""COMPUTED_VALUE"""),"The Teletubbies slide down the slide in the Home Hill and they fell down 
happily, then The Magic Windmill starts spinning and they run out and they 
watch some children play with balls of different shapes and sizes. In 
Teletubbyland, something happens t"&amp;"o Dipsy's hat. One moment it is too 
small, then it grows too big. Dipsy is very surprised when the other 
Tubbies tell him his hat is the wrong size. 
Featuring: Patrick Carvey, Henry Crossman, Marshall Ingham, Freya Knibb, 
Matthew Paine, Amelia Paul, O"&amp;"livia Phelps, Katie &amp; Georgina Phillipps, 
Candisha &amp; Kyishas Thompson and James Turner")</f>
        <v>The Teletubbies slide down the slide in the Home Hill and they fell down 
happily, then The Magic Windmill starts spinning and they run out and they 
watch some children play with balls of different shapes and sizes. In 
Teletubbyland, something happens to Dipsy's hat. One moment it is too 
small, then it grows too big. Dipsy is very surprised when the other 
Tubbies tell him his hat is the wrong size. 
Featuring: Patrick Carvey, Henry Crossman, Marshall Ingham, Freya Knibb, 
Matthew Paine, Amelia Paul, Olivia Phelps, Katie &amp; Georgina Phillipps, 
Candisha &amp; Kyishas Thompson and James Turner</v>
      </c>
    </row>
    <row r="18">
      <c r="A18">
        <f>IFERROR(__xludf.DUMMYFUNCTION("""COMPUTED_VALUE"""),127.0)</f>
        <v>127</v>
      </c>
      <c r="B18" t="str">
        <f>IFERROR(__xludf.DUMMYFUNCTION("""COMPUTED_VALUE"""),"""Irish Dancing""")</f>
        <v>"Irish Dancing"</v>
      </c>
      <c r="C18" t="str">
        <f>IFERROR(__xludf.DUMMYFUNCTION("""COMPUTED_VALUE"""),"13 January 1998 (1998-01-13)")</f>
        <v>13 January 1998 (1998-01-13)</v>
      </c>
    </row>
    <row r="19">
      <c r="A19" t="str">
        <f>IFERROR(__xludf.DUMMYFUNCTION("""COMPUTED_VALUE"""),"In the Home Hill, the voice trumpet rises while the Teletubbies eat Tubby 
Toast. When they are finished eating, they do exercises in the Home Hill. 
When they are tired out, they shout ""Run away, run away!"" before they rush 
outside to watch a video ab"&amp;"out a little girl named Becky doing Irish 
Dancing. 
Later, the Teletubbies go up to the path to do the Jumping Dance. Then The 
Magic Windmill starts to spin and the Teletubbies rush off to see the 
Magical Event of the Bear and Lion playing their hide "&amp;"and seek game in 
Teletubbyland. The Magic Windmill stops spinning. The ""Tubby Bye-Bye"" 
sequence then takes place and The Baby Sun sets in the sky. 
Featuring: The Dancers of Bennett's End Community Centre, Hemel Hempstead")</f>
        <v>In the Home Hill, the voice trumpet rises while the Teletubbies eat Tubby 
Toast. When they are finished eating, they do exercises in the Home Hill. 
When they are tired out, they shout "Run away, run away!" before they rush 
outside to watch a video about a little girl named Becky doing Irish 
Dancing. 
Later, the Teletubbies go up to the path to do the Jumping Dance. Then The 
Magic Windmill starts to spin and the Teletubbies rush off to see the 
Magical Event of the Bear and Lion playing their hide and seek game in 
Teletubbyland. The Magic Windmill stops spinning. The "Tubby Bye-Bye" 
sequence then takes place and The Baby Sun sets in the sky. 
Featuring: The Dancers of Bennett's End Community Centre, Hemel Hempstead</v>
      </c>
    </row>
    <row r="20">
      <c r="A20">
        <f>IFERROR(__xludf.DUMMYFUNCTION("""COMPUTED_VALUE"""),128.0)</f>
        <v>128</v>
      </c>
      <c r="B20" t="str">
        <f>IFERROR(__xludf.DUMMYFUNCTION("""COMPUTED_VALUE"""),"""Numbers – 2 (version 2)""")</f>
        <v>"Numbers – 2 (version 2)"</v>
      </c>
      <c r="C20" t="str">
        <f>IFERROR(__xludf.DUMMYFUNCTION("""COMPUTED_VALUE"""),"13 January 1998 (1998-01-13)")</f>
        <v>13 January 1998 (1998-01-13)</v>
      </c>
    </row>
    <row r="21">
      <c r="A21" t="str">
        <f>IFERROR(__xludf.DUMMYFUNCTION("""COMPUTED_VALUE"""),"The Teletubbies listen to a voice trumpet recite the nursery rhyme ""Two 
Little Dickie Birds"" before watching some children learning about number 2. 
Dipsy and Laa-Laa are eating Tubby Toast when they decide to play a game 
called ""Two Little Teletubbi"&amp;"es"", but the Noo-Noo tidies up the Tubby Toast 
while they are playing. The Teletubbies chase him around the house before 
the voice trumpet rises for Tubby Bye Bye. 
Featuring: The Children of Duncombe School, London")</f>
        <v>The Teletubbies listen to a voice trumpet recite the nursery rhyme "Two 
Little Dickie Birds" before watching some children learning about number 2. 
Dipsy and Laa-Laa are eating Tubby Toast when they decide to play a game 
called "Two Little Teletubbies", but the Noo-Noo tidies up the Tubby Toast 
while they are playing. The Teletubbies chase him around the house before 
the voice trumpet rises for Tubby Bye Bye. 
Featuring: The Children of Duncombe School, London</v>
      </c>
    </row>
    <row r="22">
      <c r="A22">
        <f>IFERROR(__xludf.DUMMYFUNCTION("""COMPUTED_VALUE"""),129.0)</f>
        <v>129</v>
      </c>
      <c r="B22" t="str">
        <f>IFERROR(__xludf.DUMMYFUNCTION("""COMPUTED_VALUE"""),"""Giraffes""")</f>
        <v>"Giraffes"</v>
      </c>
      <c r="C22" t="str">
        <f>IFERROR(__xludf.DUMMYFUNCTION("""COMPUTED_VALUE"""),"15 January 1998 (1998-01-15)")</f>
        <v>15 January 1998 (1998-01-15)</v>
      </c>
    </row>
    <row r="23">
      <c r="A23" t="str">
        <f>IFERROR(__xludf.DUMMYFUNCTION("""COMPUTED_VALUE"""),"The Teletubbies take turns standing on a Hill, in front of the House, in 
front of a Tree and under a Cloud, then they all have Tubby Toast before 
the Windmill spins. The Teletubbies watch Andy Brown and the children visit 
some giraffes. The Teletubbies"&amp;" watch The Animal Parade before the Sun Baby 
giggles for Tubby Bye Bye. 
Featuring: Andy Brown with Charelle Handford, Oliver Hooper and Daniel 
Salmon")</f>
        <v>The Teletubbies take turns standing on a Hill, in front of the House, in 
front of a Tree and under a Cloud, then they all have Tubby Toast before 
the Windmill spins. The Teletubbies watch Andy Brown and the children visit 
some giraffes. The Teletubbies watch The Animal Parade before the Sun Baby 
giggles for Tubby Bye Bye. 
Featuring: Andy Brown with Charelle Handford, Oliver Hooper and Daniel 
Salmon</v>
      </c>
    </row>
    <row r="24">
      <c r="A24">
        <f>IFERROR(__xludf.DUMMYFUNCTION("""COMPUTED_VALUE"""),130.0)</f>
        <v>130</v>
      </c>
      <c r="B24" t="str">
        <f>IFERROR(__xludf.DUMMYFUNCTION("""COMPUTED_VALUE"""),"""Amy's Pasta""")</f>
        <v>"Amy's Pasta"</v>
      </c>
      <c r="C24" t="str">
        <f>IFERROR(__xludf.DUMMYFUNCTION("""COMPUTED_VALUE"""),"16 January 1998 (1998-01-16)")</f>
        <v>16 January 1998 (1998-01-16)</v>
      </c>
    </row>
    <row r="25">
      <c r="A25" t="str">
        <f>IFERROR(__xludf.DUMMYFUNCTION("""COMPUTED_VALUE"""),"The Teletubbies are eating their tubby toast. They stop to watch Amy, her 
dad and her friend, Georgia making pasta. A ball of string appears in 
Teletubbyland. Po accidentally knocks the string into the air with her 
scooter and it makes a stringy mess a"&amp;"ll over Teletubbyland, but clever Noo 
Noo tidies up. 
Featuring: Georgia Habboo and The Esposito Family")</f>
        <v>The Teletubbies are eating their tubby toast. They stop to watch Amy, her 
dad and her friend, Georgia making pasta. A ball of string appears in 
Teletubbyland. Po accidentally knocks the string into the air with her 
scooter and it makes a stringy mess all over Teletubbyland, but clever Noo 
Noo tidies up. 
Featuring: Georgia Habboo and The Esposito Family</v>
      </c>
    </row>
    <row r="26">
      <c r="A26">
        <f>IFERROR(__xludf.DUMMYFUNCTION("""COMPUTED_VALUE"""),131.0)</f>
        <v>131</v>
      </c>
      <c r="B26" t="str">
        <f>IFERROR(__xludf.DUMMYFUNCTION("""COMPUTED_VALUE"""),"""Naughty Sock Returns""")</f>
        <v>"Naughty Sock Returns"</v>
      </c>
      <c r="C26" t="str">
        <f>IFERROR(__xludf.DUMMYFUNCTION("""COMPUTED_VALUE"""),"23 March 1998 (1998-03-23)")</f>
        <v>23 March 1998 (1998-03-23)</v>
      </c>
    </row>
    <row r="27">
      <c r="A27" t="str">
        <f>IFERROR(__xludf.DUMMYFUNCTION("""COMPUTED_VALUE"""),"Tinky Winky calls the other Teletubbies to come and watch Tamzin Griffin 
pretend to be Funny Lady, and tell another story about the Naughty Sock. 
The Teletubbies wake up when it's time for Tubby Toast. The Tubby Toast 
Machine makes a tower of tubby toa"&amp;"st. Laa Laa, Dipsy and Tinky Winky can't 
reach the top of the tower, so Po decides that she wanted the furthest 
piece. So she pulled the piece and the tower fell down. Now everybody can 
reach the Tubby Toast. The Teletubbies eat the tubby toast before "&amp;"the Magic 
Windmill spins. And then they watch the Singing Puppet Man in the Pink 
House before the Magic Windmill stops spinning and it is time for Tubby 
Bye-Bye. 
Featuring: Tamzin Griffin with The Children of Chater Infants School, 
Watford")</f>
        <v>Tinky Winky calls the other Teletubbies to come and watch Tamzin Griffin 
pretend to be Funny Lady, and tell another story about the Naughty Sock. 
The Teletubbies wake up when it's time for Tubby Toast. The Tubby Toast 
Machine makes a tower of tubby toast. Laa Laa, Dipsy and Tinky Winky can't 
reach the top of the tower, so Po decides that she wanted the furthest 
piece. So she pulled the piece and the tower fell down. Now everybody can 
reach the Tubby Toast. The Teletubbies eat the tubby toast before the Magic 
Windmill spins. And then they watch the Singing Puppet Man in the Pink 
House before the Magic Windmill stops spinning and it is time for Tubby 
Bye-Bye. 
Featuring: Tamzin Griffin with The Children of Chater Infants School, 
Watford</v>
      </c>
    </row>
    <row r="28">
      <c r="A28">
        <f>IFERROR(__xludf.DUMMYFUNCTION("""COMPUTED_VALUE"""),132.0)</f>
        <v>132</v>
      </c>
      <c r="B28" t="str">
        <f>IFERROR(__xludf.DUMMYFUNCTION("""COMPUTED_VALUE"""),"""Penguins""")</f>
        <v>"Penguins"</v>
      </c>
      <c r="C28" t="str">
        <f>IFERROR(__xludf.DUMMYFUNCTION("""COMPUTED_VALUE"""),"24 March 1998 (1998-03-24)")</f>
        <v>24 March 1998 (1998-03-24)</v>
      </c>
    </row>
    <row r="29">
      <c r="A29" t="str">
        <f>IFERROR(__xludf.DUMMYFUNCTION("""COMPUTED_VALUE"""),"The Noo Noo zooms around inside the Home Hill couple times before the 
Teletubbies come inside the front entrance to say hello to the viewers. 
Just afterwards, the Magic Windmill begins to spin and the Teletubbies run 
off and they watch some penguins wa"&amp;"ddling and swimming. In Teletubbyland, 
the Teletubbies walk in different ways until the Magic Windmill stops 
spinning (offscreen) and it was time for Tubby Bye Bye. 
Featuring: Hannah MacKay, Alex, Jess &amp; Jo Osborne and Catherine Watkins")</f>
        <v>The Noo Noo zooms around inside the Home Hill couple times before the 
Teletubbies come inside the front entrance to say hello to the viewers. 
Just afterwards, the Magic Windmill begins to spin and the Teletubbies run 
off and they watch some penguins waddling and swimming. In Teletubbyland, 
the Teletubbies walk in different ways until the Magic Windmill stops 
spinning (offscreen) and it was time for Tubby Bye Bye. 
Featuring: Hannah MacKay, Alex, Jess &amp; Jo Osborne and Catherine Watkins</v>
      </c>
    </row>
    <row r="30">
      <c r="A30">
        <f>IFERROR(__xludf.DUMMYFUNCTION("""COMPUTED_VALUE"""),133.0)</f>
        <v>133</v>
      </c>
      <c r="B30" t="str">
        <f>IFERROR(__xludf.DUMMYFUNCTION("""COMPUTED_VALUE"""),"""Ned's Geraniums""")</f>
        <v>"Ned's Geraniums"</v>
      </c>
      <c r="C30" t="str">
        <f>IFERROR(__xludf.DUMMYFUNCTION("""COMPUTED_VALUE"""),"25 March 1998 (1998-03-25)")</f>
        <v>25 March 1998 (1998-03-25)</v>
      </c>
    </row>
    <row r="31">
      <c r="A31" t="str">
        <f>IFERROR(__xludf.DUMMYFUNCTION("""COMPUTED_VALUE"""),"The Teletubbies play ""Boo"" in the House. The Windmill spins and the 
Teletubbies watch Ned picking some Geraniums. Dipsy and Laa-Laa see nine 
pretty flowers appear in Teletubbyland, a watering can appears, Dipsy and 
Laa-Laa want to water the flowers b"&amp;"ut they drop the watering can and it's 
now empty, then a cloud appears and rains on the flowers, then the 
Teletubbies do the splashing dance. 
Featuring: Ned and Nigel Frost")</f>
        <v>The Teletubbies play "Boo" in the House. The Windmill spins and the 
Teletubbies watch Ned picking some Geraniums. Dipsy and Laa-Laa see nine 
pretty flowers appear in Teletubbyland, a watering can appears, Dipsy and 
Laa-Laa want to water the flowers but they drop the watering can and it's 
now empty, then a cloud appears and rains on the flowers, then the 
Teletubbies do the splashing dance. 
Featuring: Ned and Nigel Frost</v>
      </c>
    </row>
    <row r="32">
      <c r="A32">
        <f>IFERROR(__xludf.DUMMYFUNCTION("""COMPUTED_VALUE"""),134.0)</f>
        <v>134</v>
      </c>
      <c r="B32" t="str">
        <f>IFERROR(__xludf.DUMMYFUNCTION("""COMPUTED_VALUE"""),"""Digging in the Sand for Crabs""")</f>
        <v>"Digging in the Sand for Crabs"</v>
      </c>
      <c r="C32" t="str">
        <f>IFERROR(__xludf.DUMMYFUNCTION("""COMPUTED_VALUE"""),"26 March 1998 (1998-03-26)")</f>
        <v>26 March 1998 (1998-03-26)</v>
      </c>
    </row>
    <row r="33">
      <c r="A33" t="str">
        <f>IFERROR(__xludf.DUMMYFUNCTION("""COMPUTED_VALUE"""),"The video is about digging for crabs and the Teletubbies are walking 
sideways. The magical event of the three ships features then the Magic 
Windmill stops spinning and it is time for Tubby Bye-Bye. 
Featuring: Andy Brown with Emily Fifield and Millie &amp; "&amp;"Francome May")</f>
        <v>The video is about digging for crabs and the Teletubbies are walking 
sideways. The magical event of the three ships features then the Magic 
Windmill stops spinning and it is time for Tubby Bye-Bye. 
Featuring: Andy Brown with Emily Fifield and Millie &amp; Francome May</v>
      </c>
    </row>
    <row r="34">
      <c r="A34">
        <f>IFERROR(__xludf.DUMMYFUNCTION("""COMPUTED_VALUE"""),135.0)</f>
        <v>135</v>
      </c>
      <c r="B34" t="str">
        <f>IFERROR(__xludf.DUMMYFUNCTION("""COMPUTED_VALUE"""),"""Samira's Gymnastics""")</f>
        <v>"Samira's Gymnastics"</v>
      </c>
      <c r="C34" t="str">
        <f>IFERROR(__xludf.DUMMYFUNCTION("""COMPUTED_VALUE"""),"27 March 1998 (1998-03-27)")</f>
        <v>27 March 1998 (1998-03-27)</v>
      </c>
    </row>
    <row r="35">
      <c r="A35" t="str">
        <f>IFERROR(__xludf.DUMMYFUNCTION("""COMPUTED_VALUE"""),"In Teletubbyland, the Teletubbies walked to in front of the trees to say 
hello to the viewers. Then the Windmill begins to spin and they run to 
watch kids doing gymnastics with Samira. Then back in Teletubbyland, the 
Teletubbies does some exercises bef"&amp;"ore Tubby Bye-Bye. 
Featuring: The Children and Staff of Coventry Olympic Gym Club, Coventry")</f>
        <v>In Teletubbyland, the Teletubbies walked to in front of the trees to say 
hello to the viewers. Then the Windmill begins to spin and they run to 
watch kids doing gymnastics with Samira. Then back in Teletubbyland, the 
Teletubbies does some exercises before Tubby Bye-Bye. 
Featuring: The Children and Staff of Coventry Olympic Gym Club, Coventry</v>
      </c>
    </row>
    <row r="36">
      <c r="A36">
        <f>IFERROR(__xludf.DUMMYFUNCTION("""COMPUTED_VALUE"""),136.0)</f>
        <v>136</v>
      </c>
      <c r="B36" t="str">
        <f>IFERROR(__xludf.DUMMYFUNCTION("""COMPUTED_VALUE"""),"""Milking Cows""")</f>
        <v>"Milking Cows"</v>
      </c>
      <c r="C36" t="str">
        <f>IFERROR(__xludf.DUMMYFUNCTION("""COMPUTED_VALUE"""),"30 March 1998 (1998-03-30)")</f>
        <v>30 March 1998 (1998-03-30)</v>
      </c>
    </row>
    <row r="37">
      <c r="A37" t="str">
        <f>IFERROR(__xludf.DUMMYFUNCTION("""COMPUTED_VALUE"""),"Po is out for a ride on her Scooter. The Teletubbies watch James and 
Matthew help their uncle Mark milk the cows . It's Time for Tubby Custard, 
but the Tubby Custard Machine won't work, so the Teletubbies decide to sing 
a special Tubby Custard song, th"&amp;"e Tubby Custard Machine makes some Tubby 
Custard Music, the Teletubbies try to make Tubby Custard and the Tubby 
Custard Machine is working again. 
Featuring: Matthew and James Carnie")</f>
        <v>Po is out for a ride on her Scooter. The Teletubbies watch James and 
Matthew help their uncle Mark milk the cows . It's Time for Tubby Custard, 
but the Tubby Custard Machine won't work, so the Teletubbies decide to sing 
a special Tubby Custard song, the Tubby Custard Machine makes some Tubby 
Custard Music, the Teletubbies try to make Tubby Custard and the Tubby 
Custard Machine is working again. 
Featuring: Matthew and James Carnie</v>
      </c>
    </row>
    <row r="38">
      <c r="A38">
        <f>IFERROR(__xludf.DUMMYFUNCTION("""COMPUTED_VALUE"""),137.0)</f>
        <v>137</v>
      </c>
      <c r="B38" t="str">
        <f>IFERROR(__xludf.DUMMYFUNCTION("""COMPUTED_VALUE"""),"""Flamenco Dancing""")</f>
        <v>"Flamenco Dancing"</v>
      </c>
      <c r="C38" t="str">
        <f>IFERROR(__xludf.DUMMYFUNCTION("""COMPUTED_VALUE"""),"31 March 1998 (1998-03-31)")</f>
        <v>31 March 1998 (1998-03-31)</v>
      </c>
    </row>
    <row r="39">
      <c r="A39" t="str">
        <f>IFERROR(__xludf.DUMMYFUNCTION("""COMPUTED_VALUE"""),"The Teletubbies are washing themselves with their Tubby Sponges when they 
listen to a Voice Trumpet play some Spanish music . Then they watch two 
children doing some Flamenco dancing lessons Again Again. The Teletubbies 
wash their feet with their Tubby"&amp;" Sponges, Tinky Winky washes his feet 
first, then Po and then Dipsy and Laa Laa wash each others feet. 
Featuring: Tito Heredia and Maribel La Manchega, Ellie Greening and Daisy 
White")</f>
        <v>The Teletubbies are washing themselves with their Tubby Sponges when they 
listen to a Voice Trumpet play some Spanish music . Then they watch two 
children doing some Flamenco dancing lessons Again Again. The Teletubbies 
wash their feet with their Tubby Sponges, Tinky Winky washes his feet 
first, then Po and then Dipsy and Laa Laa wash each others feet. 
Featuring: Tito Heredia and Maribel La Manchega, Ellie Greening and Daisy 
White</v>
      </c>
    </row>
    <row r="40">
      <c r="A40">
        <f>IFERROR(__xludf.DUMMYFUNCTION("""COMPUTED_VALUE"""),138.0)</f>
        <v>138</v>
      </c>
      <c r="B40" t="str">
        <f>IFERROR(__xludf.DUMMYFUNCTION("""COMPUTED_VALUE"""),"""Cafe Eggs""")</f>
        <v>"Cafe Eggs"</v>
      </c>
      <c r="C40" t="str">
        <f>IFERROR(__xludf.DUMMYFUNCTION("""COMPUTED_VALUE"""),"1 April 1998 (1998-04-01)")</f>
        <v>1 April 1998 (1998-04-01)</v>
      </c>
    </row>
    <row r="41">
      <c r="A41" t="str">
        <f>IFERROR(__xludf.DUMMYFUNCTION("""COMPUTED_VALUE"""),"The Teletubbies do the Tip Toe Dance before watching a little boy peel 
eggs, leaving eggshells in the eggs, He then mashes the eggs, and adds 
mayonnaise and then adds bread, then serves it to customers. The 
Teletubbies make Tubby Custard and they make "&amp;"musical slurping noises while 
they eat it. Then the Windmill starts spinning and they watch the Dancing 
Bear and then the Magic Windmill stops spinning and the ""Tubby Bye-Bye"" 
sequence takes place. 
Featuring: Obadiah Winter and Sandy Simmonds")</f>
        <v>The Teletubbies do the Tip Toe Dance before watching a little boy peel 
eggs, leaving eggshells in the eggs, He then mashes the eggs, and adds 
mayonnaise and then adds bread, then serves it to customers. The 
Teletubbies make Tubby Custard and they make musical slurping noises while 
they eat it. Then the Windmill starts spinning and they watch the Dancing 
Bear and then the Magic Windmill stops spinning and the "Tubby Bye-Bye" 
sequence takes place. 
Featuring: Obadiah Winter and Sandy Simmonds</v>
      </c>
    </row>
    <row r="42">
      <c r="A42">
        <f>IFERROR(__xludf.DUMMYFUNCTION("""COMPUTED_VALUE"""),139.0)</f>
        <v>139</v>
      </c>
      <c r="B42" t="str">
        <f>IFERROR(__xludf.DUMMYFUNCTION("""COMPUTED_VALUE"""),"""Drumming With Norris""")</f>
        <v>"Drumming With Norris"</v>
      </c>
      <c r="C42" t="str">
        <f>IFERROR(__xludf.DUMMYFUNCTION("""COMPUTED_VALUE"""),"2 April 1998 (1998-04-02)")</f>
        <v>2 April 1998 (1998-04-02)</v>
      </c>
    </row>
    <row r="43">
      <c r="A43" t="str">
        <f>IFERROR(__xludf.DUMMYFUNCTION("""COMPUTED_VALUE"""),"The Teletubbies watch some children drum with their friend Norris. Tinky 
Winky dances on top of the House which wakes up the other Teletubbies, then 
they all decide to dance, the Windmill starts spinning and they watch The 
Three Ships before the Windmi"&amp;"ll stops spinning for Tubby Bye-Bye. 
Featuring: Norris Johnson, Pa Hasum Conteh, Masha Floris and Ivana Alana 
Haggar")</f>
        <v>The Teletubbies watch some children drum with their friend Norris. Tinky 
Winky dances on top of the House which wakes up the other Teletubbies, then 
they all decide to dance, the Windmill starts spinning and they watch The 
Three Ships before the Windmill stops spinning for Tubby Bye-Bye. 
Featuring: Norris Johnson, Pa Hasum Conteh, Masha Floris and Ivana Alana 
Haggar</v>
      </c>
    </row>
    <row r="44">
      <c r="A44">
        <f>IFERROR(__xludf.DUMMYFUNCTION("""COMPUTED_VALUE"""),140.0)</f>
        <v>140</v>
      </c>
      <c r="B44" t="str">
        <f>IFERROR(__xludf.DUMMYFUNCTION("""COMPUTED_VALUE"""),"""Making Fantastic Animals""")</f>
        <v>"Making Fantastic Animals"</v>
      </c>
      <c r="C44" t="str">
        <f>IFERROR(__xludf.DUMMYFUNCTION("""COMPUTED_VALUE"""),"3 April 1998 (1998-04-03)")</f>
        <v>3 April 1998 (1998-04-03)</v>
      </c>
    </row>
    <row r="45">
      <c r="A45" t="str">
        <f>IFERROR(__xludf.DUMMYFUNCTION("""COMPUTED_VALUE"""),"Dipsy is out for a walk before the Windmill starts to spin.The Teletubbies 
watch children make animals from papier mache. A Little Lamb on red wheels 
appears from Far Away, Laa Laa thinks that the Little Lamb is sad so she 
decides to do a dance to chee"&amp;"r it up, but the Little Lamb is still sad. 
Tinky Winky brings the Little Lamb to the Flowers, Dipsy lets the Little 
Lamb wear his Hat and Po lets it ride her Scooter, but the Little Lamb is 
still sad until the Teletubbies hear a noise. Another Little L"&amp;"amb appears 
and the Little Lamb is Happy and so are the Teletubbies, then both Lambs 
leave Teletubbyland and it's time for Tubby Bye Bye. 
Featuring: Mia Heath, Joe Scott and Rowan Smith")</f>
        <v>Dipsy is out for a walk before the Windmill starts to spin.The Teletubbies 
watch children make animals from papier mache. A Little Lamb on red wheels 
appears from Far Away, Laa Laa thinks that the Little Lamb is sad so she 
decides to do a dance to cheer it up, but the Little Lamb is still sad. 
Tinky Winky brings the Little Lamb to the Flowers, Dipsy lets the Little 
Lamb wear his Hat and Po lets it ride her Scooter, but the Little Lamb is 
still sad until the Teletubbies hear a noise. Another Little Lamb appears 
and the Little Lamb is Happy and so are the Teletubbies, then both Lambs 
leave Teletubbyland and it's time for Tubby Bye Bye. 
Featuring: Mia Heath, Joe Scott and Rowan Smith</v>
      </c>
    </row>
    <row r="46">
      <c r="A46">
        <f>IFERROR(__xludf.DUMMYFUNCTION("""COMPUTED_VALUE"""),141.0)</f>
        <v>141</v>
      </c>
      <c r="B46" t="str">
        <f>IFERROR(__xludf.DUMMYFUNCTION("""COMPUTED_VALUE"""),"""Feeding the Monkeys""")</f>
        <v>"Feeding the Monkeys"</v>
      </c>
      <c r="C46" t="str">
        <f>IFERROR(__xludf.DUMMYFUNCTION("""COMPUTED_VALUE"""),"6 April 1998 (1998-04-06)")</f>
        <v>6 April 1998 (1998-04-06)</v>
      </c>
    </row>
    <row r="47">
      <c r="A47" t="str">
        <f>IFERROR(__xludf.DUMMYFUNCTION("""COMPUTED_VALUE"""),"The Teletubbies pop over a Hill to say Eh Oh. Then they watch Georgina and 
her mother feeding Monkeys at the Zoo. Tinky Winky makes Tubby Toast, but 
the Tubby Toaster makes an extra piece, so Tinky Winky gives the extra 
piece to Po, but then Noo Noo ti"&amp;"dies up the Tubby Toast so they chase him 
around the House. Then the Windmill starts spinning and the Animal Parade 
marches through Teletubbyland before the baby sun giggles for Tubby bye 
bye. 
Featuring: Carol and Georgina Day")</f>
        <v>The Teletubbies pop over a Hill to say Eh Oh. Then they watch Georgina and 
her mother feeding Monkeys at the Zoo. Tinky Winky makes Tubby Toast, but 
the Tubby Toaster makes an extra piece, so Tinky Winky gives the extra 
piece to Po, but then Noo Noo tidies up the Tubby Toast so they chase him 
around the House. Then the Windmill starts spinning and the Animal Parade 
marches through Teletubbyland before the baby sun giggles for Tubby bye 
bye. 
Featuring: Carol and Georgina Day</v>
      </c>
    </row>
    <row r="48">
      <c r="A48">
        <f>IFERROR(__xludf.DUMMYFUNCTION("""COMPUTED_VALUE"""),142.0)</f>
        <v>142</v>
      </c>
      <c r="B48" t="str">
        <f>IFERROR(__xludf.DUMMYFUNCTION("""COMPUTED_VALUE"""),"""Naughty Hat""")</f>
        <v>"Naughty Hat"</v>
      </c>
      <c r="C48" t="str">
        <f>IFERROR(__xludf.DUMMYFUNCTION("""COMPUTED_VALUE"""),"7 April 1998 (1998-04-07)")</f>
        <v>7 April 1998 (1998-04-07)</v>
      </c>
    </row>
    <row r="49">
      <c r="A49" t="str">
        <f>IFERROR(__xludf.DUMMYFUNCTION("""COMPUTED_VALUE"""),"In Teletubbyland, Tinky Winky walks with his bag in front of the trees 
saying hello to the viewers. Just then, the Magic Windmill starts spinning 
and Tinky Winky joins the other Teletubbies and they watch Tamzin Griffin 
pretends to be the Funny Lady an"&amp;"d tells the story of the Naughty Hat. The 
Teletubbies are very happy when they find their favorite things to play 
with. 
Featuring: Tamzin Griffin with The Children of Chater Infants School, 
Watford")</f>
        <v>In Teletubbyland, Tinky Winky walks with his bag in front of the trees 
saying hello to the viewers. Just then, the Magic Windmill starts spinning 
and Tinky Winky joins the other Teletubbies and they watch Tamzin Griffin 
pretends to be the Funny Lady and tells the story of the Naughty Hat. The 
Teletubbies are very happy when they find their favorite things to play 
with. 
Featuring: Tamzin Griffin with The Children of Chater Infants School, 
Watford</v>
      </c>
    </row>
    <row r="50">
      <c r="A50">
        <f>IFERROR(__xludf.DUMMYFUNCTION("""COMPUTED_VALUE"""),143.0)</f>
        <v>143</v>
      </c>
      <c r="B50" t="str">
        <f>IFERROR(__xludf.DUMMYFUNCTION("""COMPUTED_VALUE"""),"""Gingerbread Boy""")</f>
        <v>"Gingerbread Boy"</v>
      </c>
      <c r="C50" t="str">
        <f>IFERROR(__xludf.DUMMYFUNCTION("""COMPUTED_VALUE"""),"8 April 1998 (1998-04-08)")</f>
        <v>8 April 1998 (1998-04-08)</v>
      </c>
    </row>
    <row r="51">
      <c r="A51" t="str">
        <f>IFERROR(__xludf.DUMMYFUNCTION("""COMPUTED_VALUE"""),"The Teletubbies are trying to be quiet, and the Teletubbies watch Oscar 
read the story of the ""Gingerbread Boy"" to his brother Felix. A voice 
trumpet appears and sings a nursery rhyme and the Teletubbies run all over 
Teletubbyland. 
Featuring: Oscar "&amp;"and Felix Taylor")</f>
        <v>The Teletubbies are trying to be quiet, and the Teletubbies watch Oscar 
read the story of the "Gingerbread Boy" to his brother Felix. A voice 
trumpet appears and sings a nursery rhyme and the Teletubbies run all over 
Teletubbyland. 
Featuring: Oscar and Felix Taylor</v>
      </c>
    </row>
    <row r="52">
      <c r="A52">
        <f>IFERROR(__xludf.DUMMYFUNCTION("""COMPUTED_VALUE"""),144.0)</f>
        <v>144</v>
      </c>
      <c r="B52" t="str">
        <f>IFERROR(__xludf.DUMMYFUNCTION("""COMPUTED_VALUE"""),"""Looking for Rabbits""")</f>
        <v>"Looking for Rabbits"</v>
      </c>
      <c r="C52" t="str">
        <f>IFERROR(__xludf.DUMMYFUNCTION("""COMPUTED_VALUE"""),"9 April 1998 (1998-04-09)")</f>
        <v>9 April 1998 (1998-04-09)</v>
      </c>
    </row>
    <row r="53">
      <c r="A53" t="str">
        <f>IFERROR(__xludf.DUMMYFUNCTION("""COMPUTED_VALUE"""),"Po comes in the Home Hill and says hello. She catches the Tubbies and said 
hello. Then she receives a video and they watch Jack and Francesca looking 
for Rabbits with Andy. In Teletubbyland, Tinky Winky looks for Po 
everywhere, but she is hiding from h"&amp;"im. When he finds her all the Tubbies 
dance a Happy Dance. 
Featuring: Andy Brown with Francesca Rutherford &amp; Jack Western")</f>
        <v>Po comes in the Home Hill and says hello. She catches the Tubbies and said 
hello. Then she receives a video and they watch Jack and Francesca looking 
for Rabbits with Andy. In Teletubbyland, Tinky Winky looks for Po 
everywhere, but she is hiding from him. When he finds her all the Tubbies 
dance a Happy Dance. 
Featuring: Andy Brown with Francesca Rutherford &amp; Jack Western</v>
      </c>
    </row>
    <row r="54">
      <c r="A54">
        <f>IFERROR(__xludf.DUMMYFUNCTION("""COMPUTED_VALUE"""),145.0)</f>
        <v>145</v>
      </c>
      <c r="B54" t="str">
        <f>IFERROR(__xludf.DUMMYFUNCTION("""COMPUTED_VALUE"""),"""Painting Easter Eggs""")</f>
        <v>"Painting Easter Eggs"</v>
      </c>
      <c r="C54" t="str">
        <f>IFERROR(__xludf.DUMMYFUNCTION("""COMPUTED_VALUE"""),"10 April 1998 (1998-04-10)")</f>
        <v>10 April 1998 (1998-04-10)</v>
      </c>
    </row>
    <row r="55">
      <c r="A55" t="str">
        <f>IFERROR(__xludf.DUMMYFUNCTION("""COMPUTED_VALUE"""),"The Teletubbies dance an up-and-down dance. They go off to watch some 
children painting pictures and patterns on eggs. Laa-Laa dances with her 
skirt and her ball. She rushes off to fetch the Teletubbies to watch The 
Magic Tree as it appears in Teletubb"&amp;"yland with five doves. The Magic 
Windmill stops spinning and it is time for Tubby Bye Bye. 
Featuring: Jean-Rene Badrick, Rachel Cann, Daniel &amp; Rachel Goldberg, Alice 
Greenwood, Talbah Khan and Finbar Lenahan")</f>
        <v>The Teletubbies dance an up-and-down dance. They go off to watch some 
children painting pictures and patterns on eggs. Laa-Laa dances with her 
skirt and her ball. She rushes off to fetch the Teletubbies to watch The 
Magic Tree as it appears in Teletubbyland with five doves. The Magic 
Windmill stops spinning and it is time for Tubby Bye Bye. 
Featuring: Jean-Rene Badrick, Rachel Cann, Daniel &amp; Rachel Goldberg, Alice 
Greenwood, Talbah Khan and Finbar Lenahan</v>
      </c>
    </row>
    <row r="56">
      <c r="A56">
        <f>IFERROR(__xludf.DUMMYFUNCTION("""COMPUTED_VALUE"""),146.0)</f>
        <v>146</v>
      </c>
      <c r="B56" t="str">
        <f>IFERROR(__xludf.DUMMYFUNCTION("""COMPUTED_VALUE"""),"""Finding Chocolate Eggs""")</f>
        <v>"Finding Chocolate Eggs"</v>
      </c>
      <c r="C56" t="str">
        <f>IFERROR(__xludf.DUMMYFUNCTION("""COMPUTED_VALUE"""),"13 April 1998 (1998-04-13)")</f>
        <v>13 April 1998 (1998-04-13)</v>
      </c>
    </row>
    <row r="57">
      <c r="A57" t="str">
        <f>IFERROR(__xludf.DUMMYFUNCTION("""COMPUTED_VALUE"""),"Tinky Winky, Dipsy and Laa-Laa make some Tubby Custard, but there is none 
left for Po when she arrives, so she takes Laa-Laa's but then Laa-Laa takes 
it back, then Tinky Winky take Dipsy's but he takes it back off him, then 
all of the Teletubbies are t"&amp;"aking each other's Tubby Custard. The 
Teletubbies tell Po to make her own Tubby Custard, but she doesn't want to, 
so she rides her scooter instead while the others have their Tubby Custard. 
The Teletubbies watch a video of some children going on an Eas"&amp;"ter egg hunt. 
The Teletubbies do the Falling Down Dance before Tubby Bye-Bye. 
Featuring: Alice &amp; Samuel Dwyer, Max &amp; Lucas Geddes, Rachel Horton, Casper 
Hughes, Eleanor Paine, Georgina &amp; Katie Phillipps and Nikita Roberts")</f>
        <v>Tinky Winky, Dipsy and Laa-Laa make some Tubby Custard, but there is none 
left for Po when she arrives, so she takes Laa-Laa's but then Laa-Laa takes 
it back, then Tinky Winky take Dipsy's but he takes it back off him, then 
all of the Teletubbies are taking each other's Tubby Custard. The 
Teletubbies tell Po to make her own Tubby Custard, but she doesn't want to, 
so she rides her scooter instead while the others have their Tubby Custard. 
The Teletubbies watch a video of some children going on an Easter egg hunt. 
The Teletubbies do the Falling Down Dance before Tubby Bye-Bye. 
Featuring: Alice &amp; Samuel Dwyer, Max &amp; Lucas Geddes, Rachel Horton, Casper 
Hughes, Eleanor Paine, Georgina &amp; Katie Phillipps and Nikita Roberts</v>
      </c>
    </row>
    <row r="58">
      <c r="A58">
        <f>IFERROR(__xludf.DUMMYFUNCTION("""COMPUTED_VALUE"""),147.0)</f>
        <v>147</v>
      </c>
      <c r="B58" t="str">
        <f>IFERROR(__xludf.DUMMYFUNCTION("""COMPUTED_VALUE"""),"""Turban""")</f>
        <v>"Turban"</v>
      </c>
      <c r="C58" t="str">
        <f>IFERROR(__xludf.DUMMYFUNCTION("""COMPUTED_VALUE"""),"14 April 1998 (1998-04-14)")</f>
        <v>14 April 1998 (1998-04-14)</v>
      </c>
    </row>
    <row r="59">
      <c r="A59" t="str">
        <f>IFERROR(__xludf.DUMMYFUNCTION("""COMPUTED_VALUE"""),"Laa-Laa walks past rabbits and says 'Eh-oh!' before the Magic Windmill 
spins and the Teletubbies find out how to make a turban. The Teletubbies 
went for a walk together so they linked arms and walked together. Po saw 
her scooter and she wanted to ride "&amp;"her scooter whilst the other Teletubbies 
went for a walk together but they pulled the other way and all fell down. 
Po rode her scooter and the other Teletubbies went for a walk together. 
Laa-Laa saw her ball and Tinky Winky and Dipsy wanted to go for a"&amp;" walk so 
Tinky Winky, Dipsy and Laa-Laa fell down. Laa-Laa played with her ball. 
Tinky Winky and Dipsy went for a walk together. Dipsy saw his hat and 
wanted to wear his hat but Tinky Winky wanted to go for a walk. Dipsy wore 
his hat and he sung his h"&amp;"at song. Tinky Winky went for a walk on his own 
before the Sun Baby giggles for Tubby Bye Bye. 
Featuring: Jasjort Singh")</f>
        <v>Laa-Laa walks past rabbits and says 'Eh-oh!' before the Magic Windmill 
spins and the Teletubbies find out how to make a turban. The Teletubbies 
went for a walk together so they linked arms and walked together. Po saw 
her scooter and she wanted to ride her scooter whilst the other Teletubbies 
went for a walk together but they pulled the other way and all fell down. 
Po rode her scooter and the other Teletubbies went for a walk together. 
Laa-Laa saw her ball and Tinky Winky and Dipsy wanted to go for a walk so 
Tinky Winky, Dipsy and Laa-Laa fell down. Laa-Laa played with her ball. 
Tinky Winky and Dipsy went for a walk together. Dipsy saw his hat and 
wanted to wear his hat but Tinky Winky wanted to go for a walk. Dipsy wore 
his hat and he sung his hat song. Tinky Winky went for a walk on his own 
before the Sun Baby giggles for Tubby Bye Bye. 
Featuring: Jasjort Singh</v>
      </c>
    </row>
    <row r="60">
      <c r="A60">
        <f>IFERROR(__xludf.DUMMYFUNCTION("""COMPUTED_VALUE"""),148.0)</f>
        <v>148</v>
      </c>
      <c r="B60" t="str">
        <f>IFERROR(__xludf.DUMMYFUNCTION("""COMPUTED_VALUE"""),"""My Dad's a Tram Driver""")</f>
        <v>"My Dad's a Tram Driver"</v>
      </c>
      <c r="C60" t="str">
        <f>IFERROR(__xludf.DUMMYFUNCTION("""COMPUTED_VALUE"""),"15 April 1998 (1998-04-15)")</f>
        <v>15 April 1998 (1998-04-15)</v>
      </c>
    </row>
    <row r="61">
      <c r="A61" t="str">
        <f>IFERROR(__xludf.DUMMYFUNCTION("""COMPUTED_VALUE"""),"The Teletubbies listen to a Voice Trumpet recite a nursery rhyme called ""Hark, 
Hark, The Dogs Do Bark"", then they watch Becky go for a ride on a tram. 
Po's scooter is involved in an accident and the other Teletubbies are 
knocked down. There's time fo"&amp;"r the Twisty Dance before Tubby Bye-Bye. 
Featuring: Rebecca Singer")</f>
        <v>The Teletubbies listen to a Voice Trumpet recite a nursery rhyme called "Hark, 
Hark, The Dogs Do Bark", then they watch Becky go for a ride on a tram. 
Po's scooter is involved in an accident and the other Teletubbies are 
knocked down. There's time for the Twisty Dance before Tubby Bye-Bye. 
Featuring: Rebecca Singer</v>
      </c>
    </row>
    <row r="62">
      <c r="A62">
        <f>IFERROR(__xludf.DUMMYFUNCTION("""COMPUTED_VALUE"""),149.0)</f>
        <v>149</v>
      </c>
      <c r="B62" t="str">
        <f>IFERROR(__xludf.DUMMYFUNCTION("""COMPUTED_VALUE"""),"""Football""")</f>
        <v>"Football"</v>
      </c>
      <c r="C62" t="str">
        <f>IFERROR(__xludf.DUMMYFUNCTION("""COMPUTED_VALUE"""),"16 April 1998 (1998-04-16)")</f>
        <v>16 April 1998 (1998-04-16)</v>
      </c>
    </row>
    <row r="63">
      <c r="A63" t="str">
        <f>IFERROR(__xludf.DUMMYFUNCTION("""COMPUTED_VALUE"""),"Po eats some Tubby Custard and then runs off to see some children playing 
football (soccer in America) in the park. Laa-Laa and Po love playing with 
the ball. While they play, they sing about the ball. The magical house with 
four windows appears in Tel"&amp;"etubbyland and the Magic Windmill stops 
spinning. It is time for Tubby Bye-Bye. 
Featuring: Ayende &amp; Yusef Ali, Lorenzo Black, Foluke Cole, Malcolm &amp; 
Ashleigh Sawyers and Thomas Wilson")</f>
        <v>Po eats some Tubby Custard and then runs off to see some children playing 
football (soccer in America) in the park. Laa-Laa and Po love playing with 
the ball. While they play, they sing about the ball. The magical house with 
four windows appears in Teletubbyland and the Magic Windmill stops 
spinning. It is time for Tubby Bye-Bye. 
Featuring: Ayende &amp; Yusef Ali, Lorenzo Black, Foluke Cole, Malcolm &amp; 
Ashleigh Sawyers and Thomas Wilson</v>
      </c>
    </row>
    <row r="64">
      <c r="A64">
        <f>IFERROR(__xludf.DUMMYFUNCTION("""COMPUTED_VALUE"""),150.0)</f>
        <v>150</v>
      </c>
      <c r="B64" t="str">
        <f>IFERROR(__xludf.DUMMYFUNCTION("""COMPUTED_VALUE"""),"""Naughty Sausage""")</f>
        <v>"Naughty Sausage"</v>
      </c>
      <c r="C64" t="str">
        <f>IFERROR(__xludf.DUMMYFUNCTION("""COMPUTED_VALUE"""),"17 April 1998 (1998-04-17)")</f>
        <v>17 April 1998 (1998-04-17)</v>
      </c>
    </row>
    <row r="65">
      <c r="A65" t="str">
        <f>IFERROR(__xludf.DUMMYFUNCTION("""COMPUTED_VALUE"""),"The Teletubbies pop up from behind a hill to watch Tamzin Griffin pretend 
to be the Funny Lady. Laa Laa decides to dance a secret dance after 
receiving a naughty sausage transmission. Every time the others return, Laa 
Laa pretends to be asleep. 
Featur"&amp;"ing: Tamzin Griffin with The Children of Chater Infants School, 
Watford")</f>
        <v>The Teletubbies pop up from behind a hill to watch Tamzin Griffin pretend 
to be the Funny Lady. Laa Laa decides to dance a secret dance after 
receiving a naughty sausage transmission. Every time the others return, Laa 
Laa pretends to be asleep. 
Featuring: Tamzin Griffin with The Children of Chater Infants School, 
Watford</v>
      </c>
    </row>
    <row r="66">
      <c r="A66">
        <f>IFERROR(__xludf.DUMMYFUNCTION("""COMPUTED_VALUE"""),151.0)</f>
        <v>151</v>
      </c>
      <c r="B66" t="str">
        <f>IFERROR(__xludf.DUMMYFUNCTION("""COMPUTED_VALUE"""),"""Animals – Snails""")</f>
        <v>"Animals – Snails"</v>
      </c>
      <c r="C66" t="str">
        <f>IFERROR(__xludf.DUMMYFUNCTION("""COMPUTED_VALUE"""),"27 April 1998 (1998-04-27)")</f>
        <v>27 April 1998 (1998-04-27)</v>
      </c>
    </row>
    <row r="67">
      <c r="A67" t="str">
        <f>IFERROR(__xludf.DUMMYFUNCTION("""COMPUTED_VALUE"""),"Po sleeps in Tinky Winky's bed and Tinky Winky has nowhere to sleep. He 
tries sleeping in Po's bed, at the table and on the slide but he cannot get 
comfortable, Po then wakes up and Tinky Winky sleeps in his bed. The 
Windmill starts spinning and the Te"&amp;"letubbies run outside to watch Andy 
Brown show some children some Snails.The Teletubbies dance a Conga before 
Tubby Bye Bye. 
Featuring: Andy Brown with Giacomo Alger, Anil Jilka and Jodi Richards")</f>
        <v>Po sleeps in Tinky Winky's bed and Tinky Winky has nowhere to sleep. He 
tries sleeping in Po's bed, at the table and on the slide but he cannot get 
comfortable, Po then wakes up and Tinky Winky sleeps in his bed. The 
Windmill starts spinning and the Teletubbies run outside to watch Andy 
Brown show some children some Snails.The Teletubbies dance a Conga before 
Tubby Bye Bye. 
Featuring: Andy Brown with Giacomo Alger, Anil Jilka and Jodi Richards</v>
      </c>
    </row>
    <row r="68">
      <c r="A68">
        <f>IFERROR(__xludf.DUMMYFUNCTION("""COMPUTED_VALUE"""),152.0)</f>
        <v>152</v>
      </c>
      <c r="B68" t="str">
        <f>IFERROR(__xludf.DUMMYFUNCTION("""COMPUTED_VALUE"""),"""Numbers – 3 (version 2)""")</f>
        <v>"Numbers – 3 (version 2)"</v>
      </c>
      <c r="C68" t="str">
        <f>IFERROR(__xludf.DUMMYFUNCTION("""COMPUTED_VALUE"""),"28 April 1998 (1998-04-28)")</f>
        <v>28 April 1998 (1998-04-28)</v>
      </c>
    </row>
    <row r="69">
      <c r="A69" t="str">
        <f>IFERROR(__xludf.DUMMYFUNCTION("""COMPUTED_VALUE"""),"Tinky-Winky, Dipsy and Laa Laa march. Then they watch children learn the 
number 3. And then, three Teletubbies find three flowers and three trees. 
And they have Tubby Toast, but there are four pieces of Tubby Toast. Po 
comes to the house and haves the "&amp;"other tubby toast and it is time for Tubby 
Bye-Bye. 
Featuring: The Children of Duncombe School, London")</f>
        <v>Tinky-Winky, Dipsy and Laa Laa march. Then they watch children learn the 
number 3. And then, three Teletubbies find three flowers and three trees. 
And they have Tubby Toast, but there are four pieces of Tubby Toast. Po 
comes to the house and haves the other tubby toast and it is time for Tubby 
Bye-Bye. 
Featuring: The Children of Duncombe School, London</v>
      </c>
    </row>
    <row r="70">
      <c r="A70">
        <f>IFERROR(__xludf.DUMMYFUNCTION("""COMPUTED_VALUE"""),153.0)</f>
        <v>153</v>
      </c>
      <c r="B70" t="str">
        <f>IFERROR(__xludf.DUMMYFUNCTION("""COMPUTED_VALUE"""),"""Dentist""")</f>
        <v>"Dentist"</v>
      </c>
      <c r="C70" t="str">
        <f>IFERROR(__xludf.DUMMYFUNCTION("""COMPUTED_VALUE"""),"29 April 1998 (1998-04-29)")</f>
        <v>29 April 1998 (1998-04-29)</v>
      </c>
    </row>
    <row r="71">
      <c r="A71" t="str">
        <f>IFERROR(__xludf.DUMMYFUNCTION("""COMPUTED_VALUE"""),"Inside the Home Hill, the Teletubbies are sleeping when a voice trumpet 
rises and starts singing Frere Jacques in French to them. Then they wake up 
to see the Magic Windmill spinning. They rush outside (before the voice 
trumpet goes down) and watch a v"&amp;"ideo about dentists working on some teeth 
and become fascinated by their own. Then, the Teletubbies rush off to see 
the Bear and the Lion play hide and seek before the Magic Windmill stops 
spinning for Tubby Bye Bye. 
Featuring: Reena Aluwhalia and The"&amp;" Armstrong Family")</f>
        <v>Inside the Home Hill, the Teletubbies are sleeping when a voice trumpet 
rises and starts singing Frere Jacques in French to them. Then they wake up 
to see the Magic Windmill spinning. They rush outside (before the voice 
trumpet goes down) and watch a video about dentists working on some teeth 
and become fascinated by their own. Then, the Teletubbies rush off to see 
the Bear and the Lion play hide and seek before the Magic Windmill stops 
spinning for Tubby Bye Bye. 
Featuring: Reena Aluwhalia and The Armstrong Family</v>
      </c>
    </row>
    <row r="72">
      <c r="A72">
        <f>IFERROR(__xludf.DUMMYFUNCTION("""COMPUTED_VALUE"""),154.0)</f>
        <v>154</v>
      </c>
      <c r="B72" t="str">
        <f>IFERROR(__xludf.DUMMYFUNCTION("""COMPUTED_VALUE"""),"""Making Salad""")</f>
        <v>"Making Salad"</v>
      </c>
      <c r="C72" t="str">
        <f>IFERROR(__xludf.DUMMYFUNCTION("""COMPUTED_VALUE"""),"30 April 1998 (1998-04-30)")</f>
        <v>30 April 1998 (1998-04-30)</v>
      </c>
    </row>
    <row r="73">
      <c r="A73" t="str">
        <f>IFERROR(__xludf.DUMMYFUNCTION("""COMPUTED_VALUE"""),"The Teletubbies are trying to eat their Tubby Toast but the Noo Noo is 
being too noisy zooming around the House. The Teletubbies watch Yvette and 
her brother Leslie making salad. Back in Teletubbyland the Teletubbies try 
to have their Tubby Custard but"&amp;" they all keep falling over.Then they run 
outside to do the Falling Down Dance before Tubby Bye-Bye. 
Featuring: Yvette and Leslie Dixon-Tetteh")</f>
        <v>The Teletubbies are trying to eat their Tubby Toast but the Noo Noo is 
being too noisy zooming around the House. The Teletubbies watch Yvette and 
her brother Leslie making salad. Back in Teletubbyland the Teletubbies try 
to have their Tubby Custard but they all keep falling over.Then they run 
outside to do the Falling Down Dance before Tubby Bye-Bye. 
Featuring: Yvette and Leslie Dixon-Tetteh</v>
      </c>
    </row>
    <row r="74">
      <c r="A74">
        <f>IFERROR(__xludf.DUMMYFUNCTION("""COMPUTED_VALUE"""),155.0)</f>
        <v>155</v>
      </c>
      <c r="B74" t="str">
        <f>IFERROR(__xludf.DUMMYFUNCTION("""COMPUTED_VALUE"""),"""Making Lanterns""")</f>
        <v>"Making Lanterns"</v>
      </c>
      <c r="C74" t="str">
        <f>IFERROR(__xludf.DUMMYFUNCTION("""COMPUTED_VALUE"""),"1 May 1998 (1998-05-01)")</f>
        <v>1 May 1998 (1998-05-01)</v>
      </c>
    </row>
    <row r="75">
      <c r="A75" t="str">
        <f>IFERROR(__xludf.DUMMYFUNCTION("""COMPUTED_VALUE"""),"The Teletubbies are feeling very happy so they all jump around a tree, 
Laa-Laa jumps away and Dipsy goes to Hide. Tinky-Winky and Po run around 
Teletubbyland, but soon Tinky Winky runs away leaving Po on her own. She 
falls down, lies in the Sun and the"&amp;"n rolls away. The Magic Windmill starts 
to spin and the Teletubbies watch two Boys and their uncle making Lanterns. 
It's time for Tubby Toast. Laa-Laa's piece of Tubby Toast landed on top of 
her head and gets stuck in her aerial, the other three Teletu"&amp;"bbies start 
laughing because she doesn't know where her Tubby Toast has gone and Po 
puts it back On The table. Then they watch the Magical Event with the Magic 
Tree with five doves. Then they have the Stamping and Stepping Dance before 
Tubby Bye-Bye j"&amp;"ust as The Baby Sun sets. 
Featuring: Jonathan and Howard Ho")</f>
        <v>The Teletubbies are feeling very happy so they all jump around a tree, 
Laa-Laa jumps away and Dipsy goes to Hide. Tinky-Winky and Po run around 
Teletubbyland, but soon Tinky Winky runs away leaving Po on her own. She 
falls down, lies in the Sun and then rolls away. The Magic Windmill starts 
to spin and the Teletubbies watch two Boys and their uncle making Lanterns. 
It's time for Tubby Toast. Laa-Laa's piece of Tubby Toast landed on top of 
her head and gets stuck in her aerial, the other three Teletubbies start 
laughing because she doesn't know where her Tubby Toast has gone and Po 
puts it back On The table. Then they watch the Magical Event with the Magic 
Tree with five doves. Then they have the Stamping and Stepping Dance before 
Tubby Bye-Bye just as The Baby Sun sets. 
Featuring: Jonathan and Howard Ho</v>
      </c>
    </row>
    <row r="76">
      <c r="A76">
        <f>IFERROR(__xludf.DUMMYFUNCTION("""COMPUTED_VALUE"""),156.0)</f>
        <v>156</v>
      </c>
      <c r="B76" t="str">
        <f>IFERROR(__xludf.DUMMYFUNCTION("""COMPUTED_VALUE"""),"""Colours – Green""")</f>
        <v>"Colours – Green"</v>
      </c>
      <c r="C76" t="str">
        <f>IFERROR(__xludf.DUMMYFUNCTION("""COMPUTED_VALUE"""),"4 May 1998 (1998-05-04)")</f>
        <v>4 May 1998 (1998-05-04)</v>
      </c>
    </row>
    <row r="77">
      <c r="A77" t="str">
        <f>IFERROR(__xludf.DUMMYFUNCTION("""COMPUTED_VALUE"""),"Inside the House the Teletubbies listen to a Voice Trumpet make a 
""MOOOOOOO"" Noise which they find very funny. Then they watch a video about 
the Colour green. Laa Laa loves the Green Grass. Po loves the Green Trees. 
Tinky Winky loves the Green House "&amp;"and the Teletubbies love Green Dipsy. The 
Teletubbies do the Round and Round Dance before Tubby Bye Bye. 
Featuring: The Children of Oxhey Infants School, Watford")</f>
        <v>Inside the House the Teletubbies listen to a Voice Trumpet make a 
"MOOOOOOO" Noise which they find very funny. Then they watch a video about 
the Colour green. Laa Laa loves the Green Grass. Po loves the Green Trees. 
Tinky Winky loves the Green House and the Teletubbies love Green Dipsy. The 
Teletubbies do the Round and Round Dance before Tubby Bye Bye. 
Featuring: The Children of Oxhey Infants School, Watford</v>
      </c>
    </row>
    <row r="78">
      <c r="A78">
        <f>IFERROR(__xludf.DUMMYFUNCTION("""COMPUTED_VALUE"""),157.0)</f>
        <v>157</v>
      </c>
      <c r="B78" t="str">
        <f>IFERROR(__xludf.DUMMYFUNCTION("""COMPUTED_VALUE"""),"""Our Dog Alice""")</f>
        <v>"Our Dog Alice"</v>
      </c>
      <c r="C78" t="str">
        <f>IFERROR(__xludf.DUMMYFUNCTION("""COMPUTED_VALUE"""),"5 May 1998 (1998-05-05)")</f>
        <v>5 May 1998 (1998-05-05)</v>
      </c>
    </row>
    <row r="79">
      <c r="A79" t="str">
        <f>IFERROR(__xludf.DUMMYFUNCTION("""COMPUTED_VALUE"""),"The Teletubbies watch Ella and Lilly discuss about their pet dog Alice and 
they go for a walk in the park . A barking dog appears in Teletubbyland, 
Dipsy is scared until he realises that it is just being friendly. Tinky 
Winky and Dipsy pat the dog! The"&amp;" dog then disappears and Tinky Winky and 
Dipsy walk away. 
Featuring: Ella and Lilly Ainsworth")</f>
        <v>The Teletubbies watch Ella and Lilly discuss about their pet dog Alice and 
they go for a walk in the park . A barking dog appears in Teletubbyland, 
Dipsy is scared until he realises that it is just being friendly. Tinky 
Winky and Dipsy pat the dog! The dog then disappears and Tinky Winky and 
Dipsy walk away. 
Featuring: Ella and Lilly Ainsworth</v>
      </c>
    </row>
    <row r="80">
      <c r="A80">
        <f>IFERROR(__xludf.DUMMYFUNCTION("""COMPUTED_VALUE"""),158.0)</f>
        <v>158</v>
      </c>
      <c r="B80" t="str">
        <f>IFERROR(__xludf.DUMMYFUNCTION("""COMPUTED_VALUE"""),"""Tulips""")</f>
        <v>"Tulips"</v>
      </c>
      <c r="C80" t="str">
        <f>IFERROR(__xludf.DUMMYFUNCTION("""COMPUTED_VALUE"""),"6 May 1998 (1998-05-06)")</f>
        <v>6 May 1998 (1998-05-06)</v>
      </c>
    </row>
    <row r="81">
      <c r="A81" t="str">
        <f>IFERROR(__xludf.DUMMYFUNCTION("""COMPUTED_VALUE"""),"A balloon appears from Far Away, Laa Laa tries to catch it but she can't, 
Tinky Winky tries but he can't either, the balloon floats around the House, 
Dipsy walks out and finds it, he tries to catch it but he can't, even Po 
tries but she can't, none of "&amp;"the Teletubbies can catch the balloon and it 
floats away. The Windmill starts spinning and the Teletubbies watch two 
girls picking Tulips. The Teletubbies do the Jumping Dance (on the path) 
before Tubby Bye Bye. 
Featuring: Hannah Pettit and Christina "&amp;"Tyrrell")</f>
        <v>A balloon appears from Far Away, Laa Laa tries to catch it but she can't, 
Tinky Winky tries but he can't either, the balloon floats around the House, 
Dipsy walks out and finds it, he tries to catch it but he can't, even Po 
tries but she can't, none of the Teletubbies can catch the balloon and it 
floats away. The Windmill starts spinning and the Teletubbies watch two 
girls picking Tulips. The Teletubbies do the Jumping Dance (on the path) 
before Tubby Bye Bye. 
Featuring: Hannah Pettit and Christina Tyrrell</v>
      </c>
    </row>
    <row r="82">
      <c r="A82">
        <f>IFERROR(__xludf.DUMMYFUNCTION("""COMPUTED_VALUE"""),159.0)</f>
        <v>159</v>
      </c>
      <c r="B82" t="str">
        <f>IFERROR(__xludf.DUMMYFUNCTION("""COMPUTED_VALUE"""),"""Sea Lions""")</f>
        <v>"Sea Lions"</v>
      </c>
      <c r="C82" t="str">
        <f>IFERROR(__xludf.DUMMYFUNCTION("""COMPUTED_VALUE"""),"7 May 1998 (1998-05-07)")</f>
        <v>7 May 1998 (1998-05-07)</v>
      </c>
    </row>
    <row r="83">
      <c r="A83" t="str">
        <f>IFERROR(__xludf.DUMMYFUNCTION("""COMPUTED_VALUE"""),"Po is out for a walk around Teletubbyland, then the Magic Windmill spins, 
then the Teletubbies watch Andy Brown and some children watch some Sea 
Lions. Inside the house, the Teletubbies play with the Control Panel, until 
the Magic Windmill spins, the D"&amp;"ancing Bear appears in a merry-go-round, the 
Teletubbies do The Tip Toe Dance before Tubby Bye-Bye. 
Featuring: Andy Brown with Cherelle Handford, Oliver Hooper and Daniel 
Salmon")</f>
        <v>Po is out for a walk around Teletubbyland, then the Magic Windmill spins, 
then the Teletubbies watch Andy Brown and some children watch some Sea 
Lions. Inside the house, the Teletubbies play with the Control Panel, until 
the Magic Windmill spins, the Dancing Bear appears in a merry-go-round, the 
Teletubbies do The Tip Toe Dance before Tubby Bye-Bye. 
Featuring: Andy Brown with Cherelle Handford, Oliver Hooper and Daniel 
Salmon</v>
      </c>
    </row>
    <row r="84">
      <c r="A84">
        <f>IFERROR(__xludf.DUMMYFUNCTION("""COMPUTED_VALUE"""),160.0)</f>
        <v>160</v>
      </c>
      <c r="B84" t="str">
        <f>IFERROR(__xludf.DUMMYFUNCTION("""COMPUTED_VALUE"""),"""Statues""")</f>
        <v>"Statues"</v>
      </c>
      <c r="C84" t="str">
        <f>IFERROR(__xludf.DUMMYFUNCTION("""COMPUTED_VALUE"""),"8 May 1998 (1998-05-08)")</f>
        <v>8 May 1998 (1998-05-08)</v>
      </c>
    </row>
    <row r="85">
      <c r="A85" t="str">
        <f>IFERROR(__xludf.DUMMYFUNCTION("""COMPUTED_VALUE"""),"The Teletubbies play a Hiding Game inside the House. Tinky Winky, Laa-Laa 
and Po Hide from Dipsy. Laa-Laa hides between the Beds, Po hides under the 
Arch, and Tinky Winky hides behind the Tubby Toaster. When Dipsy looks for 
the other Teletubbies he can"&amp;"'t find them, but when Noo Noo tidies up he 
finds the other Teletubbies, then Dipsy finds them. The Teletubbies watch 
some children play Statues. The Teletubbies do the Tip Toe Dance before 
Tubby Bye Bye. 
Featuring: Nathaniel Facey, Shantelle Hamilton"&amp;", Saj Musa and Kelly Phillips")</f>
        <v>The Teletubbies play a Hiding Game inside the House. Tinky Winky, Laa-Laa 
and Po Hide from Dipsy. Laa-Laa hides between the Beds, Po hides under the 
Arch, and Tinky Winky hides behind the Tubby Toaster. When Dipsy looks for 
the other Teletubbies he can't find them, but when Noo Noo tidies up he 
finds the other Teletubbies, then Dipsy finds them. The Teletubbies watch 
some children play Statues. The Teletubbies do the Tip Toe Dance before 
Tubby Bye Bye. 
Featuring: Nathaniel Facey, Shantelle Hamilton, Saj Musa and Kelly Phillips</v>
      </c>
    </row>
    <row r="86">
      <c r="A86">
        <f>IFERROR(__xludf.DUMMYFUNCTION("""COMPUTED_VALUE"""),161.0)</f>
        <v>161</v>
      </c>
      <c r="B86" t="str">
        <f>IFERROR(__xludf.DUMMYFUNCTION("""COMPUTED_VALUE"""),"""Cygnets""")</f>
        <v>"Cygnets"</v>
      </c>
      <c r="C86" t="str">
        <f>IFERROR(__xludf.DUMMYFUNCTION("""COMPUTED_VALUE"""),"11 May 1998 (1998-05-11)")</f>
        <v>11 May 1998 (1998-05-11)</v>
      </c>
    </row>
    <row r="87">
      <c r="A87" t="str">
        <f>IFERROR(__xludf.DUMMYFUNCTION("""COMPUTED_VALUE"""),"The Teletubbies watch Andy Brown and some children visit some cygnets. In 
Teletubbyland, it is time for bed, but Po is not tired and doesn't want to 
go to sleep yet so she has to ride her scooter. Then, it was time for Tubby 
Toast, but Po was too tired"&amp;" to eat her piece of toast, so she tries to take 
a nap and falls asleep.the Magic Windmill then wakes the Teletubbies up and 
eventually, it stops spinning as the Tubby Bye-Bye Sequence takes place. 
Featuring: Andy Brown with Sophie Easton and Ryan McKe"&amp;"chnie")</f>
        <v>The Teletubbies watch Andy Brown and some children visit some cygnets. In 
Teletubbyland, it is time for bed, but Po is not tired and doesn't want to 
go to sleep yet so she has to ride her scooter. Then, it was time for Tubby 
Toast, but Po was too tired to eat her piece of toast, so she tries to take 
a nap and falls asleep.the Magic Windmill then wakes the Teletubbies up and 
eventually, it stops spinning as the Tubby Bye-Bye Sequence takes place. 
Featuring: Andy Brown with Sophie Easton and Ryan McKechnie</v>
      </c>
    </row>
    <row r="88">
      <c r="A88">
        <f>IFERROR(__xludf.DUMMYFUNCTION("""COMPUTED_VALUE"""),162.0)</f>
        <v>162</v>
      </c>
      <c r="B88" t="str">
        <f>IFERROR(__xludf.DUMMYFUNCTION("""COMPUTED_VALUE"""),"""Rollerblading""")</f>
        <v>"Rollerblading"</v>
      </c>
      <c r="C88" t="str">
        <f>IFERROR(__xludf.DUMMYFUNCTION("""COMPUTED_VALUE"""),"12 May 1998 (1998-05-12)")</f>
        <v>12 May 1998 (1998-05-12)</v>
      </c>
    </row>
    <row r="89">
      <c r="A89" t="str">
        <f>IFERROR(__xludf.DUMMYFUNCTION("""COMPUTED_VALUE"""),"The Teletubbies dance a Twisty Dance, then they watch two children 
rollerblading in New York. The Noo Noo tidies up Tinkly Winky's Tubby Toast 
so Tinky Winky chases him round Home Hill. The Animal Parade march through 
Teletubbyland. The Magic Windmill "&amp;"stops spinning and it is time for Tubby 
Bye-Bye. 
Featuring: Zelda Gay and Mardet Homans")</f>
        <v>The Teletubbies dance a Twisty Dance, then they watch two children 
rollerblading in New York. The Noo Noo tidies up Tinkly Winky's Tubby Toast 
so Tinky Winky chases him round Home Hill. The Animal Parade march through 
Teletubbyland. The Magic Windmill stops spinning and it is time for Tubby 
Bye-Bye. 
Featuring: Zelda Gay and Mardet Homans</v>
      </c>
    </row>
    <row r="90">
      <c r="A90">
        <f>IFERROR(__xludf.DUMMYFUNCTION("""COMPUTED_VALUE"""),163.0)</f>
        <v>163</v>
      </c>
      <c r="B90" t="str">
        <f>IFERROR(__xludf.DUMMYFUNCTION("""COMPUTED_VALUE"""),"""Naughty Duck""")</f>
        <v>"Naughty Duck"</v>
      </c>
      <c r="C90" t="str">
        <f>IFERROR(__xludf.DUMMYFUNCTION("""COMPUTED_VALUE"""),"13 May 1998 (1998-05-13)")</f>
        <v>13 May 1998 (1998-05-13)</v>
      </c>
    </row>
    <row r="91">
      <c r="A91" t="str">
        <f>IFERROR(__xludf.DUMMYFUNCTION("""COMPUTED_VALUE"""),"The Teletubbies watch Tamzin Griffin pretend to be the Funny Lady and tell 
the story of the naughty duck, Laa-Laa and Po make some adjustments on the 
switch panel and it's time for the Bumping dance before Tubby Bye-Bye. 
Featuring: Tamzin Griffin with "&amp;"The Children of Chater Infants School, 
Watford")</f>
        <v>The Teletubbies watch Tamzin Griffin pretend to be the Funny Lady and tell 
the story of the naughty duck, Laa-Laa and Po make some adjustments on the 
switch panel and it's time for the Bumping dance before Tubby Bye-Bye. 
Featuring: Tamzin Griffin with The Children of Chater Infants School, 
Watford</v>
      </c>
    </row>
    <row r="92">
      <c r="A92">
        <f>IFERROR(__xludf.DUMMYFUNCTION("""COMPUTED_VALUE"""),164.0)</f>
        <v>164</v>
      </c>
      <c r="B92" t="str">
        <f>IFERROR(__xludf.DUMMYFUNCTION("""COMPUTED_VALUE"""),"""Ice Cream Sundae""")</f>
        <v>"Ice Cream Sundae"</v>
      </c>
      <c r="C92" t="str">
        <f>IFERROR(__xludf.DUMMYFUNCTION("""COMPUTED_VALUE"""),"14 May 1998 (1998-05-14)")</f>
        <v>14 May 1998 (1998-05-14)</v>
      </c>
    </row>
    <row r="93">
      <c r="A93" t="str">
        <f>IFERROR(__xludf.DUMMYFUNCTION("""COMPUTED_VALUE"""),"A Magic Watering Can appears from Far Away, Po water's some flowers that 
grow enormous. Po decides to water the other Teletubbies Favourite Things 
and they become enormous. Laa Laa loves her enormous Ball, Tinky Winky 
loves his enormous Bag and Dipsy l"&amp;"oves his enormous Hat. The Teletubbies 
watch two children making Ice Cream Sundaes. The Teletubbies do the 
Splashing Dance before Tubby Bye Bye. 
Featuring: Alessandro Rasulo and Rebecca Thomas")</f>
        <v>A Magic Watering Can appears from Far Away, Po water's some flowers that 
grow enormous. Po decides to water the other Teletubbies Favourite Things 
and they become enormous. Laa Laa loves her enormous Ball, Tinky Winky 
loves his enormous Bag and Dipsy loves his enormous Hat. The Teletubbies 
watch two children making Ice Cream Sundaes. The Teletubbies do the 
Splashing Dance before Tubby Bye Bye. 
Featuring: Alessandro Rasulo and Rebecca Thomas</v>
      </c>
    </row>
    <row r="94">
      <c r="A94">
        <f>IFERROR(__xludf.DUMMYFUNCTION("""COMPUTED_VALUE"""),165.0)</f>
        <v>165</v>
      </c>
      <c r="B94" t="str">
        <f>IFERROR(__xludf.DUMMYFUNCTION("""COMPUTED_VALUE"""),"""Playing With Dough""")</f>
        <v>"Playing With Dough"</v>
      </c>
      <c r="C94" t="str">
        <f>IFERROR(__xludf.DUMMYFUNCTION("""COMPUTED_VALUE"""),"15 May 1998 (1998-05-15)")</f>
        <v>15 May 1998 (1998-05-15)</v>
      </c>
    </row>
    <row r="95">
      <c r="A95" t="str">
        <f>IFERROR(__xludf.DUMMYFUNCTION("""COMPUTED_VALUE"""),"The Teletubbies love to run around and around Teletubbyland, but stop to 
watch three children make some Play-Doh. The Tubby Toaster makes a big 
piece of Tubby Toast. Laa-Laa, Dipsy and Tinky Winky think it's too big, 
but Po doesn't. She eats it all. Th"&amp;"e Teletubbies watch the Magic Tree. 
Afterwards, the Magic Windmill stops spinning and it is time for Tubby 
Bye-Bye. 
Featuring: Augustus Betz, Leia Kennedy and Duncan MacKinnon")</f>
        <v>The Teletubbies love to run around and around Teletubbyland, but stop to 
watch three children make some Play-Doh. The Tubby Toaster makes a big 
piece of Tubby Toast. Laa-Laa, Dipsy and Tinky Winky think it's too big, 
but Po doesn't. She eats it all. The Teletubbies watch the Magic Tree. 
Afterwards, the Magic Windmill stops spinning and it is time for Tubby 
Bye-Bye. 
Featuring: Augustus Betz, Leia Kennedy and Duncan MacKinnon</v>
      </c>
    </row>
    <row r="96">
      <c r="A96">
        <f>IFERROR(__xludf.DUMMYFUNCTION("""COMPUTED_VALUE"""),166.0)</f>
        <v>166</v>
      </c>
      <c r="B96" t="str">
        <f>IFERROR(__xludf.DUMMYFUNCTION("""COMPUTED_VALUE"""),"""Kite Flying""")</f>
        <v>"Kite Flying"</v>
      </c>
      <c r="C96" t="str">
        <f>IFERROR(__xludf.DUMMYFUNCTION("""COMPUTED_VALUE"""),"18 May 1998 (1998-05-18)")</f>
        <v>18 May 1998 (1998-05-18)</v>
      </c>
    </row>
    <row r="97">
      <c r="A97" t="str">
        <f>IFERROR(__xludf.DUMMYFUNCTION("""COMPUTED_VALUE"""),"The Teletubbies run out of the house to find their favorite things, then 
they run off to watch some children flying kites. A special cloud falls out 
of the sky and lands on Tinky Winky's head. Tinky Winky shows his special 
cloud to the others and they "&amp;"all think it is beautiful. But when he shows 
it to Dipsy the special cloud lifts off his head and floats back into the 
sky. Tinky Winky is sad until Dipsy let him wear his hat to cheer him up. 
Featuring: Kieran Gangaram, Michael Johnson and Rachel Trew")</f>
        <v>The Teletubbies run out of the house to find their favorite things, then 
they run off to watch some children flying kites. A special cloud falls out 
of the sky and lands on Tinky Winky's head. Tinky Winky shows his special 
cloud to the others and they all think it is beautiful. But when he shows 
it to Dipsy the special cloud lifts off his head and floats back into the 
sky. Tinky Winky is sad until Dipsy let him wear his hat to cheer him up. 
Featuring: Kieran Gangaram, Michael Johnson and Rachel Trew</v>
      </c>
    </row>
    <row r="98">
      <c r="A98">
        <f>IFERROR(__xludf.DUMMYFUNCTION("""COMPUTED_VALUE"""),167.0)</f>
        <v>167</v>
      </c>
      <c r="B98" t="str">
        <f>IFERROR(__xludf.DUMMYFUNCTION("""COMPUTED_VALUE"""),"""Ballet Rhymes""
""Ballet Rhymes 3""")</f>
        <v>"Ballet Rhymes"
"Ballet Rhymes 3"</v>
      </c>
      <c r="C98" t="str">
        <f>IFERROR(__xludf.DUMMYFUNCTION("""COMPUTED_VALUE"""),"19 May 1998 (1998-05-19)")</f>
        <v>19 May 1998 (1998-05-19)</v>
      </c>
    </row>
    <row r="99">
      <c r="A99" t="str">
        <f>IFERROR(__xludf.DUMMYFUNCTION("""COMPUTED_VALUE"""),"The Teletubbies love to dance. The Tubbies dance a happy dance and then 
watch some children perform in a ballet show. Dipsy dances in his bed and 
Laa-Laa dances whilst making tubby custard. Tinky-Winky and Po dance a 
ballroom dance and then all the Tel"&amp;"etubbies dance together. 
Featuring: The Children of The Heidi Rhodes School of Dance")</f>
        <v>The Teletubbies love to dance. The Tubbies dance a happy dance and then 
watch some children perform in a ballet show. Dipsy dances in his bed and 
Laa-Laa dances whilst making tubby custard. Tinky-Winky and Po dance a 
ballroom dance and then all the Teletubbies dance together. 
Featuring: The Children of The Heidi Rhodes School of Dance</v>
      </c>
    </row>
    <row r="100">
      <c r="A100">
        <f>IFERROR(__xludf.DUMMYFUNCTION("""COMPUTED_VALUE"""),168.0)</f>
        <v>168</v>
      </c>
      <c r="B100" t="str">
        <f>IFERROR(__xludf.DUMMYFUNCTION("""COMPUTED_VALUE"""),"""Numbers – 4 (version 2)""")</f>
        <v>"Numbers – 4 (version 2)"</v>
      </c>
      <c r="C100" t="str">
        <f>IFERROR(__xludf.DUMMYFUNCTION("""COMPUTED_VALUE"""),"20 May 1998 (1998-05-20)")</f>
        <v>20 May 1998 (1998-05-20)</v>
      </c>
    </row>
    <row r="101">
      <c r="A101" t="str">
        <f>IFERROR(__xludf.DUMMYFUNCTION("""COMPUTED_VALUE"""),"The Teletubbies say Eh-Oh, then The Teletubbies watch some children learn 
about the number 4. In Teletubbyland The Teletubbies have Tubby custard and 
then play the game ""Who's in the House?"", Po leaves, then Laa-Laa, then 
Dipsy, then Tinky-Winky, lea"&amp;"ving Noo-Noo all alone, then the Magic Windmill 
spins so the Teletubbies watch the Magic House before the Magic Windmill 
stops spinning and then it's Tubby Bye-Bye. 
Featuring: The Children of Duncombe School, London")</f>
        <v>The Teletubbies say Eh-Oh, then The Teletubbies watch some children learn 
about the number 4. In Teletubbyland The Teletubbies have Tubby custard and 
then play the game "Who's in the House?", Po leaves, then Laa-Laa, then 
Dipsy, then Tinky-Winky, leaving Noo-Noo all alone, then the Magic Windmill 
spins so the Teletubbies watch the Magic House before the Magic Windmill 
stops spinning and then it's Tubby Bye-Bye. 
Featuring: The Children of Duncombe School, London</v>
      </c>
    </row>
    <row r="102">
      <c r="A102">
        <f>IFERROR(__xludf.DUMMYFUNCTION("""COMPUTED_VALUE"""),169.0)</f>
        <v>169</v>
      </c>
      <c r="B102" t="str">
        <f>IFERROR(__xludf.DUMMYFUNCTION("""COMPUTED_VALUE"""),"""Haircut""")</f>
        <v>"Haircut"</v>
      </c>
      <c r="C102" t="str">
        <f>IFERROR(__xludf.DUMMYFUNCTION("""COMPUTED_VALUE"""),"21 May 1998 (1998-05-21)")</f>
        <v>21 May 1998 (1998-05-21)</v>
      </c>
    </row>
    <row r="103">
      <c r="A103" t="str">
        <f>IFERROR(__xludf.DUMMYFUNCTION("""COMPUTED_VALUE"""),"The Teletubbies watch two boys having their hair cut. A mirror appears in 
Teletubbyland. Laa-Laa, Dipsy and Tinky Winky like looking at their 
reflection in the mirror. Po liked looking at her reflection in the mirror, 
but not as much as she liked to ri"&amp;"de her scooter. The Tap Dancing Teddy 
Bear appears also in his gazebo. Afterwards, the Magic Windmill stops 
spinning and it is time for Tubby Bye Bye. 
Featuring: Oliver Brookes and Thomas MacLean")</f>
        <v>The Teletubbies watch two boys having their hair cut. A mirror appears in 
Teletubbyland. Laa-Laa, Dipsy and Tinky Winky like looking at their 
reflection in the mirror. Po liked looking at her reflection in the mirror, 
but not as much as she liked to ride her scooter. The Tap Dancing Teddy 
Bear appears also in his gazebo. Afterwards, the Magic Windmill stops 
spinning and it is time for Tubby Bye Bye. 
Featuring: Oliver Brookes and Thomas MacLean</v>
      </c>
    </row>
    <row r="104">
      <c r="A104">
        <f>IFERROR(__xludf.DUMMYFUNCTION("""COMPUTED_VALUE"""),170.0)</f>
        <v>170</v>
      </c>
      <c r="B104" t="str">
        <f>IFERROR(__xludf.DUMMYFUNCTION("""COMPUTED_VALUE"""),"""Carnival II""")</f>
        <v>"Carnival II"</v>
      </c>
      <c r="C104" t="str">
        <f>IFERROR(__xludf.DUMMYFUNCTION("""COMPUTED_VALUE"""),"22 May 1998 (1998-05-22)")</f>
        <v>22 May 1998 (1998-05-22)</v>
      </c>
    </row>
    <row r="105">
      <c r="A105" t="str">
        <f>IFERROR(__xludf.DUMMYFUNCTION("""COMPUTED_VALUE"""),"The Teletubbies sing songs about their favourite things and Po sings a song 
about a cloud, which then begins to rain. The Windmill starts spinning and 
the Teletubbies watch a video about a Carnival. Then they do The Follow The 
Leader Dance inside the H"&amp;"ome Hill, before it's time for Tubby-Bye-Bye. 
Featuring: Children from The Mahogany Group, Notting Hill Carnival")</f>
        <v>The Teletubbies sing songs about their favourite things and Po sings a song 
about a cloud, which then begins to rain. The Windmill starts spinning and 
the Teletubbies watch a video about a Carnival. Then they do The Follow The 
Leader Dance inside the Home Hill, before it's time for Tubby-Bye-Bye. 
Featuring: Children from The Mahogany Group, Notting Hill Carnival</v>
      </c>
    </row>
    <row r="106">
      <c r="A106">
        <f>IFERROR(__xludf.DUMMYFUNCTION("""COMPUTED_VALUE"""),171.0)</f>
        <v>171</v>
      </c>
      <c r="B106" t="str">
        <f>IFERROR(__xludf.DUMMYFUNCTION("""COMPUTED_VALUE"""),"""Tennis""")</f>
        <v>"Tennis"</v>
      </c>
      <c r="C106" t="str">
        <f>IFERROR(__xludf.DUMMYFUNCTION("""COMPUTED_VALUE"""),"22 June 1998 (1998-06-22)")</f>
        <v>22 June 1998 (1998-06-22)</v>
      </c>
    </row>
    <row r="107">
      <c r="A107" t="str">
        <f>IFERROR(__xludf.DUMMYFUNCTION("""COMPUTED_VALUE"""),"The Teletubbies run across the hills to say ""Eh-Oh"" and watch some children 
playing tennis. Laa-Laa and Po love to play with the ball. They roll, throw 
and kick it to each other, the Teletubbies dance the Round and Round Dance 
before Tubby Bye-Bye. 
"&amp;"Featuring: Deepinder &amp; Amrinder Seghal and Inderraj &amp; Navdeep Singh")</f>
        <v>The Teletubbies run across the hills to say "Eh-Oh" and watch some children 
playing tennis. Laa-Laa and Po love to play with the ball. They roll, throw 
and kick it to each other, the Teletubbies dance the Round and Round Dance 
before Tubby Bye-Bye. 
Featuring: Deepinder &amp; Amrinder Seghal and Inderraj &amp; Navdeep Singh</v>
      </c>
    </row>
    <row r="108">
      <c r="A108">
        <f>IFERROR(__xludf.DUMMYFUNCTION("""COMPUTED_VALUE"""),172.0)</f>
        <v>172</v>
      </c>
      <c r="B108" t="str">
        <f>IFERROR(__xludf.DUMMYFUNCTION("""COMPUTED_VALUE"""),"""Cows and Calves""")</f>
        <v>"Cows and Calves"</v>
      </c>
      <c r="C108" t="str">
        <f>IFERROR(__xludf.DUMMYFUNCTION("""COMPUTED_VALUE"""),"23 June 1998 (1998-06-23)")</f>
        <v>23 June 1998 (1998-06-23)</v>
      </c>
    </row>
    <row r="109">
      <c r="A109" t="str">
        <f>IFERROR(__xludf.DUMMYFUNCTION("""COMPUTED_VALUE"""),"The Teletubbies do the Happy Dance, then they watch Matthew, James and Mark 
feed their Cows and Calves and watch them grazing in the field. Tinky 
Winky, Dipsy and Laa Laa eat Tubby Toast at the Tubby Table and Po eats 
Tubby Toast in her Bed, there's cr"&amp;"umbs everywhere so Noo Noo tidies up. The 
Windmill starts spinning and the Teletubbies watch the Animal Parade before 
the Magic Windmill stops spinning and it is time for Tubby Bye Bye. 
Featuring: Matthew, James and Mark Carnie")</f>
        <v>The Teletubbies do the Happy Dance, then they watch Matthew, James and Mark 
feed their Cows and Calves and watch them grazing in the field. Tinky 
Winky, Dipsy and Laa Laa eat Tubby Toast at the Tubby Table and Po eats 
Tubby Toast in her Bed, there's crumbs everywhere so Noo Noo tidies up. The 
Windmill starts spinning and the Teletubbies watch the Animal Parade before 
the Magic Windmill stops spinning and it is time for Tubby Bye Bye. 
Featuring: Matthew, James and Mark Carnie</v>
      </c>
    </row>
    <row r="110">
      <c r="A110">
        <f>IFERROR(__xludf.DUMMYFUNCTION("""COMPUTED_VALUE"""),173.0)</f>
        <v>173</v>
      </c>
      <c r="B110" t="str">
        <f>IFERROR(__xludf.DUMMYFUNCTION("""COMPUTED_VALUE"""),"""The Pier""")</f>
        <v>"The Pier"</v>
      </c>
      <c r="C110" t="str">
        <f>IFERROR(__xludf.DUMMYFUNCTION("""COMPUTED_VALUE"""),"24 June 1998 (1998-06-24)")</f>
        <v>24 June 1998 (1998-06-24)</v>
      </c>
    </row>
    <row r="111">
      <c r="A111" t="str">
        <f>IFERROR(__xludf.DUMMYFUNCTION("""COMPUTED_VALUE"""),"The Teletubbies walk round and round some hills, then they watch some 
children explore a pier. After that, they go off to watch the Lion and Bear 
play their hide and seek game in Teletubbyland. Then the Teletubbies go do 
the Walking Dance before doing "&amp;"the Tubby bye bye sequence. 
Featuring: Christopher &amp; James Botting, Katy Griffin, Mungo &amp; Joseph Kett, 
Saalim Koomar, Rebecca Lawlor and Matthew Wise")</f>
        <v>The Teletubbies walk round and round some hills, then they watch some 
children explore a pier. After that, they go off to watch the Lion and Bear 
play their hide and seek game in Teletubbyland. Then the Teletubbies go do 
the Walking Dance before doing the Tubby bye bye sequence. 
Featuring: Christopher &amp; James Botting, Katy Griffin, Mungo &amp; Joseph Kett, 
Saalim Koomar, Rebecca Lawlor and Matthew Wise</v>
      </c>
    </row>
    <row r="112">
      <c r="A112">
        <f>IFERROR(__xludf.DUMMYFUNCTION("""COMPUTED_VALUE"""),174.0)</f>
        <v>174</v>
      </c>
      <c r="B112" t="str">
        <f>IFERROR(__xludf.DUMMYFUNCTION("""COMPUTED_VALUE"""),"""Becky's Flake Cakes""")</f>
        <v>"Becky's Flake Cakes"</v>
      </c>
      <c r="C112" t="str">
        <f>IFERROR(__xludf.DUMMYFUNCTION("""COMPUTED_VALUE"""),"25 June 1998 (1998-06-25)")</f>
        <v>25 June 1998 (1998-06-25)</v>
      </c>
    </row>
    <row r="113">
      <c r="A113" t="str">
        <f>IFERROR(__xludf.DUMMYFUNCTION("""COMPUTED_VALUE"""),"The Teletubbies are feeling hungry, so they sit down to eat some Tubby 
Toast, but the Tubby Toaster isn't working. So they start pushing buttons 
but it doesn't work and they're still hungry. The Noo-noo tidies up around 
the Toaster and it begins to wor"&amp;"k. The Teletubbies are very happy and eat 
their Tubby Toast very quickly. Then the Teletubbies watch Becky make 
treats for her friend Mark. 
Featuring: Marc Connor and Rebecca Thomas")</f>
        <v>The Teletubbies are feeling hungry, so they sit down to eat some Tubby 
Toast, but the Tubby Toaster isn't working. So they start pushing buttons 
but it doesn't work and they're still hungry. The Noo-noo tidies up around 
the Toaster and it begins to work. The Teletubbies are very happy and eat 
their Tubby Toast very quickly. Then the Teletubbies watch Becky make 
treats for her friend Mark. 
Featuring: Marc Connor and Rebecca Thomas</v>
      </c>
    </row>
    <row r="114">
      <c r="A114">
        <f>IFERROR(__xludf.DUMMYFUNCTION("""COMPUTED_VALUE"""),175.0)</f>
        <v>175</v>
      </c>
      <c r="B114" t="str">
        <f>IFERROR(__xludf.DUMMYFUNCTION("""COMPUTED_VALUE"""),"""Hand Painting""")</f>
        <v>"Hand Painting"</v>
      </c>
      <c r="C114" t="str">
        <f>IFERROR(__xludf.DUMMYFUNCTION("""COMPUTED_VALUE"""),"25 June 1998 (1998-06-25)")</f>
        <v>25 June 1998 (1998-06-25)</v>
      </c>
    </row>
    <row r="115">
      <c r="A115" t="str">
        <f>IFERROR(__xludf.DUMMYFUNCTION("""COMPUTED_VALUE"""),"Dipsy walks in front of the trees to say hello to the viewers. Afterwards, 
the windmill spins and he joins the others, and The Teletubbies watch two 
girls having their hands painted. Po decides to decorate Home Hill with 
handprints. She decorated the t"&amp;"able, the tubby toaster, the doors, and the 
steps. And the whole house was decorated with hand prints when she heard 
Tinky Winky, Dipsy, and Laa-Laa. Po showed the other teletubbies her 
decorations when the Noo-Noo tidied up the handprints. Then the te"&amp;"letubbies 
had a good laugh until they heard the Magic Windmill spin, then they said 
""Uh-Oh!"" then they ran outside. The Magic Windmill stopped spinning for 
Tubby Bye Bye. 
Featuring: Elissa and Leah Patel")</f>
        <v>Dipsy walks in front of the trees to say hello to the viewers. Afterwards, 
the windmill spins and he joins the others, and The Teletubbies watch two 
girls having their hands painted. Po decides to decorate Home Hill with 
handprints. She decorated the table, the tubby toaster, the doors, and the 
steps. And the whole house was decorated with hand prints when she heard 
Tinky Winky, Dipsy, and Laa-Laa. Po showed the other teletubbies her 
decorations when the Noo-Noo tidied up the handprints. Then the teletubbies 
had a good laugh until they heard the Magic Windmill spin, then they said 
"Uh-Oh!" then they ran outside. The Magic Windmill stopped spinning for 
Tubby Bye Bye. 
Featuring: Elissa and Leah Patel</v>
      </c>
    </row>
    <row r="116">
      <c r="A116">
        <f>IFERROR(__xludf.DUMMYFUNCTION("""COMPUTED_VALUE"""),176.0)</f>
        <v>176</v>
      </c>
      <c r="B116" t="str">
        <f>IFERROR(__xludf.DUMMYFUNCTION("""COMPUTED_VALUE"""),"""Mark and Topus""
""Mark &amp; Topus""")</f>
        <v>"Mark and Topus"
"Mark &amp; Topus"</v>
      </c>
      <c r="C116" t="str">
        <f>IFERROR(__xludf.DUMMYFUNCTION("""COMPUTED_VALUE"""),"29 June 1998 (1998-06-29)")</f>
        <v>29 June 1998 (1998-06-29)</v>
      </c>
    </row>
    <row r="117">
      <c r="A117" t="str">
        <f>IFERROR(__xludf.DUMMYFUNCTION("""COMPUTED_VALUE"""),"Tinky Winky, Dipsy and Laa-Laa run over the hills to say Eh-oh and then Po 
pops up and says Boo. The Teletubbies watch Mark go for a ride on his pony 
Topus. Po goes on a long journey far far away on her scooter and then all 
the way home again, the othe"&amp;"r Teletubbies wait for her and when she comes 
back they all have a Big Hug and ""Tubby Bye-Bye"" takes place. 
Featuring: Matthew, James and Mark Carnie")</f>
        <v>Tinky Winky, Dipsy and Laa-Laa run over the hills to say Eh-oh and then Po 
pops up and says Boo. The Teletubbies watch Mark go for a ride on his pony 
Topus. Po goes on a long journey far far away on her scooter and then all 
the way home again, the other Teletubbies wait for her and when she comes 
back they all have a Big Hug and "Tubby Bye-Bye" takes place. 
Featuring: Matthew, James and Mark Carnie</v>
      </c>
    </row>
    <row r="118">
      <c r="A118">
        <f>IFERROR(__xludf.DUMMYFUNCTION("""COMPUTED_VALUE"""),177.0)</f>
        <v>177</v>
      </c>
      <c r="B118" t="str">
        <f>IFERROR(__xludf.DUMMYFUNCTION("""COMPUTED_VALUE"""),"""Numbers – 10""")</f>
        <v>"Numbers – 10"</v>
      </c>
      <c r="C118" t="str">
        <f>IFERROR(__xludf.DUMMYFUNCTION("""COMPUTED_VALUE"""),"30 June 1998 (1998-06-30)")</f>
        <v>30 June 1998 (1998-06-30)</v>
      </c>
    </row>
    <row r="119">
      <c r="A119" t="str">
        <f>IFERROR(__xludf.DUMMYFUNCTION("""COMPUTED_VALUE"""),"Laa Laa is out for a walk before the Windmill starts spinning. The 
Teletubbies watch some children learn about the number 10. Inside the 
House, Tinky Winky, Dipsy and Laa-Laa sit on their seats. Po arrives on her 
scooter. She bumps into the slide and t"&amp;"he walls until she falls off. Po 
sits down on the slide and the other Teletubbies stand up and sit down too. 
They all do it again and again and laughing at the noises they make. The 
magical event with The Magic Tree also occurs. After it disappeared, t"&amp;"he 
Magic Windmill stops spinning. The ""Tubby Bye-Bye"" sequence takes place. 
Featuring: The Children of Duncombe School, London")</f>
        <v>Laa Laa is out for a walk before the Windmill starts spinning. The 
Teletubbies watch some children learn about the number 10. Inside the 
House, Tinky Winky, Dipsy and Laa-Laa sit on their seats. Po arrives on her 
scooter. She bumps into the slide and the walls until she falls off. Po 
sits down on the slide and the other Teletubbies stand up and sit down too. 
They all do it again and again and laughing at the noises they make. The 
magical event with The Magic Tree also occurs. After it disappeared, the 
Magic Windmill stops spinning. The "Tubby Bye-Bye" sequence takes place. 
Featuring: The Children of Duncombe School, London</v>
      </c>
    </row>
    <row r="120">
      <c r="A120">
        <f>IFERROR(__xludf.DUMMYFUNCTION("""COMPUTED_VALUE"""),178.0)</f>
        <v>178</v>
      </c>
      <c r="B120" t="str">
        <f>IFERROR(__xludf.DUMMYFUNCTION("""COMPUTED_VALUE"""),"""Washing the Elephant""")</f>
        <v>"Washing the Elephant"</v>
      </c>
      <c r="C120" t="str">
        <f>IFERROR(__xludf.DUMMYFUNCTION("""COMPUTED_VALUE"""),"1 July 1998 (1998-07-01)")</f>
        <v>1 July 1998 (1998-07-01)</v>
      </c>
    </row>
    <row r="121">
      <c r="A121" t="str">
        <f>IFERROR(__xludf.DUMMYFUNCTION("""COMPUTED_VALUE"""),"The Teletubbies run indoors and then run out again to watch Andy Brown and 
Georgina wash a female elephant called Anna. Laa-Laa and Dipsy have a messy 
accident. They both tread in some Tubby Custard, so the Noo-Noo tidies up, 
again and again. All the T"&amp;"ubby Custard gets mixed up inside the Noo-Noo and 
he shoots all out onto the doors. 
Featuring: Andy Brown and Georgina Day")</f>
        <v>The Teletubbies run indoors and then run out again to watch Andy Brown and 
Georgina wash a female elephant called Anna. Laa-Laa and Dipsy have a messy 
accident. They both tread in some Tubby Custard, so the Noo-Noo tidies up, 
again and again. All the Tubby Custard gets mixed up inside the Noo-Noo and 
he shoots all out onto the doors. 
Featuring: Andy Brown and Georgina Day</v>
      </c>
    </row>
    <row r="122">
      <c r="A122">
        <f>IFERROR(__xludf.DUMMYFUNCTION("""COMPUTED_VALUE"""),179.0)</f>
        <v>179</v>
      </c>
      <c r="B122" t="str">
        <f>IFERROR(__xludf.DUMMYFUNCTION("""COMPUTED_VALUE"""),"""Windmill""")</f>
        <v>"Windmill"</v>
      </c>
      <c r="C122" t="str">
        <f>IFERROR(__xludf.DUMMYFUNCTION("""COMPUTED_VALUE"""),"2 July 1998 (1998-07-02)")</f>
        <v>2 July 1998 (1998-07-02)</v>
      </c>
    </row>
    <row r="123">
      <c r="A123" t="str">
        <f>IFERROR(__xludf.DUMMYFUNCTION("""COMPUTED_VALUE"""),"The Teletubbies take turns to stand on a hill, in front of the house, next 
to a tree and under a cloud. But each time they stand under the cloud it 
begins to rain. Gregory and Matthew show the Teletubbies their windmill. 
The Teletubbies do the Round an"&amp;"d Round Dance before Tubby Bye-Bye. 
Featuring: Matthew and Gregory Dobson")</f>
        <v>The Teletubbies take turns to stand on a hill, in front of the house, next 
to a tree and under a cloud. But each time they stand under the cloud it 
begins to rain. Gregory and Matthew show the Teletubbies their windmill. 
The Teletubbies do the Round and Round Dance before Tubby Bye-Bye. 
Featuring: Matthew and Gregory Dobson</v>
      </c>
    </row>
    <row r="124">
      <c r="A124">
        <f>IFERROR(__xludf.DUMMYFUNCTION("""COMPUTED_VALUE"""),180.0)</f>
        <v>180</v>
      </c>
      <c r="B124" t="str">
        <f>IFERROR(__xludf.DUMMYFUNCTION("""COMPUTED_VALUE"""),"""Putting Angus To Bed""")</f>
        <v>"Putting Angus To Bed"</v>
      </c>
      <c r="C124" t="str">
        <f>IFERROR(__xludf.DUMMYFUNCTION("""COMPUTED_VALUE"""),"3 July 1998 (1998-07-03)")</f>
        <v>3 July 1998 (1998-07-03)</v>
      </c>
    </row>
    <row r="125">
      <c r="A125" t="str">
        <f>IFERROR(__xludf.DUMMYFUNCTION("""COMPUTED_VALUE"""),"The Teletubbies watch James help his mummy put his baby brother Angus to 
bed. In Teletubbyland, Dipsy is asleep, so the other Teletubbies are being 
quiet. They find it difficult to be quiet and not wake Dipsy up, however. 
The Magic Windmill stops spinn"&amp;"ing as the Tubby Bye-Bye takes place. 
Featuring: James and Angus Carnie")</f>
        <v>The Teletubbies watch James help his mummy put his baby brother Angus to 
bed. In Teletubbyland, Dipsy is asleep, so the other Teletubbies are being 
quiet. They find it difficult to be quiet and not wake Dipsy up, however. 
The Magic Windmill stops spinning as the Tubby Bye-Bye takes place. 
Featuring: James and Angus Carnie</v>
      </c>
    </row>
    <row r="126">
      <c r="A126">
        <f>IFERROR(__xludf.DUMMYFUNCTION("""COMPUTED_VALUE"""),181.0)</f>
        <v>181</v>
      </c>
      <c r="B126" t="str">
        <f>IFERROR(__xludf.DUMMYFUNCTION("""COMPUTED_VALUE"""),"""Hair Braiding""")</f>
        <v>"Hair Braiding"</v>
      </c>
      <c r="C126" t="str">
        <f>IFERROR(__xludf.DUMMYFUNCTION("""COMPUTED_VALUE"""),"6 July 1998 (1998-07-06)")</f>
        <v>6 July 1998 (1998-07-06)</v>
      </c>
    </row>
    <row r="127">
      <c r="A127" t="str">
        <f>IFERROR(__xludf.DUMMYFUNCTION("""COMPUTED_VALUE"""),"Laa-Laa and Po hug and the Teletubbies all watch a young girl having her 
hair braided. Tinky Winky can't get to sleep, so Dipsy helps him by singing 
him a lullaby. That made Tinky-Winky, along with Laa Laa and Po, go to 
sleep. Clever Dipsy. After all t"&amp;"hat singing, Dipsy was feeling tired. So he 
went to sleep before Tubby Bye-Bye. 
Featuring: Pamela and Reianna Nembhand")</f>
        <v>Laa-Laa and Po hug and the Teletubbies all watch a young girl having her 
hair braided. Tinky Winky can't get to sleep, so Dipsy helps him by singing 
him a lullaby. That made Tinky-Winky, along with Laa Laa and Po, go to 
sleep. Clever Dipsy. After all that singing, Dipsy was feeling tired. So he 
went to sleep before Tubby Bye-Bye. 
Featuring: Pamela and Reianna Nembhand</v>
      </c>
    </row>
    <row r="128">
      <c r="A128">
        <f>IFERROR(__xludf.DUMMYFUNCTION("""COMPUTED_VALUE"""),182.0)</f>
        <v>182</v>
      </c>
      <c r="B128" t="str">
        <f>IFERROR(__xludf.DUMMYFUNCTION("""COMPUTED_VALUE"""),"""Kittens""")</f>
        <v>"Kittens"</v>
      </c>
      <c r="C128" t="str">
        <f>IFERROR(__xludf.DUMMYFUNCTION("""COMPUTED_VALUE"""),"7 July 1998 (1998-07-07)")</f>
        <v>7 July 1998 (1998-07-07)</v>
      </c>
    </row>
    <row r="129">
      <c r="A129" t="str">
        <f>IFERROR(__xludf.DUMMYFUNCTION("""COMPUTED_VALUE"""),"Outside the Teletubbies Home Hill a voice trumpet makes a MEOW noise like a 
Kitten Then the Teletubbies watch Matthew, James and Mark play with their 
new kittens. Inside the Teletubbies' Home Hill a voice trumpet gives a 
message for the Teletubbies and"&amp;" fell asleep and the Teletubbies wake up and 
the Magic Windmill start spinning and they rush outside to watch The Animal 
Parade and the Magic Windmill stops spinning. 
Featuring: Matthew, James and Mark Carnie")</f>
        <v>Outside the Teletubbies Home Hill a voice trumpet makes a MEOW noise like a 
Kitten Then the Teletubbies watch Matthew, James and Mark play with their 
new kittens. Inside the Teletubbies' Home Hill a voice trumpet gives a 
message for the Teletubbies and fell asleep and the Teletubbies wake up and 
the Magic Windmill start spinning and they rush outside to watch The Animal 
Parade and the Magic Windmill stops spinning. 
Featuring: Matthew, James and Mark Carnie</v>
      </c>
    </row>
    <row r="130">
      <c r="A130">
        <f>IFERROR(__xludf.DUMMYFUNCTION("""COMPUTED_VALUE"""),183.0)</f>
        <v>183</v>
      </c>
      <c r="B130" t="str">
        <f>IFERROR(__xludf.DUMMYFUNCTION("""COMPUTED_VALUE"""),"""Funny Walks""")</f>
        <v>"Funny Walks"</v>
      </c>
      <c r="C130" t="str">
        <f>IFERROR(__xludf.DUMMYFUNCTION("""COMPUTED_VALUE"""),"8 July 1998 (1998-07-08)")</f>
        <v>8 July 1998 (1998-07-08)</v>
      </c>
    </row>
    <row r="131">
      <c r="A131" t="str">
        <f>IFERROR(__xludf.DUMMYFUNCTION("""COMPUTED_VALUE"""),"Tinky Winky is asleep, Dipsy is making some adjustments and Laa Laa is 
eating Tubby Toast, and Po runs and jumps around the House in some very 
unusual ways and none of the Teletubbies can work out what Po is doing, 
then they decide to act like Po and r"&amp;"un around the House in these funny 
ways. Then the Windmill spins and they all watch some children doing funny 
walks. Then, the Teletubbies do funny walks of their own. Then the Magic 
Windmill stops spinning and it is time for Tubby Bye-Bye. 
Featuring:"&amp;" The Children of Academic Day Care, New Jersey")</f>
        <v>Tinky Winky is asleep, Dipsy is making some adjustments and Laa Laa is 
eating Tubby Toast, and Po runs and jumps around the House in some very 
unusual ways and none of the Teletubbies can work out what Po is doing, 
then they decide to act like Po and run around the House in these funny 
ways. Then the Windmill spins and they all watch some children doing funny 
walks. Then, the Teletubbies do funny walks of their own. Then the Magic 
Windmill stops spinning and it is time for Tubby Bye-Bye. 
Featuring: The Children of Academic Day Care, New Jersey</v>
      </c>
    </row>
    <row r="132">
      <c r="A132">
        <f>IFERROR(__xludf.DUMMYFUNCTION("""COMPUTED_VALUE"""),184.0)</f>
        <v>184</v>
      </c>
      <c r="B132" t="str">
        <f>IFERROR(__xludf.DUMMYFUNCTION("""COMPUTED_VALUE"""),"""Jigsaw – Rabbits""")</f>
        <v>"Jigsaw – Rabbits"</v>
      </c>
      <c r="C132" t="str">
        <f>IFERROR(__xludf.DUMMYFUNCTION("""COMPUTED_VALUE"""),"9 July 1998 (1998-07-09)")</f>
        <v>9 July 1998 (1998-07-09)</v>
      </c>
    </row>
    <row r="133">
      <c r="A133" t="str">
        <f>IFERROR(__xludf.DUMMYFUNCTION("""COMPUTED_VALUE"""),"In Teletubbyland, Dipsy, Laa Laa and Po were finding Tinky Winky. After 
they found him, the Magic Windmill starts spinning and the Teletubbies run 
off to watch some children building a jigsaw rabbit puzzle before Tubby Bye 
Bye. 
Featuring: Aaron Ellis,"&amp;" Danielle Miller and Sally Sadler")</f>
        <v>In Teletubbyland, Dipsy, Laa Laa and Po were finding Tinky Winky. After 
they found him, the Magic Windmill starts spinning and the Teletubbies run 
off to watch some children building a jigsaw rabbit puzzle before Tubby Bye 
Bye. 
Featuring: Aaron Ellis, Danielle Miller and Sally Sadler</v>
      </c>
    </row>
    <row r="134">
      <c r="A134">
        <f>IFERROR(__xludf.DUMMYFUNCTION("""COMPUTED_VALUE"""),185.0)</f>
        <v>185</v>
      </c>
      <c r="B134" t="str">
        <f>IFERROR(__xludf.DUMMYFUNCTION("""COMPUTED_VALUE"""),"""My Violin""")</f>
        <v>"My Violin"</v>
      </c>
      <c r="C134" t="str">
        <f>IFERROR(__xludf.DUMMYFUNCTION("""COMPUTED_VALUE"""),"10 July 1998 (1998-07-10)")</f>
        <v>10 July 1998 (1998-07-10)</v>
      </c>
    </row>
    <row r="135">
      <c r="A135" t="str">
        <f>IFERROR(__xludf.DUMMYFUNCTION("""COMPUTED_VALUE"""),"Po rides her Scooter into the House. The Teletubbies listen to Bryony play 
Twinkle, Twinkle, Little Star on the violin. The Teletubbies listen to a 
voice trumpet play Twinkle, Twinkle, Little Star on the violin and the 
Tuba, but Noo Noo is being too no"&amp;"isy. When the voice trumpet stops playing 
the lovely music, Noo Noo starts making his own music by sucking and 
slurping the same tune. Then the Magic Windmill stops spinning and it was 
time for Tubby Bye-Bye. 
Featuring: Bryony Kay")</f>
        <v>Po rides her Scooter into the House. The Teletubbies listen to Bryony play 
Twinkle, Twinkle, Little Star on the violin. The Teletubbies listen to a 
voice trumpet play Twinkle, Twinkle, Little Star on the violin and the 
Tuba, but Noo Noo is being too noisy. When the voice trumpet stops playing 
the lovely music, Noo Noo starts making his own music by sucking and 
slurping the same tune. Then the Magic Windmill stops spinning and it was 
time for Tubby Bye-Bye. 
Featuring: Bryony Kay</v>
      </c>
    </row>
    <row r="136">
      <c r="A136">
        <f>IFERROR(__xludf.DUMMYFUNCTION("""COMPUTED_VALUE"""),186.0)</f>
        <v>186</v>
      </c>
      <c r="B136" t="str">
        <f>IFERROR(__xludf.DUMMYFUNCTION("""COMPUTED_VALUE"""),"""Boys and Eggs""")</f>
        <v>"Boys and Eggs"</v>
      </c>
      <c r="C136" t="str">
        <f>IFERROR(__xludf.DUMMYFUNCTION("""COMPUTED_VALUE"""),"13 July 1998 (1998-07-13)")</f>
        <v>13 July 1998 (1998-07-13)</v>
      </c>
    </row>
    <row r="137">
      <c r="A137" t="str">
        <f>IFERROR(__xludf.DUMMYFUNCTION("""COMPUTED_VALUE"""),"In Teletubbyland, Dipsy was out for a walk, when he saw Tinky Winky, he saw 
Dipsy, reminding him to watch out for a wind, when Dipsy arrives at the 
trees (same trees from The Lion and Bear) he suddenly notices the wind, so 
it blew Dipsy's hat into the "&amp;"air. And Tinky Winky noticed that Dipsy's Hat 
is on the air, so Tinky Winky reminds Dipsy to catch his hat before the 
wind blows it somewhere else in Teletubbyland, so Dipsy goes try to catch 
his hat before it blows away. Meanwhile, Laa Laa and Po were"&amp;" having Tubby 
Toast inside the house. Suddenly, they heard the wind, the wind blew 
Dipsy's hat in front of the house, then goes in the hole, it takes it down 
the slide. Then, Po got Dipsy's hat. Suddenly, the Noo Noo manages to tidy 
up Dipsy's hat. Na"&amp;"ughty Noo Noo! Laa Laa and Po chase him around the house. 
Then, the Noo Noo untidies Dipsy's Hat, and Dipsy's Hat goes up the slide. 
It manages to return to Dipsy, first it goes out of the hole on the Home 
Hill. Dipsy was worried about his hat, and jus"&amp;"t then, Dipsy's hat is back 
on Dipsy. And then the Magic Windmill spins so Laa Laa and Po runs out and 
Dipsy walks to join the other Teletubbies and he suddenly noticed his hat 
is left behind on the path. Then the Teletubbies watch Matthew, James and 
"&amp;"Mark collect eggs before the Sun Baby giggles for Tubby Bye-Bye. 
Featuring: Matthew, James and Mark Carnie")</f>
        <v>In Teletubbyland, Dipsy was out for a walk, when he saw Tinky Winky, he saw 
Dipsy, reminding him to watch out for a wind, when Dipsy arrives at the 
trees (same trees from The Lion and Bear) he suddenly notices the wind, so 
it blew Dipsy's hat into the air. And Tinky Winky noticed that Dipsy's Hat 
is on the air, so Tinky Winky reminds Dipsy to catch his hat before the 
wind blows it somewhere else in Teletubbyland, so Dipsy goes try to catch 
his hat before it blows away. Meanwhile, Laa Laa and Po were having Tubby 
Toast inside the house. Suddenly, they heard the wind, the wind blew 
Dipsy's hat in front of the house, then goes in the hole, it takes it down 
the slide. Then, Po got Dipsy's hat. Suddenly, the Noo Noo manages to tidy 
up Dipsy's hat. Naughty Noo Noo! Laa Laa and Po chase him around the house. 
Then, the Noo Noo untidies Dipsy's Hat, and Dipsy's Hat goes up the slide. 
It manages to return to Dipsy, first it goes out of the hole on the Home 
Hill. Dipsy was worried about his hat, and just then, Dipsy's hat is back 
on Dipsy. And then the Magic Windmill spins so Laa Laa and Po runs out and 
Dipsy walks to join the other Teletubbies and he suddenly noticed his hat 
is left behind on the path. Then the Teletubbies watch Matthew, James and 
Mark collect eggs before the Sun Baby giggles for Tubby Bye-Bye. 
Featuring: Matthew, James and Mark Carnie</v>
      </c>
    </row>
    <row r="138">
      <c r="A138">
        <f>IFERROR(__xludf.DUMMYFUNCTION("""COMPUTED_VALUE"""),187.0)</f>
        <v>187</v>
      </c>
      <c r="B138" t="str">
        <f>IFERROR(__xludf.DUMMYFUNCTION("""COMPUTED_VALUE"""),"""Hovercraft""")</f>
        <v>"Hovercraft"</v>
      </c>
      <c r="C138" t="str">
        <f>IFERROR(__xludf.DUMMYFUNCTION("""COMPUTED_VALUE"""),"14 July 1998 (1998-07-14)")</f>
        <v>14 July 1998 (1998-07-14)</v>
      </c>
    </row>
    <row r="139">
      <c r="A139" t="str">
        <f>IFERROR(__xludf.DUMMYFUNCTION("""COMPUTED_VALUE"""),"The Teletubbies pop up from some hills, then they watch two children travel 
on a hovercraft. The Teletubbies wake up after a little sleep and they make 
their beds up, but Po drops her blanket, The Noo-Noo tidies it up and the 
Teletubbies chase him arou"&amp;"nd the house, the Teletubbies love the Noo-Noo 
very much. The Magic Windmill starts spinning and the Teletubbies watch The 
Three Ships before the Magic Windmill stops spinning and it is time for 
Tubby Bye-Bye. 
Featuring: Zack Adams, Traci &amp; Hannah Car"&amp;"roll and Monique Gordon")</f>
        <v>The Teletubbies pop up from some hills, then they watch two children travel 
on a hovercraft. The Teletubbies wake up after a little sleep and they make 
their beds up, but Po drops her blanket, The Noo-Noo tidies it up and the 
Teletubbies chase him around the house, the Teletubbies love the Noo-Noo 
very much. The Magic Windmill starts spinning and the Teletubbies watch The 
Three Ships before the Magic Windmill stops spinning and it is time for 
Tubby Bye-Bye. 
Featuring: Zack Adams, Traci &amp; Hannah Carroll and Monique Gordon</v>
      </c>
    </row>
    <row r="140">
      <c r="A140">
        <f>IFERROR(__xludf.DUMMYFUNCTION("""COMPUTED_VALUE"""),188.0)</f>
        <v>188</v>
      </c>
      <c r="B140" t="str">
        <f>IFERROR(__xludf.DUMMYFUNCTION("""COMPUTED_VALUE"""),"""Robin""")</f>
        <v>"Robin"</v>
      </c>
      <c r="C140" t="str">
        <f>IFERROR(__xludf.DUMMYFUNCTION("""COMPUTED_VALUE"""),"15 July 1998 (1998-07-15)")</f>
        <v>15 July 1998 (1998-07-15)</v>
      </c>
    </row>
    <row r="141">
      <c r="A141" t="str">
        <f>IFERROR(__xludf.DUMMYFUNCTION("""COMPUTED_VALUE"""),"The Teletubbies run and Po says 'boo' before the Magic Windmill spins and 
the Teletubbies watch Andy Brown and two children watch a robin in the 
garden. The Teletubbies are ""Calling Out!"" to each other. 
Featuring: Andy Brown with Emily and Jack Baker")</f>
        <v>The Teletubbies run and Po says 'boo' before the Magic Windmill spins and 
the Teletubbies watch Andy Brown and two children watch a robin in the 
garden. The Teletubbies are "Calling Out!" to each other. 
Featuring: Andy Brown with Emily and Jack Baker</v>
      </c>
    </row>
    <row r="142">
      <c r="A142">
        <f>IFERROR(__xludf.DUMMYFUNCTION("""COMPUTED_VALUE"""),189.0)</f>
        <v>189</v>
      </c>
      <c r="B142" t="str">
        <f>IFERROR(__xludf.DUMMYFUNCTION("""COMPUTED_VALUE"""),"""Feeding My Baby Sister""")</f>
        <v>"Feeding My Baby Sister"</v>
      </c>
      <c r="C142" t="str">
        <f>IFERROR(__xludf.DUMMYFUNCTION("""COMPUTED_VALUE"""),"16 July 1998 (1998-07-16)")</f>
        <v>16 July 1998 (1998-07-16)</v>
      </c>
    </row>
    <row r="143">
      <c r="A143" t="str">
        <f>IFERROR(__xludf.DUMMYFUNCTION("""COMPUTED_VALUE"""),"Dipsy enters the house and made Tubby custard but the Magic Windmill spins 
and the Teletubbies watch a little girl help feed her baby sister. Po makes 
some Tubby Custard for Dipsy. The Magic Windmill stops spinning and it's 
time for Tubby Bye Bye. 
Fea"&amp;"turing: Tamsin and Georgina George")</f>
        <v>Dipsy enters the house and made Tubby custard but the Magic Windmill spins 
and the Teletubbies watch a little girl help feed her baby sister. Po makes 
some Tubby Custard for Dipsy. The Magic Windmill stops spinning and it's 
time for Tubby Bye Bye. 
Featuring: Tamsin and Georgina George</v>
      </c>
    </row>
    <row r="144">
      <c r="A144">
        <f>IFERROR(__xludf.DUMMYFUNCTION("""COMPUTED_VALUE"""),190.0)</f>
        <v>190</v>
      </c>
      <c r="B144" t="str">
        <f>IFERROR(__xludf.DUMMYFUNCTION("""COMPUTED_VALUE"""),"""Long Horns""")</f>
        <v>"Long Horns"</v>
      </c>
      <c r="C144" t="str">
        <f>IFERROR(__xludf.DUMMYFUNCTION("""COMPUTED_VALUE"""),"17 July 1998 (1998-07-17)")</f>
        <v>17 July 1998 (1998-07-17)</v>
      </c>
    </row>
    <row r="145">
      <c r="A145" t="str">
        <f>IFERROR(__xludf.DUMMYFUNCTION("""COMPUTED_VALUE"""),"Inside the Home Hill, Laa-Laa makes some adjustments on the control panel. 
Suddenly, the Magic Windmill spins. The Teletubbies watch Sam and his mum 
visit a Temple to hear the horns. Annie is teaching Sam how to play the 
horn. They have fun blowing it "&amp;"and making noises and Sam shows how the horn 
closes. Then, in Teletubbyland, the Teletubbies go to the path to do the 
Jumping Dance by the Windmill. Then the Windmill starts to spin. The 
Teletubbies run down the path to watch the Magical Event of the L"&amp;"ion and 
Bear . The Sun Baby Giggles and The ""Tubby Bye-Bye"" sequence takes place 
and the Baby Sun sets. 
Featuring: Samye Adgo")</f>
        <v>Inside the Home Hill, Laa-Laa makes some adjustments on the control panel. 
Suddenly, the Magic Windmill spins. The Teletubbies watch Sam and his mum 
visit a Temple to hear the horns. Annie is teaching Sam how to play the 
horn. They have fun blowing it and making noises and Sam shows how the horn 
closes. Then, in Teletubbyland, the Teletubbies go to the path to do the 
Jumping Dance by the Windmill. Then the Windmill starts to spin. The 
Teletubbies run down the path to watch the Magical Event of the Lion and 
Bear . The Sun Baby Giggles and The "Tubby Bye-Bye" sequence takes place 
and the Baby Sun sets. 
Featuring: Samye Adgo</v>
      </c>
    </row>
    <row r="146">
      <c r="A146">
        <f>IFERROR(__xludf.DUMMYFUNCTION("""COMPUTED_VALUE"""),191.0)</f>
        <v>191</v>
      </c>
      <c r="B146" t="str">
        <f>IFERROR(__xludf.DUMMYFUNCTION("""COMPUTED_VALUE"""),"""Colours – Purple""")</f>
        <v>"Colours – Purple"</v>
      </c>
      <c r="C146" t="str">
        <f>IFERROR(__xludf.DUMMYFUNCTION("""COMPUTED_VALUE"""),"31 August 1998 (1998-08-31)")</f>
        <v>31 August 1998 (1998-08-31)</v>
      </c>
    </row>
    <row r="147">
      <c r="A147" t="str">
        <f>IFERROR(__xludf.DUMMYFUNCTION("""COMPUTED_VALUE"""),"Po listen to a voice trumpet say 'Purple' and she sees a purple cloud. The 
Teletubbbies watch children learn about the colour purple. A purple flower 
appears from far away in Teletubbyland. Laa-Laa and Dipsy don't like the 
smell of it but Tinky-Winky d"&amp;"oes. 
Featuring: The Children of Oxhey Infants School, Watford")</f>
        <v>Po listen to a voice trumpet say 'Purple' and she sees a purple cloud. The 
Teletubbbies watch children learn about the colour purple. A purple flower 
appears from far away in Teletubbyland. Laa-Laa and Dipsy don't like the 
smell of it but Tinky-Winky does. 
Featuring: The Children of Oxhey Infants School, Watford</v>
      </c>
    </row>
    <row r="148">
      <c r="A148">
        <f>IFERROR(__xludf.DUMMYFUNCTION("""COMPUTED_VALUE"""),192.0)</f>
        <v>192</v>
      </c>
      <c r="B148" t="str">
        <f>IFERROR(__xludf.DUMMYFUNCTION("""COMPUTED_VALUE"""),"""Ballet – Jack In The Box""")</f>
        <v>"Ballet – Jack In The Box"</v>
      </c>
      <c r="C148" t="str">
        <f>IFERROR(__xludf.DUMMYFUNCTION("""COMPUTED_VALUE"""),"1 September 1998 (1998-09-01)")</f>
        <v>1 September 1998 (1998-09-01)</v>
      </c>
    </row>
    <row r="149">
      <c r="A149" t="str">
        <f>IFERROR(__xludf.DUMMYFUNCTION("""COMPUTED_VALUE"""),"The Teletubbies are sitting at the table and saying; 'Eh-oh!' then a Voice 
trumpet rises and the Teletubbies bounce up and down on their seats to some 
piano music until the Magic Windmill spins and the Teletubbies watch some 
children perform a Jack in "&amp;"the Box dance, then a pair of curtains appears. 
Dipsy and Laa-Laa have great fun as the curtains open and close. 
Featuring: The Children of The Heidi Rhodes School of Dance")</f>
        <v>The Teletubbies are sitting at the table and saying; 'Eh-oh!' then a Voice 
trumpet rises and the Teletubbies bounce up and down on their seats to some 
piano music until the Magic Windmill spins and the Teletubbies watch some 
children perform a Jack in the Box dance, then a pair of curtains appears. 
Dipsy and Laa-Laa have great fun as the curtains open and close. 
Featuring: The Children of The Heidi Rhodes School of Dance</v>
      </c>
    </row>
    <row r="150">
      <c r="A150">
        <f>IFERROR(__xludf.DUMMYFUNCTION("""COMPUTED_VALUE"""),193.0)</f>
        <v>193</v>
      </c>
      <c r="B150" t="str">
        <f>IFERROR(__xludf.DUMMYFUNCTION("""COMPUTED_VALUE"""),"""Spiders""")</f>
        <v>"Spiders"</v>
      </c>
      <c r="C150" t="str">
        <f>IFERROR(__xludf.DUMMYFUNCTION("""COMPUTED_VALUE"""),"2 September 1998 (1998-09-02)")</f>
        <v>2 September 1998 (1998-09-02)</v>
      </c>
    </row>
    <row r="151">
      <c r="A151" t="str">
        <f>IFERROR(__xludf.DUMMYFUNCTION("""COMPUTED_VALUE"""),"The Teletubbies go to sleep in the Superdome then the Magic windmill 
started to spin and wakes them up. The Teletubbies watch Georgina and Andy 
look at a Spider in the Garden. Then in the Superdome Tinky Winky hears two 
Voice Trumpets say the nursery r"&amp;"hyme called Incy Wincy Spider. The Windmill 
starts spinning and the Animal Parade marches through Teletubbyland. The 
Teletubbies do a Calypso Dance before Tubby Bye Bye. 
Featuring: Andy Brown with Georgina Day")</f>
        <v>The Teletubbies go to sleep in the Superdome then the Magic windmill 
started to spin and wakes them up. The Teletubbies watch Georgina and Andy 
look at a Spider in the Garden. Then in the Superdome Tinky Winky hears two 
Voice Trumpets say the nursery rhyme called Incy Wincy Spider. The Windmill 
starts spinning and the Animal Parade marches through Teletubbyland. The 
Teletubbies do a Calypso Dance before Tubby Bye Bye. 
Featuring: Andy Brown with Georgina Day</v>
      </c>
    </row>
    <row r="152">
      <c r="A152">
        <f>IFERROR(__xludf.DUMMYFUNCTION("""COMPUTED_VALUE"""),194.0)</f>
        <v>194</v>
      </c>
      <c r="B152" t="str">
        <f>IFERROR(__xludf.DUMMYFUNCTION("""COMPUTED_VALUE"""),"""Blackberry Picking""")</f>
        <v>"Blackberry Picking"</v>
      </c>
      <c r="C152" t="str">
        <f>IFERROR(__xludf.DUMMYFUNCTION("""COMPUTED_VALUE"""),"2 September 1998 (1998-09-02)")</f>
        <v>2 September 1998 (1998-09-02)</v>
      </c>
    </row>
    <row r="153">
      <c r="A153" t="str">
        <f>IFERROR(__xludf.DUMMYFUNCTION("""COMPUTED_VALUE"""),"Po loves jumping. She jumps inside Home Hill. Then the magic windmill spins 
and she jumps off to watch some children go blackberry picking. Tinky 
Winky, Dipsy and Po play a hiding game while Laa-Laa is playing with her 
Ball. Then she found Tinky-Winky,"&amp;" Dipsy and Po by the bushes and say eh-oh 
to them until Po says eh-oh to Laa-Laa. Then they run for Laa-Laa by giving 
her a big hug until the magic windmill starts spinning and they run off to 
see the magic house, after that they do the tip toe dance b"&amp;"efore Tubby 
Bye-Bye. 
Featuring: Christabel &amp; Rose Cant, Beth Day and Harry &amp; Jack Jones")</f>
        <v>Po loves jumping. She jumps inside Home Hill. Then the magic windmill spins 
and she jumps off to watch some children go blackberry picking. Tinky 
Winky, Dipsy and Po play a hiding game while Laa-Laa is playing with her 
Ball. Then she found Tinky-Winky, Dipsy and Po by the bushes and say eh-oh 
to them until Po says eh-oh to Laa-Laa. Then they run for Laa-Laa by giving 
her a big hug until the magic windmill starts spinning and they run off to 
see the magic house, after that they do the tip toe dance before Tubby 
Bye-Bye. 
Featuring: Christabel &amp; Rose Cant, Beth Day and Harry &amp; Jack Jones</v>
      </c>
    </row>
    <row r="154">
      <c r="A154">
        <f>IFERROR(__xludf.DUMMYFUNCTION("""COMPUTED_VALUE"""),195.0)</f>
        <v>195</v>
      </c>
      <c r="B154" t="str">
        <f>IFERROR(__xludf.DUMMYFUNCTION("""COMPUTED_VALUE"""),"""Fancy Dress""")</f>
        <v>"Fancy Dress"</v>
      </c>
      <c r="C154" t="str">
        <f>IFERROR(__xludf.DUMMYFUNCTION("""COMPUTED_VALUE"""),"4 September 1998 (1998-09-04)")</f>
        <v>4 September 1998 (1998-09-04)</v>
      </c>
    </row>
    <row r="155">
      <c r="A155" t="str">
        <f>IFERROR(__xludf.DUMMYFUNCTION("""COMPUTED_VALUE"""),"Laa-Laa and Dipsy hug and run off to watch some children making some fancy 
dress clothes. A crown appears in Teletubbyland and when Tinky-Winky wears 
the crown he becomes King Tinky-Winky. He walks around Teletubbyland 
pretending to be king. 
Featuring"&amp;": Augustus Betz, Leia Kennedy, Duncan MacKinnon and Claire Sheil")</f>
        <v>Laa-Laa and Dipsy hug and run off to watch some children making some fancy 
dress clothes. A crown appears in Teletubbyland and when Tinky-Winky wears 
the crown he becomes King Tinky-Winky. He walks around Teletubbyland 
pretending to be king. 
Featuring: Augustus Betz, Leia Kennedy, Duncan MacKinnon and Claire Sheil</v>
      </c>
    </row>
    <row r="156">
      <c r="A156">
        <f>IFERROR(__xludf.DUMMYFUNCTION("""COMPUTED_VALUE"""),196.0)</f>
        <v>196</v>
      </c>
      <c r="B156" t="str">
        <f>IFERROR(__xludf.DUMMYFUNCTION("""COMPUTED_VALUE"""),"""Numbers – 5 (version 3)""")</f>
        <v>"Numbers – 5 (version 3)"</v>
      </c>
      <c r="C156" t="str">
        <f>IFERROR(__xludf.DUMMYFUNCTION("""COMPUTED_VALUE"""),"7 September 1998 (1998-09-07)")</f>
        <v>7 September 1998 (1998-09-07)</v>
      </c>
    </row>
    <row r="157">
      <c r="A157" t="str">
        <f>IFERROR(__xludf.DUMMYFUNCTION("""COMPUTED_VALUE"""),"A voice trumpet rises and counts five. Tinky Winky jumps five times and 
then runs off to watch some children learn about the number five. Five 
voice trumpets rise and play some lovely music for the Teletubbies. 
Featuring: The Children at Treasure Islan"&amp;"d School, Florida")</f>
        <v>A voice trumpet rises and counts five. Tinky Winky jumps five times and 
then runs off to watch some children learn about the number five. Five 
voice trumpets rise and play some lovely music for the Teletubbies. 
Featuring: The Children at Treasure Island School, Florida</v>
      </c>
    </row>
    <row r="158">
      <c r="A158">
        <f>IFERROR(__xludf.DUMMYFUNCTION("""COMPUTED_VALUE"""),197.0)</f>
        <v>197</v>
      </c>
      <c r="B158" t="str">
        <f>IFERROR(__xludf.DUMMYFUNCTION("""COMPUTED_VALUE"""),"""Rebecca's Dogs""")</f>
        <v>"Rebecca's Dogs"</v>
      </c>
      <c r="C158" t="str">
        <f>IFERROR(__xludf.DUMMYFUNCTION("""COMPUTED_VALUE"""),"8 September 1998 (1998-09-08)")</f>
        <v>8 September 1998 (1998-09-08)</v>
      </c>
    </row>
    <row r="159">
      <c r="A159" t="str">
        <f>IFERROR(__xludf.DUMMYFUNCTION("""COMPUTED_VALUE"""),"The Teletubbies run out the back door saying hello to the audience. Just as 
they stand outside, the Windmill starts spinning and they run off to watch 
a girl called Rebecca, who shows us her dogs doing some tricks. A swing 
appears in Teletubbyland and "&amp;"Laa-Laa plays on the swing. Po has a go but 
she keeps falling off. So Laa-Laa shows Po how to play. 
Featuring: Rebecca Winfield")</f>
        <v>The Teletubbies run out the back door saying hello to the audience. Just as 
they stand outside, the Windmill starts spinning and they run off to watch 
a girl called Rebecca, who shows us her dogs doing some tricks. A swing 
appears in Teletubbyland and Laa-Laa plays on the swing. Po has a go but 
she keeps falling off. So Laa-Laa shows Po how to play. 
Featuring: Rebecca Winfield</v>
      </c>
    </row>
    <row r="160">
      <c r="A160">
        <f>IFERROR(__xludf.DUMMYFUNCTION("""COMPUTED_VALUE"""),198.0)</f>
        <v>198</v>
      </c>
      <c r="B160" t="str">
        <f>IFERROR(__xludf.DUMMYFUNCTION("""COMPUTED_VALUE"""),"""Clogs""")</f>
        <v>"Clogs"</v>
      </c>
      <c r="C160" t="str">
        <f>IFERROR(__xludf.DUMMYFUNCTION("""COMPUTED_VALUE"""),"9 September 1998 (1998-09-09)")</f>
        <v>9 September 1998 (1998-09-09)</v>
      </c>
    </row>
    <row r="161">
      <c r="A161" t="str">
        <f>IFERROR(__xludf.DUMMYFUNCTION("""COMPUTED_VALUE"""),"A Voice Trumpet rises, and Tinky Winky plays a there-and-back game on the 
path. Some children watch clogs being made. Laa-Laa goes for a walk, but 
outside it is raining. She goes inside and chases the Noo Noo then catches 
the other Teletubbies to watch"&amp;" The Tap Dancing Teddy Bear inside the 
carousel, the Magic Windmill stops spinning and it is time for Tubby Bye 
Bye. 
Featuring: Gordon Rush, Paige &amp; Devon Gibson, Rosaleen Howorth and Jake 
Rigby")</f>
        <v>A Voice Trumpet rises, and Tinky Winky plays a there-and-back game on the 
path. Some children watch clogs being made. Laa-Laa goes for a walk, but 
outside it is raining. She goes inside and chases the Noo Noo then catches 
the other Teletubbies to watch The Tap Dancing Teddy Bear inside the 
carousel, the Magic Windmill stops spinning and it is time for Tubby Bye 
Bye. 
Featuring: Gordon Rush, Paige &amp; Devon Gibson, Rosaleen Howorth and Jake 
Rigby</v>
      </c>
    </row>
    <row r="162">
      <c r="A162">
        <f>IFERROR(__xludf.DUMMYFUNCTION("""COMPUTED_VALUE"""),199.0)</f>
        <v>199</v>
      </c>
      <c r="B162" t="str">
        <f>IFERROR(__xludf.DUMMYFUNCTION("""COMPUTED_VALUE"""),"""Cuddles Gets Lost""")</f>
        <v>"Cuddles Gets Lost"</v>
      </c>
      <c r="C162" t="str">
        <f>IFERROR(__xludf.DUMMYFUNCTION("""COMPUTED_VALUE"""),"10 September 1998 (1998-09-10)")</f>
        <v>10 September 1998 (1998-09-10)</v>
      </c>
    </row>
    <row r="163">
      <c r="A163" t="str">
        <f>IFERROR(__xludf.DUMMYFUNCTION("""COMPUTED_VALUE"""),"Laa Laa fetches the others to watch Brian Cant tell some children a story 
about a teddy bear called Cuddles. Laa Laa is playing with her ball then 
Tinky Winky and Dipsy are walking together and Po appears. They all 
wondered where Laa Laa was. and they "&amp;"found her and all the Teletubbies had 
a big hug. 
Featuring: Brian Cant, Aneesha Pomerenke, Sam Whitworth and Rachel Yip")</f>
        <v>Laa Laa fetches the others to watch Brian Cant tell some children a story 
about a teddy bear called Cuddles. Laa Laa is playing with her ball then 
Tinky Winky and Dipsy are walking together and Po appears. They all 
wondered where Laa Laa was. and they found her and all the Teletubbies had 
a big hug. 
Featuring: Brian Cant, Aneesha Pomerenke, Sam Whitworth and Rachel Yip</v>
      </c>
    </row>
    <row r="164">
      <c r="A164">
        <f>IFERROR(__xludf.DUMMYFUNCTION("""COMPUTED_VALUE"""),200.0)</f>
        <v>200</v>
      </c>
      <c r="B164" t="str">
        <f>IFERROR(__xludf.DUMMYFUNCTION("""COMPUTED_VALUE"""),"""Squeezy Painting""")</f>
        <v>"Squeezy Painting"</v>
      </c>
      <c r="C164" t="str">
        <f>IFERROR(__xludf.DUMMYFUNCTION("""COMPUTED_VALUE"""),"11 September 1998 (1998-09-11)")</f>
        <v>11 September 1998 (1998-09-11)</v>
      </c>
    </row>
    <row r="165">
      <c r="A165" t="str">
        <f>IFERROR(__xludf.DUMMYFUNCTION("""COMPUTED_VALUE"""),"Inside the Home Hill, Po has to eat her Tubby Custard, but the Magic 
Windmill stops her and she watches some children painting in a garden. 
After that, Po and the other Teletubbies prepare for some Tubby Custard 
again. The Teletubbies also try to be ve"&amp;"ry careful not to spill their Tubby 
Custard, but if they do, the Noo-Noo will have to tidy up. The Teletubbies 
have a big hug before Tubby Bye Bye. 
Featuring: Louise Condon with Julien Jallane, Leia Kennedy and Bernadette 
Marron")</f>
        <v>Inside the Home Hill, Po has to eat her Tubby Custard, but the Magic 
Windmill stops her and she watches some children painting in a garden. 
After that, Po and the other Teletubbies prepare for some Tubby Custard 
again. The Teletubbies also try to be very careful not to spill their Tubby 
Custard, but if they do, the Noo-Noo will have to tidy up. The Teletubbies 
have a big hug before Tubby Bye Bye. 
Featuring: Louise Condon with Julien Jallane, Leia Kennedy and Bernadette 
Marron</v>
      </c>
    </row>
    <row r="166">
      <c r="A166">
        <f>IFERROR(__xludf.DUMMYFUNCTION("""COMPUTED_VALUE"""),201.0)</f>
        <v>201</v>
      </c>
      <c r="B166" t="str">
        <f>IFERROR(__xludf.DUMMYFUNCTION("""COMPUTED_VALUE"""),"""Woodlice""")</f>
        <v>"Woodlice"</v>
      </c>
      <c r="C166" t="str">
        <f>IFERROR(__xludf.DUMMYFUNCTION("""COMPUTED_VALUE"""),"14 September 1998 (1998-09-14)")</f>
        <v>14 September 1998 (1998-09-14)</v>
      </c>
    </row>
    <row r="167">
      <c r="A167" t="str">
        <f>IFERROR(__xludf.DUMMYFUNCTION("""COMPUTED_VALUE"""),"Tinky Winky and Po give each other a Big Hug before the Magic Windmill 
spins, and the Teletubbies watch Andy Brown and some children looking for 
creatures. They find some woodlice under a log. Tinky Winky, Dipsy and 
Laa-Laa go in, and out of the rounda"&amp;"bout with the Tubbytronic Superdome. 
The Teletubbies play an in and out and roundabout game. 
Featuring: Andy Brown with Emily and Jack Baker, Josh Reynolds and Jodie 
Wiltshire")</f>
        <v>Tinky Winky and Po give each other a Big Hug before the Magic Windmill 
spins, and the Teletubbies watch Andy Brown and some children looking for 
creatures. They find some woodlice under a log. Tinky Winky, Dipsy and 
Laa-Laa go in, and out of the roundabout with the Tubbytronic Superdome. 
The Teletubbies play an in and out and roundabout game. 
Featuring: Andy Brown with Emily and Jack Baker, Josh Reynolds and Jodie 
Wiltshire</v>
      </c>
    </row>
    <row r="168">
      <c r="A168">
        <f>IFERROR(__xludf.DUMMYFUNCTION("""COMPUTED_VALUE"""),202.0)</f>
        <v>202</v>
      </c>
      <c r="B168" t="str">
        <f>IFERROR(__xludf.DUMMYFUNCTION("""COMPUTED_VALUE"""),"""Land Yachting""")</f>
        <v>"Land Yachting"</v>
      </c>
      <c r="C168" t="str">
        <f>IFERROR(__xludf.DUMMYFUNCTION("""COMPUTED_VALUE"""),"15 September 1998 (1998-09-15)")</f>
        <v>15 September 1998 (1998-09-15)</v>
      </c>
    </row>
    <row r="169">
      <c r="A169" t="str">
        <f>IFERROR(__xludf.DUMMYFUNCTION("""COMPUTED_VALUE"""),"Dipsy jumps indoors, then the Teletubbies run off to watch Annie and her 
dad land-yachting on a beach. The Teletubbies are having a very busy day 
until a big wind blows. The wind is so strong that it blows the Teletubbies 
favourite things away. The Tel"&amp;"etubbies decide to sing a Come back 
everything song and then the wind drops and their favourite things come 
back to them. The Teletubbies are very happy again. 
Featuring: Megan &amp; Abigail Gosbee and Annie &amp; Jim Moran")</f>
        <v>Dipsy jumps indoors, then the Teletubbies run off to watch Annie and her 
dad land-yachting on a beach. The Teletubbies are having a very busy day 
until a big wind blows. The wind is so strong that it blows the Teletubbies 
favourite things away. The Teletubbies decide to sing a Come back 
everything song and then the wind drops and their favourite things come 
back to them. The Teletubbies are very happy again. 
Featuring: Megan &amp; Abigail Gosbee and Annie &amp; Jim Moran</v>
      </c>
    </row>
    <row r="170">
      <c r="A170">
        <f>IFERROR(__xludf.DUMMYFUNCTION("""COMPUTED_VALUE"""),203.0)</f>
        <v>203</v>
      </c>
      <c r="B170" t="str">
        <f>IFERROR(__xludf.DUMMYFUNCTION("""COMPUTED_VALUE"""),"""Tropical Fish""")</f>
        <v>"Tropical Fish"</v>
      </c>
      <c r="C170" t="str">
        <f>IFERROR(__xludf.DUMMYFUNCTION("""COMPUTED_VALUE"""),"16 September 1998 (1998-09-16)")</f>
        <v>16 September 1998 (1998-09-16)</v>
      </c>
    </row>
    <row r="171">
      <c r="A171" t="str">
        <f>IFERROR(__xludf.DUMMYFUNCTION("""COMPUTED_VALUE"""),"The Teletubbies are asleep in bed. They sit up to listen as five voice 
trumpets rise playing some lovely music. The Teletubbies join hands and 
dance round and round in a circle. Then the Teletubbies watch a group of 
children at an aquarium store. They "&amp;"look in all the tanks at the different 
fish. Tinky Winky pretends to swim. He swims round the table, then swims 
off to find the other Teletubbies and the magical event with The Three 
Ships sailing past occurs before the Magic Windmill stops spinning an"&amp;"d it 
is time for Tubby Bye-Bye. 
Featuring: Sinead Gabriel and Donnette Harry")</f>
        <v>The Teletubbies are asleep in bed. They sit up to listen as five voice 
trumpets rise playing some lovely music. The Teletubbies join hands and 
dance round and round in a circle. Then the Teletubbies watch a group of 
children at an aquarium store. They look in all the tanks at the different 
fish. Tinky Winky pretends to swim. He swims round the table, then swims 
off to find the other Teletubbies and the magical event with The Three 
Ships sailing past occurs before the Magic Windmill stops spinning and it 
is time for Tubby Bye-Bye. 
Featuring: Sinead Gabriel and Donnette Harry</v>
      </c>
    </row>
    <row r="172">
      <c r="A172">
        <f>IFERROR(__xludf.DUMMYFUNCTION("""COMPUTED_VALUE"""),204.0)</f>
        <v>204</v>
      </c>
      <c r="B172" t="str">
        <f>IFERROR(__xludf.DUMMYFUNCTION("""COMPUTED_VALUE"""),"""My Piano""")</f>
        <v>"My Piano"</v>
      </c>
      <c r="C172" t="str">
        <f>IFERROR(__xludf.DUMMYFUNCTION("""COMPUTED_VALUE"""),"17 September 1998 (1998-09-17)")</f>
        <v>17 September 1998 (1998-09-17)</v>
      </c>
    </row>
    <row r="173">
      <c r="A173" t="str">
        <f>IFERROR(__xludf.DUMMYFUNCTION("""COMPUTED_VALUE"""),"Tinky Winky, Dipsy, Laa Laa and Po are playing with their favourite things 
on the path while listening to piano music from a Voice Trumpet before the 
Magic Windmill starts spinning, and the Teletubbies watch a little girl 
play her piano. A voice trumpe"&amp;"t makes a big roaring noise. Tinky Winky, 
Dipsy and Laa Laa have lots of fun running away from the Voice Trumpet's 
roars. 
Featuring: Bryony Kay")</f>
        <v>Tinky Winky, Dipsy, Laa Laa and Po are playing with their favourite things 
on the path while listening to piano music from a Voice Trumpet before the 
Magic Windmill starts spinning, and the Teletubbies watch a little girl 
play her piano. A voice trumpet makes a big roaring noise. Tinky Winky, 
Dipsy and Laa Laa have lots of fun running away from the Voice Trumpet's 
roars. 
Featuring: Bryony Kay</v>
      </c>
    </row>
    <row r="174">
      <c r="A174">
        <f>IFERROR(__xludf.DUMMYFUNCTION("""COMPUTED_VALUE"""),205.0)</f>
        <v>205</v>
      </c>
      <c r="B174" t="str">
        <f>IFERROR(__xludf.DUMMYFUNCTION("""COMPUTED_VALUE"""),"""Twirlers""")</f>
        <v>"Twirlers"</v>
      </c>
      <c r="C174" t="str">
        <f>IFERROR(__xludf.DUMMYFUNCTION("""COMPUTED_VALUE"""),"18 September 1998 (1998-09-18)")</f>
        <v>18 September 1998 (1998-09-18)</v>
      </c>
    </row>
    <row r="175">
      <c r="A175" t="str">
        <f>IFERROR(__xludf.DUMMYFUNCTION("""COMPUTED_VALUE"""),"Tinky Winky listens to a voice trumpet make the sound of a whistle blowing 
and he runs away from the repeating noise. The Teletubbies watch some 
children marching and dancing with Twirlers. Then the Teletubbies march 
with their Favourite Things, after "&amp;"that the Windmill starts to spin and the 
Teletubbies watch The Animal Parade, then the Windmill stops spinning for 
Tubby Bye-Bye. 
Featuring: Pouneh Almasi, Annette Borg, Gabriella Franco, Mary &amp; Charlie 
Sands and Carrie &amp; Joliene Wade")</f>
        <v>Tinky Winky listens to a voice trumpet make the sound of a whistle blowing 
and he runs away from the repeating noise. The Teletubbies watch some 
children marching and dancing with Twirlers. Then the Teletubbies march 
with their Favourite Things, after that the Windmill starts to spin and the 
Teletubbies watch The Animal Parade, then the Windmill stops spinning for 
Tubby Bye-Bye. 
Featuring: Pouneh Almasi, Annette Borg, Gabriella Franco, Mary &amp; Charlie 
Sands and Carrie &amp; Joliene Wade</v>
      </c>
    </row>
    <row r="176">
      <c r="A176">
        <f>IFERROR(__xludf.DUMMYFUNCTION("""COMPUTED_VALUE"""),206.0)</f>
        <v>206</v>
      </c>
      <c r="B176" t="str">
        <f>IFERROR(__xludf.DUMMYFUNCTION("""COMPUTED_VALUE"""),"""The Very Proud Crown""")</f>
        <v>"The Very Proud Crown"</v>
      </c>
      <c r="C176" t="str">
        <f>IFERROR(__xludf.DUMMYFUNCTION("""COMPUTED_VALUE"""),"21 September 1998 (1998-09-21)")</f>
        <v>21 September 1998 (1998-09-21)</v>
      </c>
    </row>
    <row r="177">
      <c r="A177" t="str">
        <f>IFERROR(__xludf.DUMMYFUNCTION("""COMPUTED_VALUE"""),"Tinky Winky comes down the slide and says 'eh-oh!' to Po. A voice trumpet 
comes up and plays some music. Tinky Winky and Po dance around the inside 
of Home Hill until the Magic Windmill spins and the Teletubbies Watch 
Tamzin Griffin pretending to be th"&amp;"e Funny Lady and telling a story of a 
very proud crown. Laa Laa invites Dipsy to go for a walk over the hills. 
Featuring: Tamzin Griffin, The Children of Ravenor Infant's School, 
Greenford")</f>
        <v>Tinky Winky comes down the slide and says 'eh-oh!' to Po. A voice trumpet 
comes up and plays some music. Tinky Winky and Po dance around the inside 
of Home Hill until the Magic Windmill spins and the Teletubbies Watch 
Tamzin Griffin pretending to be the Funny Lady and telling a story of a 
very proud crown. Laa Laa invites Dipsy to go for a walk over the hills. 
Featuring: Tamzin Griffin, The Children of Ravenor Infant's School, 
Greenford</v>
      </c>
    </row>
    <row r="178">
      <c r="A178">
        <f>IFERROR(__xludf.DUMMYFUNCTION("""COMPUTED_VALUE"""),207.0)</f>
        <v>207</v>
      </c>
      <c r="B178" t="str">
        <f>IFERROR(__xludf.DUMMYFUNCTION("""COMPUTED_VALUE"""),"""Boom Boom Dance""")</f>
        <v>"Boom Boom Dance"</v>
      </c>
      <c r="C178" t="str">
        <f>IFERROR(__xludf.DUMMYFUNCTION("""COMPUTED_VALUE"""),"22 September 1998 (1998-09-22)")</f>
        <v>22 September 1998 (1998-09-22)</v>
      </c>
    </row>
    <row r="179">
      <c r="A179" t="str">
        <f>IFERROR(__xludf.DUMMYFUNCTION("""COMPUTED_VALUE"""),"The Teletubbies all sit down on a hill before watching some people do a 
dance called ""The Boom-Boom Dance"" to bongo music. In Teletubbyland, 
Tinky-Winky is sleeping and he does the Boom-Boom dance when he wakes up. 
Dipsy is going on a walk, and then "&amp;"does the Boom-boom dance. Laa-Laa is 
eating Tubby toast and then does the Boom-Boom dance. Po is riding on her 
scooter, and then does the Boom-Boom dance. The Teletubbies meet up and do 
the Boom-Boom dance together, even the Noo-Noo joins in. The ""Tub"&amp;"by 
Bye-Bye"" sequence takes place and The Baby Sun sets. 
Featuring: The Kokuma Dance Company, The Children of Birmingham Settlement 
Nursery")</f>
        <v>The Teletubbies all sit down on a hill before watching some people do a 
dance called "The Boom-Boom Dance" to bongo music. In Teletubbyland, 
Tinky-Winky is sleeping and he does the Boom-Boom dance when he wakes up. 
Dipsy is going on a walk, and then does the Boom-boom dance. Laa-Laa is 
eating Tubby toast and then does the Boom-Boom dance. Po is riding on her 
scooter, and then does the Boom-Boom dance. The Teletubbies meet up and do 
the Boom-Boom dance together, even the Noo-Noo joins in. The "Tubby 
Bye-Bye" sequence takes place and The Baby Sun sets. 
Featuring: The Kokuma Dance Company, The Children of Birmingham Settlement 
Nursery</v>
      </c>
    </row>
    <row r="180">
      <c r="A180">
        <f>IFERROR(__xludf.DUMMYFUNCTION("""COMPUTED_VALUE"""),208.0)</f>
        <v>208</v>
      </c>
      <c r="B180" t="str">
        <f>IFERROR(__xludf.DUMMYFUNCTION("""COMPUTED_VALUE"""),"""Peacocks""")</f>
        <v>"Peacocks"</v>
      </c>
      <c r="C180" t="str">
        <f>IFERROR(__xludf.DUMMYFUNCTION("""COMPUTED_VALUE"""),"23 September 1998 (1998-09-23)")</f>
        <v>23 September 1998 (1998-09-23)</v>
      </c>
    </row>
    <row r="181">
      <c r="A181" t="str">
        <f>IFERROR(__xludf.DUMMYFUNCTION("""COMPUTED_VALUE"""),"In Teletubbyland Dipsy came in to say eh-oh then run back out to fetch the 
others back inside before they say eh-oh also. Then they bump their tummies 
before giving Big hugs. Then the magic windmill starts spinning and they 
rushed out to watch Andy Bro"&amp;"wn and some children looking at peacocks. Then 
the windmill spins again and they arrived to watch the magical tree that 
appears in Teletubbyland. A voice trumpet rises and Laa Laa and Po march to 
the music and the ""Tubby Bye-Bye"" sequence takes place"&amp;". 
Featuring: Andy Brown with Harriet Spilsbury and Philip Taylor")</f>
        <v>In Teletubbyland Dipsy came in to say eh-oh then run back out to fetch the 
others back inside before they say eh-oh also. Then they bump their tummies 
before giving Big hugs. Then the magic windmill starts spinning and they 
rushed out to watch Andy Brown and some children looking at peacocks. Then 
the windmill spins again and they arrived to watch the magical tree that 
appears in Teletubbyland. A voice trumpet rises and Laa Laa and Po march to 
the music and the "Tubby Bye-Bye" sequence takes place. 
Featuring: Andy Brown with Harriet Spilsbury and Philip Taylor</v>
      </c>
    </row>
    <row r="182">
      <c r="A182">
        <f>IFERROR(__xludf.DUMMYFUNCTION("""COMPUTED_VALUE"""),209.0)</f>
        <v>209</v>
      </c>
      <c r="B182" t="str">
        <f>IFERROR(__xludf.DUMMYFUNCTION("""COMPUTED_VALUE"""),"""Numbers – 6 (version 2)""")</f>
        <v>"Numbers – 6 (version 2)"</v>
      </c>
      <c r="C182" t="str">
        <f>IFERROR(__xludf.DUMMYFUNCTION("""COMPUTED_VALUE"""),"24 September 1998 (1998-09-24)")</f>
        <v>24 September 1998 (1998-09-24)</v>
      </c>
    </row>
    <row r="183">
      <c r="A183" t="str">
        <f>IFERROR(__xludf.DUMMYFUNCTION("""COMPUTED_VALUE"""),"Inside the Home Hill, the Teletubbies were having Tubby Toast, but there's 
no toast for Laa Laa after she pushed a button. So Laa Laa pushes a button 
again, and Laa Laa still doesn't have toast. Laa Laa tries again one more 
time. But there's still toas"&amp;"t for Laa Laa. Laa Laa was very sad, and she 
sings about Tubby Toast very sadly. So Tinky Winky, Dipsy and Po decided to 
share their toast with Laa Laa. And Laa Laa has six toast on her plate. And 
Laa Laa was happy again. Then the Magic Windmill starts"&amp;" spinning and the 
Teletubbies run off to watch some children learn about the number six 
before the Sun baby giggles for Tubby Bye Bye. 
Featuring: The Children of Duncombe School, London")</f>
        <v>Inside the Home Hill, the Teletubbies were having Tubby Toast, but there's 
no toast for Laa Laa after she pushed a button. So Laa Laa pushes a button 
again, and Laa Laa still doesn't have toast. Laa Laa tries again one more 
time. But there's still toast for Laa Laa. Laa Laa was very sad, and she 
sings about Tubby Toast very sadly. So Tinky Winky, Dipsy and Po decided to 
share their toast with Laa Laa. And Laa Laa has six toast on her plate. And 
Laa Laa was happy again. Then the Magic Windmill starts spinning and the 
Teletubbies run off to watch some children learn about the number six 
before the Sun baby giggles for Tubby Bye Bye. 
Featuring: The Children of Duncombe School, London</v>
      </c>
    </row>
    <row r="184">
      <c r="A184">
        <f>IFERROR(__xludf.DUMMYFUNCTION("""COMPUTED_VALUE"""),210.0)</f>
        <v>210</v>
      </c>
      <c r="B184" t="str">
        <f>IFERROR(__xludf.DUMMYFUNCTION("""COMPUTED_VALUE"""),"""Basketball""")</f>
        <v>"Basketball"</v>
      </c>
      <c r="C184" t="str">
        <f>IFERROR(__xludf.DUMMYFUNCTION("""COMPUTED_VALUE"""),"25 September 1998 (1998-09-25)")</f>
        <v>25 September 1998 (1998-09-25)</v>
      </c>
    </row>
    <row r="185">
      <c r="A185" t="str">
        <f>IFERROR(__xludf.DUMMYFUNCTION("""COMPUTED_VALUE"""),"The Teletubbies put their arms in the air with a Voice Trumpet, then the 
Magic Windmill started to spin, so they go see some basketball. The little 
boy got a basket, yay for him! Then the Teletubbies have Tubby Toast, 
except for Tinky Winky, because hi"&amp;"s toast was on the floor, so Noo-Noo 
cleans it up, then the Teletubbies chase him around for a hug, then the 
magic windmill started to spin again. When they say uh-oh, they rush off to 
see the dancing bear in a stage to end the episode. After the Danci"&amp;"ng Bear 
had finished, the Magic Windmill stopped spinning and it was time for Tubby 
Bye Bye. 
Featuring: Jordan &amp; Philip Mathews")</f>
        <v>The Teletubbies put their arms in the air with a Voice Trumpet, then the 
Magic Windmill started to spin, so they go see some basketball. The little 
boy got a basket, yay for him! Then the Teletubbies have Tubby Toast, 
except for Tinky Winky, because his toast was on the floor, so Noo-Noo 
cleans it up, then the Teletubbies chase him around for a hug, then the 
magic windmill started to spin again. When they say uh-oh, they rush off to 
see the dancing bear in a stage to end the episode. After the Dancing Bear 
had finished, the Magic Windmill stopped spinning and it was time for Tubby 
Bye Bye. 
Featuring: Jordan &amp; Philip Mathews</v>
      </c>
    </row>
    <row r="186">
      <c r="A186">
        <f>IFERROR(__xludf.DUMMYFUNCTION("""COMPUTED_VALUE"""),211.0)</f>
        <v>211</v>
      </c>
      <c r="B186" t="str">
        <f>IFERROR(__xludf.DUMMYFUNCTION("""COMPUTED_VALUE"""),"""Rangoli""")</f>
        <v>"Rangoli"</v>
      </c>
      <c r="C186" t="str">
        <f>IFERROR(__xludf.DUMMYFUNCTION("""COMPUTED_VALUE"""),"28 September 1998 (1998-09-28)")</f>
        <v>28 September 1998 (1998-09-28)</v>
      </c>
    </row>
    <row r="187">
      <c r="A187" t="str">
        <f>IFERROR(__xludf.DUMMYFUNCTION("""COMPUTED_VALUE"""),"The Teletubbies walk in and out before the Magic Windmill spins and the 
Teletubbies watch a little boy and his mum paint some Rangoli pictures for 
the Hindu and Sikh festival of Diwali. A decoration appears in 
Teletubbyland. The Tubbies think the decor"&amp;"ation is very decorative, but 
Dipsy is not too pleased when the decoration decorates him! 
Featuring: Rikesh Karsan")</f>
        <v>The Teletubbies walk in and out before the Magic Windmill spins and the 
Teletubbies watch a little boy and his mum paint some Rangoli pictures for 
the Hindu and Sikh festival of Diwali. A decoration appears in 
Teletubbyland. The Tubbies think the decoration is very decorative, but 
Dipsy is not too pleased when the decoration decorates him! 
Featuring: Rikesh Karsan</v>
      </c>
    </row>
    <row r="188">
      <c r="A188">
        <f>IFERROR(__xludf.DUMMYFUNCTION("""COMPUTED_VALUE"""),212.0)</f>
        <v>212</v>
      </c>
      <c r="B188" t="str">
        <f>IFERROR(__xludf.DUMMYFUNCTION("""COMPUTED_VALUE"""),"""Frogs""")</f>
        <v>"Frogs"</v>
      </c>
      <c r="C188" t="str">
        <f>IFERROR(__xludf.DUMMYFUNCTION("""COMPUTED_VALUE"""),"29 September 1998 (1998-09-29)")</f>
        <v>29 September 1998 (1998-09-29)</v>
      </c>
    </row>
    <row r="189">
      <c r="A189" t="str">
        <f>IFERROR(__xludf.DUMMYFUNCTION("""COMPUTED_VALUE"""),"The Teletubbies watch Andy Brown and two children looking into a pool of 
frogs. Laa-Laa looks at the flowers, but Dipsy keeps getting in the way. 
Featuring: Andy Brown with Emily &amp; Jack Baker")</f>
        <v>The Teletubbies watch Andy Brown and two children looking into a pool of 
frogs. Laa-Laa looks at the flowers, but Dipsy keeps getting in the way. 
Featuring: Andy Brown with Emily &amp; Jack Baker</v>
      </c>
    </row>
    <row r="190">
      <c r="A190">
        <f>IFERROR(__xludf.DUMMYFUNCTION("""COMPUTED_VALUE"""),213.0)</f>
        <v>213</v>
      </c>
      <c r="B190" t="str">
        <f>IFERROR(__xludf.DUMMYFUNCTION("""COMPUTED_VALUE"""),"""Old King Cole""")</f>
        <v>"Old King Cole"</v>
      </c>
      <c r="C190" t="str">
        <f>IFERROR(__xludf.DUMMYFUNCTION("""COMPUTED_VALUE"""),"30 September 1998 (1998-09-30)")</f>
        <v>30 September 1998 (1998-09-30)</v>
      </c>
    </row>
    <row r="191">
      <c r="A191" t="str">
        <f>IFERROR(__xludf.DUMMYFUNCTION("""COMPUTED_VALUE"""),"Laa-Laa watches some children sing and act out the nursery rhyme Old King 
Cole. Then the Teletubbies act out their own version of Old King Cole. 
Featuring: The Children of Hardwick Primary School, Banbury")</f>
        <v>Laa-Laa watches some children sing and act out the nursery rhyme Old King 
Cole. Then the Teletubbies act out their own version of Old King Cole. 
Featuring: The Children of Hardwick Primary School, Banbury</v>
      </c>
    </row>
    <row r="192">
      <c r="A192">
        <f>IFERROR(__xludf.DUMMYFUNCTION("""COMPUTED_VALUE"""),214.0)</f>
        <v>214</v>
      </c>
      <c r="B192" t="str">
        <f>IFERROR(__xludf.DUMMYFUNCTION("""COMPUTED_VALUE"""),"""Jigsaw – Elephant""")</f>
        <v>"Jigsaw – Elephant"</v>
      </c>
      <c r="C192" t="str">
        <f>IFERROR(__xludf.DUMMYFUNCTION("""COMPUTED_VALUE"""),"1 October 1998 (1998-10-01)")</f>
        <v>1 October 1998 (1998-10-01)</v>
      </c>
    </row>
    <row r="193">
      <c r="A193" t="str">
        <f>IFERROR(__xludf.DUMMYFUNCTION("""COMPUTED_VALUE"""),"Inside the Teletubbies' Superdome, the Teletubbies giggle together as they 
hold hands and side step around Home Hill. Then they rush outside to watch 
three children build a jigsaw puzzle of an elephant. Later, the Bear and 
Lion appear and play hide and"&amp;" seek in Teletubbyland before the Magic 
Windmill stops spinning and it is time for Tubby Bye-Bye. 
Featuring: Aaron Ellis, Danielle Miller and Sally Sadler")</f>
        <v>Inside the Teletubbies' Superdome, the Teletubbies giggle together as they 
hold hands and side step around Home Hill. Then they rush outside to watch 
three children build a jigsaw puzzle of an elephant. Later, the Bear and 
Lion appear and play hide and seek in Teletubbyland before the Magic 
Windmill stops spinning and it is time for Tubby Bye-Bye. 
Featuring: Aaron Ellis, Danielle Miller and Sally Sadler</v>
      </c>
    </row>
    <row r="194">
      <c r="A194">
        <f>IFERROR(__xludf.DUMMYFUNCTION("""COMPUTED_VALUE"""),215.0)</f>
        <v>215</v>
      </c>
      <c r="B194" t="str">
        <f>IFERROR(__xludf.DUMMYFUNCTION("""COMPUTED_VALUE"""),"""Naughty Soap""")</f>
        <v>"Naughty Soap"</v>
      </c>
      <c r="C194" t="str">
        <f>IFERROR(__xludf.DUMMYFUNCTION("""COMPUTED_VALUE"""),"2 October 1998 (1998-10-02)")</f>
        <v>2 October 1998 (1998-10-02)</v>
      </c>
    </row>
    <row r="195">
      <c r="A195" t="str">
        <f>IFERROR(__xludf.DUMMYFUNCTION("""COMPUTED_VALUE"""),"The Noo Noo helps Po wash with her Tubby sponge. Meanwhile, funny lady 
Tamzin Griffin tells the story of a silly, soppy soap. 
Featuring: Tamzin Griffin, The Children of Chater Infants School, Watford")</f>
        <v>The Noo Noo helps Po wash with her Tubby sponge. Meanwhile, funny lady 
Tamzin Griffin tells the story of a silly, soppy soap. 
Featuring: Tamzin Griffin, The Children of Chater Infants School, Watford</v>
      </c>
    </row>
    <row r="196">
      <c r="A196">
        <f>IFERROR(__xludf.DUMMYFUNCTION("""COMPUTED_VALUE"""),216.0)</f>
        <v>216</v>
      </c>
      <c r="B196" t="str">
        <f>IFERROR(__xludf.DUMMYFUNCTION("""COMPUTED_VALUE"""),"""Dad's Portrait""")</f>
        <v>"Dad's Portrait"</v>
      </c>
      <c r="C196" t="str">
        <f>IFERROR(__xludf.DUMMYFUNCTION("""COMPUTED_VALUE"""),"5 October 1998 (1998-10-05)")</f>
        <v>5 October 1998 (1998-10-05)</v>
      </c>
    </row>
    <row r="197">
      <c r="A197" t="str">
        <f>IFERROR(__xludf.DUMMYFUNCTION("""COMPUTED_VALUE"""),"The Teletubbies hide from Noo-Noo, whenever Noo-Noo looks to see whats 
behind him the Teletubbies go back to their hiding places. They come out 
from their hiding places when it is time for the video clip. The 
Teletubbies watch a girl painting a picture"&amp;" of her dad and repeatedly dance 
to a voice trumpet singing the nursery rhyme Here We Go Looby Loo. Then the 
Windmill stops spinning and it is time for Tubby Bye-Bye. 
Featuring: Thena and Peter Mimmack")</f>
        <v>The Teletubbies hide from Noo-Noo, whenever Noo-Noo looks to see whats 
behind him the Teletubbies go back to their hiding places. They come out 
from their hiding places when it is time for the video clip. The 
Teletubbies watch a girl painting a picture of her dad and repeatedly dance 
to a voice trumpet singing the nursery rhyme Here We Go Looby Loo. Then the 
Windmill stops spinning and it is time for Tubby Bye-Bye. 
Featuring: Thena and Peter Mimmack</v>
      </c>
    </row>
    <row r="198">
      <c r="A198">
        <f>IFERROR(__xludf.DUMMYFUNCTION("""COMPUTED_VALUE"""),217.0)</f>
        <v>217</v>
      </c>
      <c r="B198" t="str">
        <f>IFERROR(__xludf.DUMMYFUNCTION("""COMPUTED_VALUE"""),"""Colours – Orange""")</f>
        <v>"Colours – Orange"</v>
      </c>
      <c r="C198" t="str">
        <f>IFERROR(__xludf.DUMMYFUNCTION("""COMPUTED_VALUE"""),"6 October 1998 (1998-10-06)")</f>
        <v>6 October 1998 (1998-10-06)</v>
      </c>
    </row>
    <row r="199">
      <c r="A199" t="str">
        <f>IFERROR(__xludf.DUMMYFUNCTION("""COMPUTED_VALUE"""),"A Voice Trumpet appears, which draws the attention of Noo-Noo, and Laa-Laa. 
It says the word 'Orange' .The Teletubbies watch some children finding out 
about things that are coloured orange and Laa-Laa's ball is also bright 
orange . Laa-Laa keeps losing"&amp;" her ball, she meets the other Teletubbies, 
they learn that Tinky Winky's bag is red, Dipsy's hat is black and white 
and Po's scooter is pink and blue. Laa Laa finally catches her ball. Then 
the Windmill stops spinning for tubby bye bye. 
Featuring: Th"&amp;"e Children of Oxhey Infants School, Watford")</f>
        <v>A Voice Trumpet appears, which draws the attention of Noo-Noo, and Laa-Laa. 
It says the word 'Orange' .The Teletubbies watch some children finding out 
about things that are coloured orange and Laa-Laa's ball is also bright 
orange . Laa-Laa keeps losing her ball, she meets the other Teletubbies, 
they learn that Tinky Winky's bag is red, Dipsy's hat is black and white 
and Po's scooter is pink and blue. Laa Laa finally catches her ball. Then 
the Windmill stops spinning for tubby bye bye. 
Featuring: The Children of Oxhey Infants School, Watford</v>
      </c>
    </row>
    <row r="200">
      <c r="A200">
        <f>IFERROR(__xludf.DUMMYFUNCTION("""COMPUTED_VALUE"""),218.0)</f>
        <v>218</v>
      </c>
      <c r="B200" t="str">
        <f>IFERROR(__xludf.DUMMYFUNCTION("""COMPUTED_VALUE"""),"""Piglets""")</f>
        <v>"Piglets"</v>
      </c>
      <c r="C200" t="str">
        <f>IFERROR(__xludf.DUMMYFUNCTION("""COMPUTED_VALUE"""),"7 October 1998 (1998-10-07)")</f>
        <v>7 October 1998 (1998-10-07)</v>
      </c>
    </row>
    <row r="201">
      <c r="A201" t="str">
        <f>IFERROR(__xludf.DUMMYFUNCTION("""COMPUTED_VALUE"""),"The Teletubbies run back and forth past some trees, then they watch 
Matthew, James, Mark, Angus and their Dad playing with their piglets. 
Inside the Tubbytronic Superdome, the Teletubbies laugh at the noises their 
bottoms make when they sit down, then "&amp;"they watch the Animal Parade march 
through Teletubbyland. The Teletubbies do the Stamping and Stepping Dance 
before the Tubby Bye-Bye sequence takes place and the Baby Sun sets. 
Featuring: Matthew, James, Mark and Angus Carnie")</f>
        <v>The Teletubbies run back and forth past some trees, then they watch 
Matthew, James, Mark, Angus and their Dad playing with their piglets. 
Inside the Tubbytronic Superdome, the Teletubbies laugh at the noises their 
bottoms make when they sit down, then they watch the Animal Parade march 
through Teletubbyland. The Teletubbies do the Stamping and Stepping Dance 
before the Tubby Bye-Bye sequence takes place and the Baby Sun sets. 
Featuring: Matthew, James, Mark and Angus Carnie</v>
      </c>
    </row>
    <row r="202">
      <c r="A202">
        <f>IFERROR(__xludf.DUMMYFUNCTION("""COMPUTED_VALUE"""),219.0)</f>
        <v>219</v>
      </c>
      <c r="B202" t="str">
        <f>IFERROR(__xludf.DUMMYFUNCTION("""COMPUTED_VALUE"""),"""Water""")</f>
        <v>"Water"</v>
      </c>
      <c r="C202" t="str">
        <f>IFERROR(__xludf.DUMMYFUNCTION("""COMPUTED_VALUE"""),"8 October 1998 (1998-10-08)")</f>
        <v>8 October 1998 (1998-10-08)</v>
      </c>
    </row>
    <row r="203">
      <c r="A203" t="str">
        <f>IFERROR(__xludf.DUMMYFUNCTION("""COMPUTED_VALUE"""),"In Teletubbyland, Dipsy listens to a Voice Trumpet say the nursery rhyme 
'Doctor Foster'. Then the Teletubbies watch some children playing with 
water. A cloud appears in Teletubbyland. The cloud rains and makes a 
puddle. Laa Laa steps into the puddle, "&amp;"Dipsy steps around the puddle, Tinky 
Winky steps over the puddle and Po rides her Scooter through the puddle 
spraying the other Teletubbies. The Teletubbies love Po very much. 
Featuring: Amy and Harry Scott")</f>
        <v>In Teletubbyland, Dipsy listens to a Voice Trumpet say the nursery rhyme 
'Doctor Foster'. Then the Teletubbies watch some children playing with 
water. A cloud appears in Teletubbyland. The cloud rains and makes a 
puddle. Laa Laa steps into the puddle, Dipsy steps around the puddle, Tinky 
Winky steps over the puddle and Po rides her Scooter through the puddle 
spraying the other Teletubbies. The Teletubbies love Po very much. 
Featuring: Amy and Harry Scott</v>
      </c>
    </row>
    <row r="204">
      <c r="A204">
        <f>IFERROR(__xludf.DUMMYFUNCTION("""COMPUTED_VALUE"""),220.0)</f>
        <v>220</v>
      </c>
      <c r="B204" t="str">
        <f>IFERROR(__xludf.DUMMYFUNCTION("""COMPUTED_VALUE"""),"""Wrapping""")</f>
        <v>"Wrapping"</v>
      </c>
      <c r="C204" t="str">
        <f>IFERROR(__xludf.DUMMYFUNCTION("""COMPUTED_VALUE"""),"9 October 1998 (1998-10-09)")</f>
        <v>9 October 1998 (1998-10-09)</v>
      </c>
    </row>
    <row r="205">
      <c r="A205" t="str">
        <f>IFERROR(__xludf.DUMMYFUNCTION("""COMPUTED_VALUE"""),"The Teletubbies dance The Swinging Dance before watching some children 
wrapping presents for their friend. The Teletubbies are asleep before Noo 
Noo comes along and tidies up. The Teletubbies chase the Noo Noo before the 
Magic Windmill spins. The Singi"&amp;"ng Man in the Pink House also appears in 
Teletubbyland before the sun baby giggles for ""Tubby Bye-Bye."" 
Featuring: Christine Liang, Lupondo Lyambo, Stacey Mulryan and Minh Nguyen")</f>
        <v>The Teletubbies dance The Swinging Dance before watching some children 
wrapping presents for their friend. The Teletubbies are asleep before Noo 
Noo comes along and tidies up. The Teletubbies chase the Noo Noo before the 
Magic Windmill spins. The Singing Man in the Pink House also appears in 
Teletubbyland before the sun baby giggles for "Tubby Bye-Bye." 
Featuring: Christine Liang, Lupondo Lyambo, Stacey Mulryan and Minh Nguyen</v>
      </c>
    </row>
    <row r="206">
      <c r="A206">
        <f>IFERROR(__xludf.DUMMYFUNCTION("""COMPUTED_VALUE"""),221.0)</f>
        <v>221</v>
      </c>
      <c r="B206" t="str">
        <f>IFERROR(__xludf.DUMMYFUNCTION("""COMPUTED_VALUE"""),"""Making Bread""")</f>
        <v>"Making Bread"</v>
      </c>
      <c r="C206" t="str">
        <f>IFERROR(__xludf.DUMMYFUNCTION("""COMPUTED_VALUE"""),"12 October 1998 (1998-10-12)")</f>
        <v>12 October 1998 (1998-10-12)</v>
      </c>
    </row>
    <row r="207">
      <c r="A207" t="str">
        <f>IFERROR(__xludf.DUMMYFUNCTION("""COMPUTED_VALUE"""),"The Teletubbies go in and out of the house before the Magic Windmill spins 
and the Teletubbies watch two little boys making some bread. After the 
Stretching dance, they then watch The Three Ships sail through 
Teletubbyland, the Baby Sun giggles while t"&amp;"he Voice Trumpet rises for Tubby 
Bye-Bye. 
Featuring: George and Thomas Griffiths")</f>
        <v>The Teletubbies go in and out of the house before the Magic Windmill spins 
and the Teletubbies watch two little boys making some bread. After the 
Stretching dance, they then watch The Three Ships sail through 
Teletubbyland, the Baby Sun giggles while the Voice Trumpet rises for Tubby 
Bye-Bye. 
Featuring: George and Thomas Griffiths</v>
      </c>
    </row>
    <row r="208">
      <c r="A208">
        <f>IFERROR(__xludf.DUMMYFUNCTION("""COMPUTED_VALUE"""),222.0)</f>
        <v>222</v>
      </c>
      <c r="B208" t="str">
        <f>IFERROR(__xludf.DUMMYFUNCTION("""COMPUTED_VALUE"""),"""Ice Lollipops""")</f>
        <v>"Ice Lollipops"</v>
      </c>
      <c r="C208" t="str">
        <f>IFERROR(__xludf.DUMMYFUNCTION("""COMPUTED_VALUE"""),"13 October 1998 (1998-10-13)")</f>
        <v>13 October 1998 (1998-10-13)</v>
      </c>
    </row>
    <row r="209">
      <c r="A209" t="str">
        <f>IFERROR(__xludf.DUMMYFUNCTION("""COMPUTED_VALUE"""),"Laa Laa appears and tries to make some Tubby Custard but the Magic Windmill 
spins and Po watches some children making ice-lollies by freezing their 
favourite juice. The Teletubbies walk around Home Hill smelling the flowers 
but they all fall over. The "&amp;"Teletubbies all try to go indoors but it is not 
possible and then they have to go in one at a time. The Teletubbies decided 
to go up the slide but they fell down. They get up and go up the slide one 
at a time. 
Featuring: Becky, Toby &amp; Connor Knight, M"&amp;"anjot Singh, Kyle Strudwick, 
Antonia Suckling and Christopher Wiggans")</f>
        <v>Laa Laa appears and tries to make some Tubby Custard but the Magic Windmill 
spins and Po watches some children making ice-lollies by freezing their 
favourite juice. The Teletubbies walk around Home Hill smelling the flowers 
but they all fall over. The Teletubbies all try to go indoors but it is not 
possible and then they have to go in one at a time. The Teletubbies decided 
to go up the slide but they fell down. They get up and go up the slide one 
at a time. 
Featuring: Becky, Toby &amp; Connor Knight, Manjot Singh, Kyle Strudwick, 
Antonia Suckling and Christopher Wiggans</v>
      </c>
    </row>
    <row r="210">
      <c r="A210">
        <f>IFERROR(__xludf.DUMMYFUNCTION("""COMPUTED_VALUE"""),223.0)</f>
        <v>223</v>
      </c>
      <c r="B210" t="str">
        <f>IFERROR(__xludf.DUMMYFUNCTION("""COMPUTED_VALUE"""),"""Orange Picking""")</f>
        <v>"Orange Picking"</v>
      </c>
      <c r="C210" t="str">
        <f>IFERROR(__xludf.DUMMYFUNCTION("""COMPUTED_VALUE"""),"14 October 1998 (1998-10-14)")</f>
        <v>14 October 1998 (1998-10-14)</v>
      </c>
    </row>
    <row r="211">
      <c r="A211" t="str">
        <f>IFERROR(__xludf.DUMMYFUNCTION("""COMPUTED_VALUE"""),"Dipsy comes out of the house. He looks and listens before going inside of 
the house. The Teletubbies come out of the house and the Magic Windmill 
spins. The Teletubbies watch children picking fresh oranges. Tinky Winky 
and Po are eating Tubby Toast. La"&amp;"a Laa comes into Home Hill and she plays 
with the ball but it bounces all over home hill and the ball is stuck up 
the top of the slide. Tinky Winky reaches but he is too short. Po comes up 
the slide but she slides back down. Noo Noo comes along and he "&amp;"sucks the 
ball up. Noo Noo gives the ball back to Laa Laa The Teletubbies chase Noo 
Noo around Home Hill. 
Featuring: Wil and Leah Flannery")</f>
        <v>Dipsy comes out of the house. He looks and listens before going inside of 
the house. The Teletubbies come out of the house and the Magic Windmill 
spins. The Teletubbies watch children picking fresh oranges. Tinky Winky 
and Po are eating Tubby Toast. Laa Laa comes into Home Hill and she plays 
with the ball but it bounces all over home hill and the ball is stuck up 
the top of the slide. Tinky Winky reaches but he is too short. Po comes up 
the slide but she slides back down. Noo Noo comes along and he sucks the 
ball up. Noo Noo gives the ball back to Laa Laa The Teletubbies chase Noo 
Noo around Home Hill. 
Featuring: Wil and Leah Flannery</v>
      </c>
    </row>
    <row r="212">
      <c r="A212">
        <f>IFERROR(__xludf.DUMMYFUNCTION("""COMPUTED_VALUE"""),224.0)</f>
        <v>224</v>
      </c>
      <c r="B212" t="str">
        <f>IFERROR(__xludf.DUMMYFUNCTION("""COMPUTED_VALUE"""),"""Double Bass""")</f>
        <v>"Double Bass"</v>
      </c>
      <c r="C212" t="str">
        <f>IFERROR(__xludf.DUMMYFUNCTION("""COMPUTED_VALUE"""),"15 October 1998 (1998-10-15)")</f>
        <v>15 October 1998 (1998-10-15)</v>
      </c>
    </row>
    <row r="213">
      <c r="A213" t="str">
        <f>IFERROR(__xludf.DUMMYFUNCTION("""COMPUTED_VALUE"""),"A Voice Trumpet appears to make music for Laa-Laa, and the pals, Then Po 
receives a video watch children visit their friend who plays the double 
bass. The Teletubbies do the Calypso dance and Dipsy has a go on the switch 
panel before the Magic Windmill"&amp;" stops spinning and it is time for Tubby 
Bye-Bye. 
Featuring: Gary Crosby with Kadeem Clarke, Rehanna Mundle and Shanice 
Weekes-Brown")</f>
        <v>A Voice Trumpet appears to make music for Laa-Laa, and the pals, Then Po 
receives a video watch children visit their friend who plays the double 
bass. The Teletubbies do the Calypso dance and Dipsy has a go on the switch 
panel before the Magic Windmill stops spinning and it is time for Tubby 
Bye-Bye. 
Featuring: Gary Crosby with Kadeem Clarke, Rehanna Mundle and Shanice 
Weekes-Brown</v>
      </c>
    </row>
    <row r="214">
      <c r="A214">
        <f>IFERROR(__xludf.DUMMYFUNCTION("""COMPUTED_VALUE"""),225.0)</f>
        <v>225</v>
      </c>
      <c r="B214" t="str">
        <f>IFERROR(__xludf.DUMMYFUNCTION("""COMPUTED_VALUE"""),"""Numbers – 7""")</f>
        <v>"Numbers – 7"</v>
      </c>
      <c r="C214" t="str">
        <f>IFERROR(__xludf.DUMMYFUNCTION("""COMPUTED_VALUE"""),"18 October 1998 (1998-10-18)")</f>
        <v>18 October 1998 (1998-10-18)</v>
      </c>
    </row>
    <row r="215">
      <c r="A215" t="str">
        <f>IFERROR(__xludf.DUMMYFUNCTION("""COMPUTED_VALUE"""),"Seven clouds appear but they quickly go away. The Teletubbies watch some 
children learning about the number 7. The Teletubbies join each other on 
the table and a Voice Trumpet rises and counts to 7. The Teletubbies do the 
round and round dance before T"&amp;"ubby Bye-Bye. 
Featuring: The Children of Duncombe School, London")</f>
        <v>Seven clouds appear but they quickly go away. The Teletubbies watch some 
children learning about the number 7. The Teletubbies join each other on 
the table and a Voice Trumpet rises and counts to 7. The Teletubbies do the 
round and round dance before Tubby Bye-Bye. 
Featuring: The Children of Duncombe School, London</v>
      </c>
    </row>
    <row r="216">
      <c r="A216">
        <f>IFERROR(__xludf.DUMMYFUNCTION("""COMPUTED_VALUE"""),226.0)</f>
        <v>226</v>
      </c>
      <c r="B216" t="str">
        <f>IFERROR(__xludf.DUMMYFUNCTION("""COMPUTED_VALUE"""),"""Sparkly Spider""")</f>
        <v>"Sparkly Spider"</v>
      </c>
      <c r="C216" t="str">
        <f>IFERROR(__xludf.DUMMYFUNCTION("""COMPUTED_VALUE"""),"19 October 1998 (1998-10-19)")</f>
        <v>19 October 1998 (1998-10-19)</v>
      </c>
    </row>
    <row r="217">
      <c r="A217" t="str">
        <f>IFERROR(__xludf.DUMMYFUNCTION("""COMPUTED_VALUE"""),"The Teletubbies walk in a line and they walk up a hill and walk down the 
hill before they meet in the middle and say 'Eh-oh!' before the Magic 
Windmill spins and the Teletubbies watch the Funny Lady tell the story of 
the Sparkly Spider. The Teletubbies"&amp;" do the Dizzy dance before the Magic 
Windmill Spins and the Teletubbies watch the Magic Tree before the Magic 
Windmill stops spinning for Tubby Bye Bye. 
Featuring: Tamzin Griffin, The Children of Ravenor School, Greenford")</f>
        <v>The Teletubbies walk in a line and they walk up a hill and walk down the 
hill before they meet in the middle and say 'Eh-oh!' before the Magic 
Windmill spins and the Teletubbies watch the Funny Lady tell the story of 
the Sparkly Spider. The Teletubbies do the Dizzy dance before the Magic 
Windmill Spins and the Teletubbies watch the Magic Tree before the Magic 
Windmill stops spinning for Tubby Bye Bye. 
Featuring: Tamzin Griffin, The Children of Ravenor School, Greenford</v>
      </c>
    </row>
    <row r="218">
      <c r="A218">
        <f>IFERROR(__xludf.DUMMYFUNCTION("""COMPUTED_VALUE"""),227.0)</f>
        <v>227</v>
      </c>
      <c r="B218" t="str">
        <f>IFERROR(__xludf.DUMMYFUNCTION("""COMPUTED_VALUE"""),"""Cat's Night Out""")</f>
        <v>"Cat's Night Out"</v>
      </c>
      <c r="C218" t="str">
        <f>IFERROR(__xludf.DUMMYFUNCTION("""COMPUTED_VALUE"""),"20 October 1998 (1998-10-20)")</f>
        <v>20 October 1998 (1998-10-20)</v>
      </c>
    </row>
    <row r="219">
      <c r="A219" t="str">
        <f>IFERROR(__xludf.DUMMYFUNCTION("""COMPUTED_VALUE"""),"The Teletubbies walk down the Path, into the House and up the other Path. 
Then they watch Nathan talk about what his Cat Grace does at night. Inside 
the House, Po wakes up and hears the other Teletubbies shouting outside, 
she runs out to them for a Big"&amp;" Hug, the Windmill starts spinning and they 
all watch the Animal Parade. The Teletubbies do the Walking Dance before 
Tubby Bye Bye. 
Featuring: Nathan Grammell and Grace the Cat")</f>
        <v>The Teletubbies walk down the Path, into the House and up the other Path. 
Then they watch Nathan talk about what his Cat Grace does at night. Inside 
the House, Po wakes up and hears the other Teletubbies shouting outside, 
she runs out to them for a Big Hug, the Windmill starts spinning and they 
all watch the Animal Parade. The Teletubbies do the Walking Dance before 
Tubby Bye Bye. 
Featuring: Nathan Grammell and Grace the Cat</v>
      </c>
    </row>
    <row r="220">
      <c r="A220">
        <f>IFERROR(__xludf.DUMMYFUNCTION("""COMPUTED_VALUE"""),228.0)</f>
        <v>228</v>
      </c>
      <c r="B220" t="str">
        <f>IFERROR(__xludf.DUMMYFUNCTION("""COMPUTED_VALUE"""),"""Chicks""")</f>
        <v>"Chicks"</v>
      </c>
      <c r="C220" t="str">
        <f>IFERROR(__xludf.DUMMYFUNCTION("""COMPUTED_VALUE"""),"21 October 1998 (1998-10-21)")</f>
        <v>21 October 1998 (1998-10-21)</v>
      </c>
    </row>
    <row r="221">
      <c r="A221" t="str">
        <f>IFERROR(__xludf.DUMMYFUNCTION("""COMPUTED_VALUE"""),"The Teletubbies walk around some hills before watching Matthew, James and 
Mark talking about their chicks on a farm. Dipsy watches Po riding on her 
scooter, Laa-Laa playing with her ball and Tinky Winky running with his 
bag. So Dipsy gives each other a"&amp;" big hug before tubby bye bye. 
Featuring: Matthew, James, Mark and Angus Carnie")</f>
        <v>The Teletubbies walk around some hills before watching Matthew, James and 
Mark talking about their chicks on a farm. Dipsy watches Po riding on her 
scooter, Laa-Laa playing with her ball and Tinky Winky running with his 
bag. So Dipsy gives each other a big hug before tubby bye bye. 
Featuring: Matthew, James, Mark and Angus Carnie</v>
      </c>
    </row>
    <row r="222">
      <c r="A222">
        <f>IFERROR(__xludf.DUMMYFUNCTION("""COMPUTED_VALUE"""),229.0)</f>
        <v>229</v>
      </c>
      <c r="B222" t="str">
        <f>IFERROR(__xludf.DUMMYFUNCTION("""COMPUTED_VALUE"""),"""Body to Body""")</f>
        <v>"Body to Body"</v>
      </c>
      <c r="C222" t="str">
        <f>IFERROR(__xludf.DUMMYFUNCTION("""COMPUTED_VALUE"""),"22 October 1998 (1998-10-22)")</f>
        <v>22 October 1998 (1998-10-22)</v>
      </c>
    </row>
    <row r="223">
      <c r="A223" t="str">
        <f>IFERROR(__xludf.DUMMYFUNCTION("""COMPUTED_VALUE"""),"The Teletubbies bump into each other indoors than watch some children play 
a body to body game. The Teletubbies then play a falling down game before 
watching the Tap Dancing Teddy Bear before the Magic Windmill stops 
spinning for Tubby Bye-Bye. 
Featur"&amp;"ing: The Children of Earlsfield Primary School")</f>
        <v>The Teletubbies bump into each other indoors than watch some children play 
a body to body game. The Teletubbies then play a falling down game before 
watching the Tap Dancing Teddy Bear before the Magic Windmill stops 
spinning for Tubby Bye-Bye. 
Featuring: The Children of Earlsfield Primary School</v>
      </c>
    </row>
    <row r="224">
      <c r="A224">
        <f>IFERROR(__xludf.DUMMYFUNCTION("""COMPUTED_VALUE"""),230.0)</f>
        <v>230</v>
      </c>
      <c r="B224" t="str">
        <f>IFERROR(__xludf.DUMMYFUNCTION("""COMPUTED_VALUE"""),"""Camping""")</f>
        <v>"Camping"</v>
      </c>
      <c r="C224" t="str">
        <f>IFERROR(__xludf.DUMMYFUNCTION("""COMPUTED_VALUE"""),"23 October 1998 (1998-10-23)")</f>
        <v>23 October 1998 (1998-10-23)</v>
      </c>
    </row>
    <row r="225">
      <c r="A225" t="str">
        <f>IFERROR(__xludf.DUMMYFUNCTION("""COMPUTED_VALUE"""),"A door appears in Teletubbyland. Po comes and founds it. She opens the door 
and goes in. Then comes Laa-Laa and knocks the door, so Po opens the door 
and Laa-Laa goes with Po. Soon comes Dipsy who knocks the door and goes 
with Laa-Laa and Po. Finally c"&amp;"omes Tinky Winky and knocks the door and goes 
with the other Teletubbies. The door then disappears and the magic windmill 
starts spinning and the Teletubbies watch children go camping with their 
parents before the baby sun giggles for Tubby Bye-Bye. 
F"&amp;"eaturing: Joel and Kiri Wood")</f>
        <v>A door appears in Teletubbyland. Po comes and founds it. She opens the door 
and goes in. Then comes Laa-Laa and knocks the door, so Po opens the door 
and Laa-Laa goes with Po. Soon comes Dipsy who knocks the door and goes 
with Laa-Laa and Po. Finally comes Tinky Winky and knocks the door and goes 
with the other Teletubbies. The door then disappears and the magic windmill 
starts spinning and the Teletubbies watch children go camping with their 
parents before the baby sun giggles for Tubby Bye-Bye. 
Featuring: Joel and Kiri Wood</v>
      </c>
    </row>
    <row r="226">
      <c r="A226">
        <f>IFERROR(__xludf.DUMMYFUNCTION("""COMPUTED_VALUE"""),231.0)</f>
        <v>231</v>
      </c>
      <c r="B226" t="str">
        <f>IFERROR(__xludf.DUMMYFUNCTION("""COMPUTED_VALUE"""),"""Colours – Black""")</f>
        <v>"Colours – Black"</v>
      </c>
      <c r="C226" t="str">
        <f>IFERROR(__xludf.DUMMYFUNCTION("""COMPUTED_VALUE"""),"14 December 1998 (1998-12-14)")</f>
        <v>14 December 1998 (1998-12-14)</v>
      </c>
    </row>
    <row r="227">
      <c r="A227" t="str">
        <f>IFERROR(__xludf.DUMMYFUNCTION("""COMPUTED_VALUE"""),"A black and white cloud appears in Teletubbyland. The Teletubbies watch 
some children finding out about things that are coloured black. Dipsy 
leaves his hat behind, but when he comes to find it, the Noo-Noo has tidied 
up. Later, the Noo-Noo blows it ou"&amp;"t before the Magic Windmill stops 
spinning as the Tubby Bye-Bye sequence takes place. 
Featuring: The Children of Oxhey Infants School, Watford")</f>
        <v>A black and white cloud appears in Teletubbyland. The Teletubbies watch 
some children finding out about things that are coloured black. Dipsy 
leaves his hat behind, but when he comes to find it, the Noo-Noo has tidied 
up. Later, the Noo-Noo blows it out before the Magic Windmill stops 
spinning as the Tubby Bye-Bye sequence takes place. 
Featuring: The Children of Oxhey Infants School, Watford</v>
      </c>
    </row>
    <row r="228">
      <c r="A228">
        <f>IFERROR(__xludf.DUMMYFUNCTION("""COMPUTED_VALUE"""),232.0)</f>
        <v>232</v>
      </c>
      <c r="B228" t="str">
        <f>IFERROR(__xludf.DUMMYFUNCTION("""COMPUTED_VALUE"""),"""Pebbles""")</f>
        <v>"Pebbles"</v>
      </c>
      <c r="C228" t="str">
        <f>IFERROR(__xludf.DUMMYFUNCTION("""COMPUTED_VALUE"""),"15 December 1998 (1998-12-15)")</f>
        <v>15 December 1998 (1998-12-15)</v>
      </c>
    </row>
    <row r="229">
      <c r="A229" t="str">
        <f>IFERROR(__xludf.DUMMYFUNCTION("""COMPUTED_VALUE"""),"The Teletubbies walk around the tree and the windmill starts to spin when 
they watch two boys and two girls pick up pebbles to create a smile face in 
the sand with their dad. Later, in Teletubbyland, It Was Time for Tubby 
Toast, But The Tubby Toast Mac"&amp;"hine Wouldn't Work. So Tinky-Winky Tried It 
Again But It Still Wouldn't Work. So He Tried It Again But It Beeped 3 
Times, But Then The Tubby Toast Made 3 Tubby Toasts for 4 Teletubbies. (The 
Tubby Toast Has Made a Happy Pattern On The Table). Then The "&amp;"Teletubbies Do 
The Stretching Dance, And Then The Magic Windmill stopped spinning as The 
Tubby Bye-Bye Takes Place. 
Featuring: Eloise Casey, Harry Fellows, Aisha Merrick, Jordan Yahya")</f>
        <v>The Teletubbies walk around the tree and the windmill starts to spin when 
they watch two boys and two girls pick up pebbles to create a smile face in 
the sand with their dad. Later, in Teletubbyland, It Was Time for Tubby 
Toast, But The Tubby Toast Machine Wouldn't Work. So Tinky-Winky Tried It 
Again But It Still Wouldn't Work. So He Tried It Again But It Beeped 3 
Times, But Then The Tubby Toast Made 3 Tubby Toasts for 4 Teletubbies. (The 
Tubby Toast Has Made a Happy Pattern On The Table). Then The Teletubbies Do 
The Stretching Dance, And Then The Magic Windmill stopped spinning as The 
Tubby Bye-Bye Takes Place. 
Featuring: Eloise Casey, Harry Fellows, Aisha Merrick, Jordan Yahya</v>
      </c>
    </row>
    <row r="230">
      <c r="A230">
        <f>IFERROR(__xludf.DUMMYFUNCTION("""COMPUTED_VALUE"""),233.0)</f>
        <v>233</v>
      </c>
      <c r="B230" t="str">
        <f>IFERROR(__xludf.DUMMYFUNCTION("""COMPUTED_VALUE"""),"""Otters""")</f>
        <v>"Otters"</v>
      </c>
      <c r="C230" t="str">
        <f>IFERROR(__xludf.DUMMYFUNCTION("""COMPUTED_VALUE"""),"16 December 1998 (1998-12-16)")</f>
        <v>16 December 1998 (1998-12-16)</v>
      </c>
    </row>
    <row r="231">
      <c r="A231" t="str">
        <f>IFERROR(__xludf.DUMMYFUNCTION("""COMPUTED_VALUE"""),"Dipsy and Po watch the clouds together and children look for otters. 
Featuring: Andy Brown with Letesha Gray, Jamie McCullum and Louie Whatling")</f>
        <v>Dipsy and Po watch the clouds together and children look for otters. 
Featuring: Andy Brown with Letesha Gray, Jamie McCullum and Louie Whatling</v>
      </c>
    </row>
    <row r="232">
      <c r="A232">
        <f>IFERROR(__xludf.DUMMYFUNCTION("""COMPUTED_VALUE"""),234.0)</f>
        <v>234</v>
      </c>
      <c r="B232" t="str">
        <f>IFERROR(__xludf.DUMMYFUNCTION("""COMPUTED_VALUE"""),"""Decorating Boxes""")</f>
        <v>"Decorating Boxes"</v>
      </c>
      <c r="C232" t="str">
        <f>IFERROR(__xludf.DUMMYFUNCTION("""COMPUTED_VALUE"""),"17 December 1998 (1998-12-17)")</f>
        <v>17 December 1998 (1998-12-17)</v>
      </c>
    </row>
    <row r="233">
      <c r="A233" t="str">
        <f>IFERROR(__xludf.DUMMYFUNCTION("""COMPUTED_VALUE"""),"The Teletubbies do the Bumping Dance and then watch children making boxes 
into a caterpillar. A Box appears from Far Away but it's no ordinary Box. 
The Teletubbies want to know what's in the box. It's a Jack in the Box. The 
Teletubbies think that the J"&amp;"ack in the Box is very surprising, then they 
all run away before the Jack in the Box disappears. 
Featuring: Christopher &amp; Stephen Bone, Sarah &amp; Jason Brooker, Lawrence &amp; 
Catherine Smith, Lucienne Spencer and Oliver Taylor")</f>
        <v>The Teletubbies do the Bumping Dance and then watch children making boxes 
into a caterpillar. A Box appears from Far Away but it's no ordinary Box. 
The Teletubbies want to know what's in the box. It's a Jack in the Box. The 
Teletubbies think that the Jack in the Box is very surprising, then they 
all run away before the Jack in the Box disappears. 
Featuring: Christopher &amp; Stephen Bone, Sarah &amp; Jason Brooker, Lawrence &amp; 
Catherine Smith, Lucienne Spencer and Oliver Taylor</v>
      </c>
    </row>
    <row r="234">
      <c r="A234">
        <f>IFERROR(__xludf.DUMMYFUNCTION("""COMPUTED_VALUE"""),235.0)</f>
        <v>235</v>
      </c>
      <c r="B234" t="str">
        <f>IFERROR(__xludf.DUMMYFUNCTION("""COMPUTED_VALUE"""),"""Kathak Dancing""")</f>
        <v>"Kathak Dancing"</v>
      </c>
      <c r="C234" t="str">
        <f>IFERROR(__xludf.DUMMYFUNCTION("""COMPUTED_VALUE"""),"18 December 1998 (1998-12-18)")</f>
        <v>18 December 1998 (1998-12-18)</v>
      </c>
    </row>
    <row r="235">
      <c r="A235" t="str">
        <f>IFERROR(__xludf.DUMMYFUNCTION("""COMPUTED_VALUE"""),"The Teletubbies bump tummies and then watch five girls dance a Kathak 
dance. The Teletubbies play a game and swap their favorite things, but they 
are very happy when they each have their own special favourite things back. 
Featuring: Pooja Chapenara, Ne"&amp;"elam Gohil, Ritika Mehrotra, Saijal Reahal 
and Devina Vig")</f>
        <v>The Teletubbies bump tummies and then watch five girls dance a Kathak 
dance. The Teletubbies play a game and swap their favorite things, but they 
are very happy when they each have their own special favourite things back. 
Featuring: Pooja Chapenara, Neelam Gohil, Ritika Mehrotra, Saijal Reahal 
and Devina Vig</v>
      </c>
    </row>
    <row r="236">
      <c r="A236">
        <f>IFERROR(__xludf.DUMMYFUNCTION("""COMPUTED_VALUE"""),236.0)</f>
        <v>236</v>
      </c>
      <c r="B236" t="str">
        <f>IFERROR(__xludf.DUMMYFUNCTION("""COMPUTED_VALUE"""),"""Christmas in South Africa""")</f>
        <v>"Christmas in South Africa"</v>
      </c>
      <c r="C236" t="str">
        <f>IFERROR(__xludf.DUMMYFUNCTION("""COMPUTED_VALUE"""),"21 December 1998 (1998-12-21)")</f>
        <v>21 December 1998 (1998-12-21)</v>
      </c>
    </row>
    <row r="237">
      <c r="A237" t="str">
        <f>IFERROR(__xludf.DUMMYFUNCTION("""COMPUTED_VALUE"""),"The Teletubbies are playing with their favorite things, but stop to learn 
about a South African Christmas. Lots of clouds appear in Teletubbyland and 
it begins to snow. The excited Teletubbies run inside their Tubbytronic 
Superdome and watch the snow f"&amp;"rom the window before running out to dance a 
snowy dance. 
Featuring: Eira &amp; Catherine Palme and The Children from Sante Sana Game 
Reserve, South Africa")</f>
        <v>The Teletubbies are playing with their favorite things, but stop to learn 
about a South African Christmas. Lots of clouds appear in Teletubbyland and 
it begins to snow. The excited Teletubbies run inside their Tubbytronic 
Superdome and watch the snow from the window before running out to dance a 
snowy dance. 
Featuring: Eira &amp; Catherine Palme and The Children from Sante Sana Game 
Reserve, South Africa</v>
      </c>
    </row>
    <row r="238">
      <c r="A238">
        <f>IFERROR(__xludf.DUMMYFUNCTION("""COMPUTED_VALUE"""),237.0)</f>
        <v>237</v>
      </c>
      <c r="B238" t="str">
        <f>IFERROR(__xludf.DUMMYFUNCTION("""COMPUTED_VALUE"""),"""Christmas in Finland""")</f>
        <v>"Christmas in Finland"</v>
      </c>
      <c r="C238" t="str">
        <f>IFERROR(__xludf.DUMMYFUNCTION("""COMPUTED_VALUE"""),"22 December 1998 (1998-12-22)")</f>
        <v>22 December 1998 (1998-12-22)</v>
      </c>
    </row>
    <row r="239">
      <c r="A239" t="str">
        <f>IFERROR(__xludf.DUMMYFUNCTION("""COMPUTED_VALUE"""),"Po remembers the snow and looks outside through the window at the snow. She 
rushes to the other Teletubbies due to the Windmill Spinning and all the 
Teletubbies watch some Finnish children sing ""The Elves' Christmas Night."" 
When the Teletubbies take "&amp;"a walk and look at the things that are covered in 
snow, they find out that their favourite things are covered in snow, too. 
First, Tinky Winky finds his bag. Second, Dipsy finds his hat. Third, 
Laa-Laa finds her ball. At last, Po finds her scooter. Aft"&amp;"erwards, the 
Teletubbies are happy playing with them. Po rides too fast and slips around 
Teletubbyland and crashes into a tree, which covers her in snow when she 
says ""Uh-oh!"" and then giggles all the time. The other Teletubbies go find 
out what hap"&amp;"pened. When Tinky Winky, Dipsy and Laa-Laa find something 
covered in snow and they don't know what it is, Po pops out of the snow 
when she sits up and they all have a Big Hug. 
Featuring: Tuomas, Natias, Katarina, Sofia, Aleksi, Daniel, Alexander, 
Mika"&amp;", Anni, Vilma, Jaaskelainan, Henrietta, Emma, Tuuli, Ella, Hanna, Riku, 
Suvi and Annika")</f>
        <v>Po remembers the snow and looks outside through the window at the snow. She 
rushes to the other Teletubbies due to the Windmill Spinning and all the 
Teletubbies watch some Finnish children sing "The Elves' Christmas Night." 
When the Teletubbies take a walk and look at the things that are covered in 
snow, they find out that their favourite things are covered in snow, too. 
First, Tinky Winky finds his bag. Second, Dipsy finds his hat. Third, 
Laa-Laa finds her ball. At last, Po finds her scooter. Afterwards, the 
Teletubbies are happy playing with them. Po rides too fast and slips around 
Teletubbyland and crashes into a tree, which covers her in snow when she 
says "Uh-oh!" and then giggles all the time. The other Teletubbies go find 
out what happened. When Tinky Winky, Dipsy and Laa-Laa find something 
covered in snow and they don't know what it is, Po pops out of the snow 
when she sits up and they all have a Big Hug. 
Featuring: Tuomas, Natias, Katarina, Sofia, Aleksi, Daniel, Alexander, 
Mika, Anni, Vilma, Jaaskelainan, Henrietta, Emma, Tuuli, Ella, Hanna, Riku, 
Suvi and Annika</v>
      </c>
    </row>
    <row r="240">
      <c r="A240">
        <f>IFERROR(__xludf.DUMMYFUNCTION("""COMPUTED_VALUE"""),238.0)</f>
        <v>238</v>
      </c>
      <c r="B240" t="str">
        <f>IFERROR(__xludf.DUMMYFUNCTION("""COMPUTED_VALUE"""),"""Christmas in the UK""")</f>
        <v>"Christmas in the UK"</v>
      </c>
      <c r="C240" t="str">
        <f>IFERROR(__xludf.DUMMYFUNCTION("""COMPUTED_VALUE"""),"23 December 1998 (1998-12-23)")</f>
        <v>23 December 1998 (1998-12-23)</v>
      </c>
    </row>
    <row r="241">
      <c r="A241" t="str">
        <f>IFERROR(__xludf.DUMMYFUNCTION("""COMPUTED_VALUE"""),"Dipsy remembers the snow. The Teletubbies watch some children gospel 
singing and go into the snow. They are walking very carefully because the 
snow can be very slippery. When Tinky Winky slips, he begins to slide. It 
looks like fun so the other Teletub"&amp;"bies slide in the snow too. Laa-Laa 
wants to slide too so she slips and slides down the snow. It is Po's turn 
so she slides down the snow too. Tinky Winky, Laa-Laa and Po want Dipsy to 
play sliding, but he is too scared until he slides down the snow. H"&amp;"e is not 
scared anymore when the other Teletubbies and narrator say ""What clever 
sliding"". 
Featuring: The New Testament Church of God, Birmingham")</f>
        <v>Dipsy remembers the snow. The Teletubbies watch some children gospel 
singing and go into the snow. They are walking very carefully because the 
snow can be very slippery. When Tinky Winky slips, he begins to slide. It 
looks like fun so the other Teletubbies slide in the snow too. Laa-Laa 
wants to slide too so she slips and slides down the snow. It is Po's turn 
so she slides down the snow too. Tinky Winky, Laa-Laa and Po want Dipsy to 
play sliding, but he is too scared until he slides down the snow. He is not 
scared anymore when the other Teletubbies and narrator say "What clever 
sliding". 
Featuring: The New Testament Church of God, Birmingham</v>
      </c>
    </row>
    <row r="242">
      <c r="A242">
        <f>IFERROR(__xludf.DUMMYFUNCTION("""COMPUTED_VALUE"""),239.0)</f>
        <v>239</v>
      </c>
      <c r="B242" t="str">
        <f>IFERROR(__xludf.DUMMYFUNCTION("""COMPUTED_VALUE"""),"""Christmas in Spain""")</f>
        <v>"Christmas in Spain"</v>
      </c>
      <c r="C242" t="str">
        <f>IFERROR(__xludf.DUMMYFUNCTION("""COMPUTED_VALUE"""),"24 December 1998 (1998-12-24)")</f>
        <v>24 December 1998 (1998-12-24)</v>
      </c>
    </row>
    <row r="243">
      <c r="A243" t="str">
        <f>IFERROR(__xludf.DUMMYFUNCTION("""COMPUTED_VALUE"""),"Inside the House, Laa Laa was asleep in her bed and then she remembers the 
snow. The Teletubbies learn about a Spanish Christmas. The Teletubbies are 
very busy in the snow, Tinky Winky and Dipsy make foot prints, Po makes a 
Po print and Laa-Laa makes a"&amp;" very small snowball. Laa Laa's snowball rolls 
away and grows bigger and bigger, the Teletubbies chase after it until it 
rolls up a hill and back down, the Teletubbies all run away from the big 
snowball. The big snowball rolls into the house and crashe"&amp;"s into Noo Noo. 
The Teletubbies run inside to find Noo Noo covered in snow, what a snowy 
mess, then Noo Noo tidies up all the snow. Clever Noo Noo. 
Featuring: Maria Ballester, The Duesa Family and The Juanet Family")</f>
        <v>Inside the House, Laa Laa was asleep in her bed and then she remembers the 
snow. The Teletubbies learn about a Spanish Christmas. The Teletubbies are 
very busy in the snow, Tinky Winky and Dipsy make foot prints, Po makes a 
Po print and Laa-Laa makes a very small snowball. Laa Laa's snowball rolls 
away and grows bigger and bigger, the Teletubbies chase after it until it 
rolls up a hill and back down, the Teletubbies all run away from the big 
snowball. The big snowball rolls into the house and crashes into Noo Noo. 
The Teletubbies run inside to find Noo Noo covered in snow, what a snowy 
mess, then Noo Noo tidies up all the snow. Clever Noo Noo. 
Featuring: Maria Ballester, The Duesa Family and The Juanet Family</v>
      </c>
    </row>
    <row r="244">
      <c r="A244">
        <f>IFERROR(__xludf.DUMMYFUNCTION("""COMPUTED_VALUE"""),240.0)</f>
        <v>240</v>
      </c>
      <c r="B244" t="str">
        <f>IFERROR(__xludf.DUMMYFUNCTION("""COMPUTED_VALUE"""),"""Nativity Play""")</f>
        <v>"Nativity Play"</v>
      </c>
      <c r="C244" t="str">
        <f>IFERROR(__xludf.DUMMYFUNCTION("""COMPUTED_VALUE"""),"25 December 1998 (1998-12-25)")</f>
        <v>25 December 1998 (1998-12-25)</v>
      </c>
    </row>
    <row r="245">
      <c r="A245" t="str">
        <f>IFERROR(__xludf.DUMMYFUNCTION("""COMPUTED_VALUE"""),"Tinky Winky remembers the snow, Just then he suddenly sees the Magic 
Windmill spinning. The Teletubbies watch some children perform a Nativity 
Play, then they get busy making snowballs. All the snowballs are different 
sizes, so the Teletubbies decide t"&amp;"o use their snowballs to make a 
snowtubby. They all love their Snowtubby so much they give him their 
favourite things. 
Featuring: Overdale Nursery School, Scarborough")</f>
        <v>Tinky Winky remembers the snow, Just then he suddenly sees the Magic 
Windmill spinning. The Teletubbies watch some children perform a Nativity 
Play, then they get busy making snowballs. All the snowballs are different 
sizes, so the Teletubbies decide to use their snowballs to make a 
snowtubby. They all love their Snowtubby so much they give him their 
favourite things. 
Featuring: Overdale Nursery School, Scarborough</v>
      </c>
    </row>
    <row r="246">
      <c r="A246">
        <f>IFERROR(__xludf.DUMMYFUNCTION("""COMPUTED_VALUE"""),241.0)</f>
        <v>241</v>
      </c>
      <c r="B246" t="str">
        <f>IFERROR(__xludf.DUMMYFUNCTION("""COMPUTED_VALUE"""),"""Towers""")</f>
        <v>"Towers"</v>
      </c>
      <c r="C246" t="str">
        <f>IFERROR(__xludf.DUMMYFUNCTION("""COMPUTED_VALUE"""),"28 December 1998 (1998-12-28)")</f>
        <v>28 December 1998 (1998-12-28)</v>
      </c>
    </row>
    <row r="247">
      <c r="A247" t="str">
        <f>IFERROR(__xludf.DUMMYFUNCTION("""COMPUTED_VALUE"""),"The Teletubbies walk on some hills before watching some children making 
towers out of bricks. Dipsy and Laa-Laa have fun going up and down. 
Featuring: The Children of Bartlemas Nursery School, Oxford")</f>
        <v>The Teletubbies walk on some hills before watching some children making 
towers out of bricks. Dipsy and Laa-Laa have fun going up and down. 
Featuring: The Children of Bartlemas Nursery School, Oxford</v>
      </c>
    </row>
    <row r="248">
      <c r="A248">
        <f>IFERROR(__xludf.DUMMYFUNCTION("""COMPUTED_VALUE"""),242.0)</f>
        <v>242</v>
      </c>
      <c r="B248" t="str">
        <f>IFERROR(__xludf.DUMMYFUNCTION("""COMPUTED_VALUE"""),"""Oranges and Lemons""")</f>
        <v>"Oranges and Lemons"</v>
      </c>
      <c r="C248" t="str">
        <f>IFERROR(__xludf.DUMMYFUNCTION("""COMPUTED_VALUE"""),"29 December 1998 (1998-12-29)")</f>
        <v>29 December 1998 (1998-12-29)</v>
      </c>
    </row>
    <row r="249">
      <c r="A249" t="str">
        <f>IFERROR(__xludf.DUMMYFUNCTION("""COMPUTED_VALUE"""),"The Teletubbies are inside Home Hill when a voice trumpet rises and plays 
church bell noises, then the Magic Windmill spins and the Teletubbies watch 
some children playing a game called Oranges and Lemons. Later, a ringing 
bell appears in Teletubbyland"&amp;". Dipsy rings the bell, and it makes a very 
loud ringing sound. After the ringing bell disappears, the Magic Windmill 
stops spinning, and it is time for Tubby Bye Bye. 
Featuring: Children from the Heidi Rhodes School of Dancing")</f>
        <v>The Teletubbies are inside Home Hill when a voice trumpet rises and plays 
church bell noises, then the Magic Windmill spins and the Teletubbies watch 
some children playing a game called Oranges and Lemons. Later, a ringing 
bell appears in Teletubbyland. Dipsy rings the bell, and it makes a very 
loud ringing sound. After the ringing bell disappears, the Magic Windmill 
stops spinning, and it is time for Tubby Bye Bye. 
Featuring: Children from the Heidi Rhodes School of Dancing</v>
      </c>
    </row>
    <row r="250">
      <c r="A250">
        <f>IFERROR(__xludf.DUMMYFUNCTION("""COMPUTED_VALUE"""),243.0)</f>
        <v>243</v>
      </c>
      <c r="B250" t="str">
        <f>IFERROR(__xludf.DUMMYFUNCTION("""COMPUTED_VALUE"""),"""Feeding Baby Penguins""")</f>
        <v>"Feeding Baby Penguins"</v>
      </c>
      <c r="C250" t="str">
        <f>IFERROR(__xludf.DUMMYFUNCTION("""COMPUTED_VALUE"""),"30 December 1998 (1998-12-30)")</f>
        <v>30 December 1998 (1998-12-30)</v>
      </c>
    </row>
    <row r="251">
      <c r="A251" t="str">
        <f>IFERROR(__xludf.DUMMYFUNCTION("""COMPUTED_VALUE"""),"Inside the Teletubbies' Superdome, Tinky Winky is starting to have Tubby 
Custard, when the Windmill spins. Tinky Winky turns off the Tubby Custard 
Machine and rushes outside to fetch the other Teletubbies and they watch 
group of youngsters feed a flock"&amp;" of baby penguins. The Magic Windmill 
starts to spin and the Teletubbies run off to the Magical Event of the Bear 
and the Lion appear playing hide and seek in the Teletubbyland. After that 
the Teletubbies go to the path to do the Jumping Dance before t"&amp;"he Magic 
Windmill spins, the Teletubbies said ""Uh Oh"" and the Magic Windmill stops 
spinning for Tubby Bye-Bye. 
Featuring: Hannah Mackay, Alex, Jess &amp; Jo Osborne and Catherine Watkins")</f>
        <v>Inside the Teletubbies' Superdome, Tinky Winky is starting to have Tubby 
Custard, when the Windmill spins. Tinky Winky turns off the Tubby Custard 
Machine and rushes outside to fetch the other Teletubbies and they watch 
group of youngsters feed a flock of baby penguins. The Magic Windmill 
starts to spin and the Teletubbies run off to the Magical Event of the Bear 
and the Lion appear playing hide and seek in the Teletubbyland. After that 
the Teletubbies go to the path to do the Jumping Dance before the Magic 
Windmill spins, the Teletubbies said "Uh Oh" and the Magic Windmill stops 
spinning for Tubby Bye-Bye. 
Featuring: Hannah Mackay, Alex, Jess &amp; Jo Osborne and Catherine Watkins</v>
      </c>
    </row>
    <row r="252">
      <c r="A252">
        <f>IFERROR(__xludf.DUMMYFUNCTION("""COMPUTED_VALUE"""),244.0)</f>
        <v>244</v>
      </c>
      <c r="B252" t="str">
        <f>IFERROR(__xludf.DUMMYFUNCTION("""COMPUTED_VALUE"""),"""Trickle Painting""")</f>
        <v>"Trickle Painting"</v>
      </c>
      <c r="C252" t="str">
        <f>IFERROR(__xludf.DUMMYFUNCTION("""COMPUTED_VALUE"""),"31 December 1998 (1998-12-31)")</f>
        <v>31 December 1998 (1998-12-31)</v>
      </c>
    </row>
    <row r="253">
      <c r="A253" t="str">
        <f>IFERROR(__xludf.DUMMYFUNCTION("""COMPUTED_VALUE"""),"The Teletubbies walk round some hills, then they watch some children make 
pictures called Trickle Paintings. Inside the house, it's time for Po to 
have Tubby Custard, but the Tubby Custard Machine won't stop and makes more 
and more Tubby Custard, Po tu"&amp;"rns the Tubby Custard Machine off and it's 
time for the Noo Noo to tidy up, the Teletubbies love Noo Noo very much. 
Featuring: Christopher &amp; Stephen Bone and Lawrence &amp; Catherine Smith")</f>
        <v>The Teletubbies walk round some hills, then they watch some children make 
pictures called Trickle Paintings. Inside the house, it's time for Po to 
have Tubby Custard, but the Tubby Custard Machine won't stop and makes more 
and more Tubby Custard, Po turns the Tubby Custard Machine off and it's 
time for the Noo Noo to tidy up, the Teletubbies love Noo Noo very much. 
Featuring: Christopher &amp; Stephen Bone and Lawrence &amp; Catherine Smith</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IFERROR(__xludf.DUMMYFUNCTION("IMPORTHTML(""https://en.wikipedia.org/wiki/List_of_Teletubbies_episodes_and_videos"", ""table"")"),"#REF!")</f>
        <v>#REF!</v>
      </c>
    </row>
    <row r="57">
      <c r="B57" t="s">
        <v>39</v>
      </c>
      <c r="C57" t="s">
        <v>40</v>
      </c>
      <c r="D57" t="s">
        <v>41</v>
      </c>
      <c r="E57" t="s">
        <v>42</v>
      </c>
      <c r="F57" t="s">
        <v>43</v>
      </c>
      <c r="G57" t="s">
        <v>44</v>
      </c>
      <c r="H57" t="s">
        <v>45</v>
      </c>
      <c r="I57" t="s">
        <v>46</v>
      </c>
    </row>
    <row r="58">
      <c r="A58" t="s">
        <v>47</v>
      </c>
      <c r="B58" t="s">
        <v>48</v>
      </c>
      <c r="D58">
        <v>-40420.0</v>
      </c>
      <c r="E58">
        <v>-37555.0</v>
      </c>
      <c r="F58" t="s">
        <v>49</v>
      </c>
      <c r="G58" t="s">
        <v>42</v>
      </c>
      <c r="H58" t="s">
        <v>50</v>
      </c>
      <c r="I58" t="s">
        <v>51</v>
      </c>
    </row>
    <row r="59">
      <c r="A59" t="s">
        <v>52</v>
      </c>
      <c r="B59" t="s">
        <v>53</v>
      </c>
      <c r="D59">
        <v>-37555.0</v>
      </c>
      <c r="E59">
        <v>-36095.0</v>
      </c>
      <c r="F59" t="s">
        <v>54</v>
      </c>
      <c r="G59" t="s">
        <v>42</v>
      </c>
      <c r="H59" t="s">
        <v>55</v>
      </c>
      <c r="I59" t="s">
        <v>56</v>
      </c>
    </row>
    <row r="60">
      <c r="A60" t="s">
        <v>57</v>
      </c>
      <c r="B60" t="s">
        <v>58</v>
      </c>
      <c r="D60">
        <v>-36095.0</v>
      </c>
      <c r="E60">
        <v>-33173.0</v>
      </c>
      <c r="F60" t="s">
        <v>59</v>
      </c>
      <c r="G60" t="s">
        <v>42</v>
      </c>
      <c r="H60" t="s">
        <v>60</v>
      </c>
      <c r="I60" t="s">
        <v>61</v>
      </c>
    </row>
    <row r="61">
      <c r="A61" t="s">
        <v>62</v>
      </c>
      <c r="B61" t="s">
        <v>63</v>
      </c>
      <c r="D61">
        <v>-33173.0</v>
      </c>
      <c r="E61">
        <v>-30251.0</v>
      </c>
      <c r="F61" t="s">
        <v>59</v>
      </c>
      <c r="G61" t="s">
        <v>42</v>
      </c>
      <c r="H61" t="s">
        <v>60</v>
      </c>
      <c r="I61" t="s">
        <v>64</v>
      </c>
    </row>
    <row r="62">
      <c r="A62" t="s">
        <v>65</v>
      </c>
      <c r="B62" t="s">
        <v>66</v>
      </c>
      <c r="D62">
        <v>-30251.0</v>
      </c>
      <c r="E62">
        <v>-27329.0</v>
      </c>
      <c r="F62" t="s">
        <v>59</v>
      </c>
      <c r="G62" t="s">
        <v>42</v>
      </c>
      <c r="H62" t="s">
        <v>60</v>
      </c>
      <c r="I62" t="s">
        <v>67</v>
      </c>
    </row>
    <row r="63">
      <c r="A63" t="s">
        <v>68</v>
      </c>
      <c r="B63" t="s">
        <v>69</v>
      </c>
      <c r="D63">
        <v>-27329.0</v>
      </c>
      <c r="E63">
        <v>-25868.0</v>
      </c>
      <c r="F63" t="s">
        <v>54</v>
      </c>
      <c r="G63" t="s">
        <v>42</v>
      </c>
      <c r="H63" t="s">
        <v>60</v>
      </c>
      <c r="I63" t="s">
        <v>70</v>
      </c>
    </row>
    <row r="64">
      <c r="A64" t="s">
        <v>71</v>
      </c>
      <c r="B64" t="s">
        <v>72</v>
      </c>
      <c r="D64">
        <v>-25868.0</v>
      </c>
      <c r="E64">
        <v>-22946.0</v>
      </c>
      <c r="F64" t="s">
        <v>59</v>
      </c>
      <c r="G64" t="s">
        <v>42</v>
      </c>
      <c r="H64" t="s">
        <v>73</v>
      </c>
      <c r="I64" t="s">
        <v>74</v>
      </c>
    </row>
    <row r="65">
      <c r="A65" t="s">
        <v>75</v>
      </c>
      <c r="B65" t="s">
        <v>76</v>
      </c>
      <c r="D65">
        <v>-22946.0</v>
      </c>
      <c r="E65">
        <v>-21485.0</v>
      </c>
      <c r="F65" t="s">
        <v>54</v>
      </c>
      <c r="G65" t="s">
        <v>42</v>
      </c>
      <c r="H65" t="s">
        <v>73</v>
      </c>
      <c r="I65" t="s">
        <v>77</v>
      </c>
    </row>
    <row r="66">
      <c r="A66" t="s">
        <v>78</v>
      </c>
      <c r="B66" t="s">
        <v>79</v>
      </c>
      <c r="D66">
        <v>-21485.0</v>
      </c>
      <c r="E66">
        <v>-21454.0</v>
      </c>
      <c r="F66" t="s">
        <v>80</v>
      </c>
      <c r="G66" t="s">
        <v>81</v>
      </c>
      <c r="H66" t="s">
        <v>82</v>
      </c>
      <c r="I66" t="s">
        <v>83</v>
      </c>
    </row>
    <row r="67">
      <c r="A67" t="s">
        <v>84</v>
      </c>
      <c r="B67" t="s">
        <v>85</v>
      </c>
      <c r="D67">
        <v>-21454.0</v>
      </c>
      <c r="E67">
        <v>-20024.0</v>
      </c>
      <c r="F67" t="s">
        <v>86</v>
      </c>
      <c r="G67" t="s">
        <v>42</v>
      </c>
      <c r="H67" t="s">
        <v>50</v>
      </c>
      <c r="I67" t="s">
        <v>87</v>
      </c>
    </row>
    <row r="68">
      <c r="A68" t="s">
        <v>88</v>
      </c>
      <c r="B68" t="s">
        <v>89</v>
      </c>
      <c r="D68">
        <v>-20024.0</v>
      </c>
      <c r="E68">
        <v>-18563.0</v>
      </c>
      <c r="F68" t="s">
        <v>54</v>
      </c>
      <c r="G68" t="s">
        <v>42</v>
      </c>
      <c r="H68" t="s">
        <v>73</v>
      </c>
      <c r="I68" t="s">
        <v>90</v>
      </c>
    </row>
    <row r="69">
      <c r="A69" t="s">
        <v>91</v>
      </c>
      <c r="B69" t="s">
        <v>92</v>
      </c>
      <c r="D69">
        <v>-18563.0</v>
      </c>
      <c r="E69">
        <v>-18071.0</v>
      </c>
      <c r="F69" t="s">
        <v>93</v>
      </c>
      <c r="G69" t="s">
        <v>81</v>
      </c>
      <c r="H69" t="s">
        <v>82</v>
      </c>
      <c r="I69" t="s">
        <v>94</v>
      </c>
    </row>
    <row r="70">
      <c r="A70" t="s">
        <v>95</v>
      </c>
      <c r="B70" t="s">
        <v>96</v>
      </c>
      <c r="D70">
        <v>-18071.0</v>
      </c>
      <c r="E70">
        <v>-17102.0</v>
      </c>
      <c r="F70" t="s">
        <v>97</v>
      </c>
      <c r="G70" t="s">
        <v>42</v>
      </c>
      <c r="H70" t="s">
        <v>82</v>
      </c>
      <c r="I70" t="s">
        <v>98</v>
      </c>
    </row>
    <row r="71">
      <c r="A71" t="s">
        <v>99</v>
      </c>
      <c r="B71" t="s">
        <v>100</v>
      </c>
      <c r="D71">
        <v>-17102.0</v>
      </c>
      <c r="E71">
        <v>-15641.0</v>
      </c>
      <c r="F71" t="s">
        <v>54</v>
      </c>
      <c r="G71" t="s">
        <v>42</v>
      </c>
      <c r="H71" t="s">
        <v>73</v>
      </c>
      <c r="I71" t="s">
        <v>101</v>
      </c>
    </row>
    <row r="72">
      <c r="A72" t="s">
        <v>102</v>
      </c>
      <c r="B72" t="s">
        <v>103</v>
      </c>
      <c r="D72">
        <v>-15641.0</v>
      </c>
      <c r="E72">
        <v>-14180.0</v>
      </c>
      <c r="F72" t="s">
        <v>54</v>
      </c>
      <c r="G72" t="s">
        <v>42</v>
      </c>
      <c r="H72" t="s">
        <v>73</v>
      </c>
      <c r="I72" t="s">
        <v>104</v>
      </c>
    </row>
    <row r="73">
      <c r="A73" t="s">
        <v>105</v>
      </c>
      <c r="B73" t="s">
        <v>106</v>
      </c>
      <c r="D73">
        <v>-14180.0</v>
      </c>
      <c r="E73">
        <v>-12677.0</v>
      </c>
      <c r="F73" t="s">
        <v>107</v>
      </c>
      <c r="G73" t="s">
        <v>108</v>
      </c>
      <c r="H73" t="s">
        <v>109</v>
      </c>
      <c r="I73" t="s">
        <v>110</v>
      </c>
    </row>
    <row r="74">
      <c r="A74" t="s">
        <v>111</v>
      </c>
      <c r="B74" t="s">
        <v>112</v>
      </c>
      <c r="D74">
        <v>-12677.0</v>
      </c>
      <c r="E74">
        <v>-11258.0</v>
      </c>
      <c r="F74" t="s">
        <v>113</v>
      </c>
      <c r="G74" t="s">
        <v>42</v>
      </c>
      <c r="H74" t="s">
        <v>114</v>
      </c>
      <c r="I74" t="s">
        <v>115</v>
      </c>
    </row>
    <row r="75">
      <c r="A75" t="s">
        <v>116</v>
      </c>
      <c r="B75" t="s">
        <v>117</v>
      </c>
      <c r="D75">
        <v>-11258.0</v>
      </c>
      <c r="E75">
        <v>-8336.0</v>
      </c>
      <c r="F75" t="s">
        <v>59</v>
      </c>
      <c r="G75" t="s">
        <v>42</v>
      </c>
      <c r="H75" t="s">
        <v>118</v>
      </c>
      <c r="I75" t="s">
        <v>119</v>
      </c>
    </row>
    <row r="76">
      <c r="A76" t="s">
        <v>120</v>
      </c>
      <c r="B76" t="s">
        <v>121</v>
      </c>
      <c r="D76">
        <v>-8336.0</v>
      </c>
      <c r="E76">
        <v>-6875.0</v>
      </c>
      <c r="F76" t="s">
        <v>54</v>
      </c>
      <c r="G76" t="s">
        <v>42</v>
      </c>
      <c r="H76" t="s">
        <v>118</v>
      </c>
      <c r="I76" t="s">
        <v>122</v>
      </c>
    </row>
    <row r="77">
      <c r="A77" t="s">
        <v>123</v>
      </c>
      <c r="B77" t="s">
        <v>124</v>
      </c>
      <c r="D77">
        <v>-6875.0</v>
      </c>
      <c r="E77">
        <v>-6676.0</v>
      </c>
      <c r="F77" t="s">
        <v>125</v>
      </c>
      <c r="G77" t="s">
        <v>108</v>
      </c>
      <c r="H77" t="s">
        <v>118</v>
      </c>
      <c r="I77" t="s">
        <v>126</v>
      </c>
    </row>
    <row r="78">
      <c r="A78" t="s">
        <v>127</v>
      </c>
      <c r="B78" t="s">
        <v>128</v>
      </c>
      <c r="D78">
        <v>-6676.0</v>
      </c>
      <c r="E78">
        <v>-5414.0</v>
      </c>
      <c r="F78" t="s">
        <v>129</v>
      </c>
      <c r="G78" t="s">
        <v>42</v>
      </c>
      <c r="H78" t="s">
        <v>118</v>
      </c>
      <c r="I78" t="s">
        <v>130</v>
      </c>
    </row>
    <row r="79">
      <c r="A79" t="s">
        <v>131</v>
      </c>
      <c r="B79" t="s">
        <v>132</v>
      </c>
      <c r="D79">
        <v>-5414.0</v>
      </c>
      <c r="E79">
        <v>-3953.0</v>
      </c>
      <c r="F79" t="s">
        <v>54</v>
      </c>
      <c r="G79" t="s">
        <v>42</v>
      </c>
      <c r="H79" t="s">
        <v>73</v>
      </c>
      <c r="I79" t="s">
        <v>133</v>
      </c>
    </row>
    <row r="80">
      <c r="A80" t="s">
        <v>134</v>
      </c>
      <c r="B80" t="s">
        <v>135</v>
      </c>
      <c r="D80">
        <v>-3953.0</v>
      </c>
      <c r="E80">
        <v>-2492.0</v>
      </c>
      <c r="F80" t="s">
        <v>54</v>
      </c>
      <c r="G80" t="s">
        <v>42</v>
      </c>
      <c r="H80" t="s">
        <v>118</v>
      </c>
      <c r="I80" t="s">
        <v>136</v>
      </c>
    </row>
    <row r="81">
      <c r="A81" t="s">
        <v>137</v>
      </c>
      <c r="B81" t="s">
        <v>138</v>
      </c>
      <c r="D81">
        <v>-2492.0</v>
      </c>
      <c r="E81">
        <v>-1031.0</v>
      </c>
      <c r="F81" t="s">
        <v>54</v>
      </c>
      <c r="G81" t="s">
        <v>42</v>
      </c>
      <c r="H81" t="s">
        <v>73</v>
      </c>
      <c r="I81" t="s">
        <v>139</v>
      </c>
    </row>
    <row r="82">
      <c r="A82" t="s">
        <v>140</v>
      </c>
      <c r="B82" t="s">
        <v>141</v>
      </c>
      <c r="D82">
        <v>-1031.0</v>
      </c>
      <c r="E82">
        <v>623.0</v>
      </c>
      <c r="F82" t="s">
        <v>142</v>
      </c>
      <c r="G82" t="s">
        <v>108</v>
      </c>
      <c r="H82" t="s">
        <v>118</v>
      </c>
      <c r="I82" t="s">
        <v>143</v>
      </c>
    </row>
    <row r="83">
      <c r="A83" t="s">
        <v>144</v>
      </c>
      <c r="B83" t="s">
        <v>145</v>
      </c>
      <c r="D83">
        <v>623.0</v>
      </c>
      <c r="E83">
        <v>3351.0</v>
      </c>
      <c r="F83" t="s">
        <v>146</v>
      </c>
      <c r="G83" t="s">
        <v>42</v>
      </c>
      <c r="H83" t="s">
        <v>118</v>
      </c>
      <c r="I83" t="s">
        <v>147</v>
      </c>
    </row>
    <row r="84">
      <c r="A84" t="s">
        <v>148</v>
      </c>
      <c r="B84" t="s">
        <v>149</v>
      </c>
      <c r="D84">
        <v>3351.0</v>
      </c>
      <c r="E84">
        <v>4812.0</v>
      </c>
      <c r="F84" t="s">
        <v>54</v>
      </c>
      <c r="G84" t="s">
        <v>42</v>
      </c>
      <c r="H84" t="s">
        <v>118</v>
      </c>
      <c r="I84" t="s">
        <v>150</v>
      </c>
    </row>
    <row r="85">
      <c r="A85" t="s">
        <v>151</v>
      </c>
      <c r="B85" t="s">
        <v>152</v>
      </c>
      <c r="D85">
        <v>4812.0</v>
      </c>
      <c r="E85">
        <v>7734.0</v>
      </c>
      <c r="F85" t="s">
        <v>59</v>
      </c>
      <c r="G85" t="s">
        <v>42</v>
      </c>
      <c r="H85" t="s">
        <v>73</v>
      </c>
      <c r="I85" t="s">
        <v>153</v>
      </c>
    </row>
    <row r="86">
      <c r="A86" t="s">
        <v>154</v>
      </c>
      <c r="B86" t="s">
        <v>155</v>
      </c>
      <c r="D86">
        <v>7734.0</v>
      </c>
      <c r="E86">
        <v>8615.0</v>
      </c>
      <c r="F86" t="s">
        <v>156</v>
      </c>
      <c r="G86" t="s">
        <v>81</v>
      </c>
      <c r="H86" t="s">
        <v>118</v>
      </c>
      <c r="I86" t="s">
        <v>157</v>
      </c>
    </row>
    <row r="87">
      <c r="A87" t="s">
        <v>158</v>
      </c>
      <c r="B87" t="s">
        <v>159</v>
      </c>
      <c r="D87">
        <v>8615.0</v>
      </c>
      <c r="E87">
        <v>10656.0</v>
      </c>
      <c r="F87" t="s">
        <v>160</v>
      </c>
      <c r="G87" t="s">
        <v>42</v>
      </c>
      <c r="H87" t="s">
        <v>118</v>
      </c>
      <c r="I87" t="s">
        <v>161</v>
      </c>
    </row>
    <row r="88">
      <c r="A88" t="s">
        <v>162</v>
      </c>
      <c r="B88" t="s">
        <v>163</v>
      </c>
      <c r="D88">
        <v>10656.0</v>
      </c>
      <c r="E88">
        <v>12117.0</v>
      </c>
      <c r="F88" t="s">
        <v>54</v>
      </c>
      <c r="G88" t="s">
        <v>42</v>
      </c>
      <c r="H88" t="s">
        <v>118</v>
      </c>
      <c r="I88" t="s">
        <v>164</v>
      </c>
    </row>
    <row r="89">
      <c r="A89" t="s">
        <v>165</v>
      </c>
      <c r="B89" t="s">
        <v>166</v>
      </c>
      <c r="D89">
        <v>12117.0</v>
      </c>
      <c r="E89">
        <v>16539.0</v>
      </c>
      <c r="F89" t="s">
        <v>167</v>
      </c>
      <c r="G89" t="s">
        <v>81</v>
      </c>
      <c r="H89" t="s">
        <v>73</v>
      </c>
      <c r="I89" t="s">
        <v>168</v>
      </c>
    </row>
    <row r="90">
      <c r="A90" t="s">
        <v>169</v>
      </c>
      <c r="B90" t="s">
        <v>170</v>
      </c>
      <c r="D90">
        <v>16539.0</v>
      </c>
      <c r="E90">
        <v>19379.0</v>
      </c>
      <c r="F90" t="s">
        <v>171</v>
      </c>
      <c r="G90" t="s">
        <v>42</v>
      </c>
      <c r="H90" t="s">
        <v>73</v>
      </c>
      <c r="I90" t="s">
        <v>172</v>
      </c>
    </row>
    <row r="91">
      <c r="A91" t="s">
        <v>173</v>
      </c>
      <c r="B91" t="s">
        <v>174</v>
      </c>
      <c r="D91">
        <v>19379.0</v>
      </c>
      <c r="E91">
        <v>22301.0</v>
      </c>
      <c r="F91" t="s">
        <v>59</v>
      </c>
      <c r="G91" t="s">
        <v>42</v>
      </c>
      <c r="H91" t="s">
        <v>118</v>
      </c>
      <c r="I91" t="s">
        <v>175</v>
      </c>
    </row>
    <row r="92">
      <c r="A92" t="s">
        <v>176</v>
      </c>
      <c r="B92" t="s">
        <v>177</v>
      </c>
      <c r="D92">
        <v>22301.0</v>
      </c>
      <c r="E92">
        <v>23337.0</v>
      </c>
      <c r="F92" t="s">
        <v>178</v>
      </c>
      <c r="G92" t="s">
        <v>108</v>
      </c>
      <c r="H92" t="s">
        <v>73</v>
      </c>
      <c r="I92" t="s">
        <v>179</v>
      </c>
    </row>
    <row r="93">
      <c r="A93" t="s">
        <v>180</v>
      </c>
      <c r="B93" t="s">
        <v>181</v>
      </c>
      <c r="D93">
        <v>23337.0</v>
      </c>
      <c r="E93">
        <v>25223.0</v>
      </c>
      <c r="F93" t="s">
        <v>182</v>
      </c>
      <c r="G93" t="s">
        <v>42</v>
      </c>
      <c r="H93" t="s">
        <v>73</v>
      </c>
      <c r="I93" t="s">
        <v>183</v>
      </c>
    </row>
    <row r="94">
      <c r="A94" t="s">
        <v>184</v>
      </c>
      <c r="B94" t="s">
        <v>185</v>
      </c>
      <c r="D94">
        <v>25223.0</v>
      </c>
      <c r="E94">
        <v>27250.0</v>
      </c>
      <c r="F94" t="s">
        <v>186</v>
      </c>
      <c r="G94" t="s">
        <v>187</v>
      </c>
      <c r="H94" t="s">
        <v>118</v>
      </c>
      <c r="I94" t="s">
        <v>188</v>
      </c>
    </row>
    <row r="95">
      <c r="A95" t="s">
        <v>189</v>
      </c>
      <c r="B95" t="s">
        <v>190</v>
      </c>
      <c r="D95">
        <v>27250.0</v>
      </c>
      <c r="E95">
        <v>28145.0</v>
      </c>
      <c r="F95" t="s">
        <v>191</v>
      </c>
      <c r="G95" t="s">
        <v>42</v>
      </c>
      <c r="H95" t="s">
        <v>118</v>
      </c>
      <c r="I95" t="s">
        <v>192</v>
      </c>
    </row>
    <row r="96">
      <c r="A96" t="s">
        <v>193</v>
      </c>
      <c r="B96" t="s">
        <v>194</v>
      </c>
      <c r="D96">
        <v>28145.0</v>
      </c>
      <c r="E96">
        <v>29606.0</v>
      </c>
      <c r="F96" t="s">
        <v>54</v>
      </c>
      <c r="G96" t="s">
        <v>42</v>
      </c>
      <c r="H96" t="s">
        <v>73</v>
      </c>
      <c r="I96" t="s">
        <v>195</v>
      </c>
    </row>
    <row r="97">
      <c r="A97" t="s">
        <v>196</v>
      </c>
      <c r="B97" t="s">
        <v>197</v>
      </c>
      <c r="D97">
        <v>29606.0</v>
      </c>
      <c r="E97">
        <v>32528.0</v>
      </c>
      <c r="F97" t="s">
        <v>59</v>
      </c>
      <c r="G97" t="s">
        <v>42</v>
      </c>
      <c r="H97" t="s">
        <v>118</v>
      </c>
      <c r="I97" t="s">
        <v>198</v>
      </c>
    </row>
    <row r="98">
      <c r="A98" t="s">
        <v>199</v>
      </c>
      <c r="B98" t="s">
        <v>200</v>
      </c>
      <c r="D98">
        <v>32528.0</v>
      </c>
      <c r="E98">
        <v>33989.0</v>
      </c>
      <c r="F98" t="s">
        <v>54</v>
      </c>
      <c r="G98" t="s">
        <v>42</v>
      </c>
      <c r="H98" t="s">
        <v>118</v>
      </c>
      <c r="I98" t="s">
        <v>201</v>
      </c>
    </row>
    <row r="99">
      <c r="A99" t="s">
        <v>202</v>
      </c>
      <c r="B99" t="s">
        <v>203</v>
      </c>
      <c r="D99">
        <v>33989.0</v>
      </c>
      <c r="E99">
        <v>36911.0</v>
      </c>
      <c r="F99" t="s">
        <v>59</v>
      </c>
      <c r="G99" t="s">
        <v>42</v>
      </c>
      <c r="H99" t="s">
        <v>73</v>
      </c>
      <c r="I99" t="s">
        <v>204</v>
      </c>
    </row>
    <row r="100">
      <c r="A100" t="s">
        <v>205</v>
      </c>
      <c r="B100" t="s">
        <v>206</v>
      </c>
      <c r="D100">
        <v>36911.0</v>
      </c>
      <c r="E100">
        <v>39833.0</v>
      </c>
      <c r="F100" t="s">
        <v>59</v>
      </c>
      <c r="G100" t="s">
        <v>42</v>
      </c>
      <c r="H100" t="s">
        <v>118</v>
      </c>
      <c r="I100" t="s">
        <v>207</v>
      </c>
    </row>
    <row r="101">
      <c r="A101" t="s">
        <v>208</v>
      </c>
      <c r="B101" t="s">
        <v>209</v>
      </c>
      <c r="D101">
        <v>39833.0</v>
      </c>
      <c r="E101">
        <v>42755.0</v>
      </c>
      <c r="F101" t="s">
        <v>59</v>
      </c>
      <c r="G101" t="s">
        <v>42</v>
      </c>
      <c r="H101" t="s">
        <v>73</v>
      </c>
      <c r="I101" t="s">
        <v>210</v>
      </c>
    </row>
    <row r="102">
      <c r="A102" t="s">
        <v>211</v>
      </c>
      <c r="B102" t="s">
        <v>212</v>
      </c>
      <c r="D102">
        <v>42755.0</v>
      </c>
      <c r="E102" t="s">
        <v>213</v>
      </c>
      <c r="F102" t="s">
        <v>214</v>
      </c>
      <c r="H102" t="s">
        <v>118</v>
      </c>
      <c r="I102" t="s">
        <v>215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t="str">
        <f>IFERROR(__xludf.DUMMYFUNCTION("IMPORTHTML(""https://fr.wikipedia.org/wiki/Liste_des_pr%C3%A9sidents_des_%C3%89tats-Unis"", ""table"")"),"N°")</f>
        <v>N°</v>
      </c>
      <c r="B3" t="str">
        <f>IFERROR(__xludf.DUMMYFUNCTION("""COMPUTED_VALUE"""),"Titulaire
(Naissance-Mort)
État d'origine")</f>
        <v>Titulaire
(Naissance-Mort)
État d'origine</v>
      </c>
      <c r="D3" t="str">
        <f>IFERROR(__xludf.DUMMYFUNCTION("""COMPUTED_VALUE"""),"Début de mandat")</f>
        <v>Début de mandat</v>
      </c>
      <c r="E3" t="str">
        <f>IFERROR(__xludf.DUMMYFUNCTION("""COMPUTED_VALUE"""),"Fin de mandat")</f>
        <v>Fin de mandat</v>
      </c>
      <c r="F3" t="str">
        <f>IFERROR(__xludf.DUMMYFUNCTION("""COMPUTED_VALUE"""),"Parti")</f>
        <v>Parti</v>
      </c>
      <c r="H3" t="str">
        <f>IFERROR(__xludf.DUMMYFUNCTION("""COMPUTED_VALUE"""),"Notes")</f>
        <v>Notes</v>
      </c>
    </row>
    <row r="4">
      <c r="A4">
        <f>IFERROR(__xludf.DUMMYFUNCTION("""COMPUTED_VALUE"""),1.0)</f>
        <v>1</v>
      </c>
      <c r="B4" t="str">
        <f>IFERROR(__xludf.DUMMYFUNCTION("""COMPUTED_VALUE"""),"*George Washington*
(1732-1799)
VA")</f>
        <v>*George Washington*
(1732-1799)
VA</v>
      </c>
      <c r="D4" s="13">
        <f>IFERROR(__xludf.DUMMYFUNCTION("""COMPUTED_VALUE"""),-40420.0)</f>
        <v>-40420</v>
      </c>
      <c r="E4" s="13">
        <f>IFERROR(__xludf.DUMMYFUNCTION("""COMPUTED_VALUE"""),-37555.0)</f>
        <v>-37555</v>
      </c>
      <c r="G4" t="str">
        <f>IFERROR(__xludf.DUMMYFUNCTION("""COMPUTED_VALUE"""),"Indépendant")</f>
        <v>Indépendant</v>
      </c>
      <c r="H4" t="str">
        <f>IFERROR(__xludf.DUMMYFUNCTION("""COMPUTED_VALUE"""),"[a]")</f>
        <v>[a]</v>
      </c>
    </row>
    <row r="5">
      <c r="A5">
        <f>IFERROR(__xludf.DUMMYFUNCTION("""COMPUTED_VALUE"""),2.0)</f>
        <v>2</v>
      </c>
      <c r="B5" t="str">
        <f>IFERROR(__xludf.DUMMYFUNCTION("""COMPUTED_VALUE"""),"*John Adams*
(1735-1826)
MA")</f>
        <v>*John Adams*
(1735-1826)
MA</v>
      </c>
      <c r="D5" s="13">
        <f>IFERROR(__xludf.DUMMYFUNCTION("""COMPUTED_VALUE"""),-37555.0)</f>
        <v>-37555</v>
      </c>
      <c r="E5" s="13">
        <f>IFERROR(__xludf.DUMMYFUNCTION("""COMPUTED_VALUE"""),-36095.0)</f>
        <v>-36095</v>
      </c>
      <c r="G5" t="str">
        <f>IFERROR(__xludf.DUMMYFUNCTION("""COMPUTED_VALUE"""),"Fédéraliste")</f>
        <v>Fédéraliste</v>
      </c>
      <c r="H5" t="str">
        <f>IFERROR(__xludf.DUMMYFUNCTION("""COMPUTED_VALUE"""),"[b]")</f>
        <v>[b]</v>
      </c>
    </row>
    <row r="6">
      <c r="A6">
        <f>IFERROR(__xludf.DUMMYFUNCTION("""COMPUTED_VALUE"""),3.0)</f>
        <v>3</v>
      </c>
      <c r="B6" t="str">
        <f>IFERROR(__xludf.DUMMYFUNCTION("""COMPUTED_VALUE"""),"*Thomas Jefferson*
(1743-1826)
VA")</f>
        <v>*Thomas Jefferson*
(1743-1826)
VA</v>
      </c>
      <c r="D6" s="13">
        <f>IFERROR(__xludf.DUMMYFUNCTION("""COMPUTED_VALUE"""),-36095.0)</f>
        <v>-36095</v>
      </c>
      <c r="E6" s="13">
        <f>IFERROR(__xludf.DUMMYFUNCTION("""COMPUTED_VALUE"""),-33173.0)</f>
        <v>-33173</v>
      </c>
      <c r="G6" t="str">
        <f>IFERROR(__xludf.DUMMYFUNCTION("""COMPUTED_VALUE"""),"Républicain-
démocrate")</f>
        <v>Républicain-
démocrate</v>
      </c>
      <c r="H6" t="str">
        <f>IFERROR(__xludf.DUMMYFUNCTION("""COMPUTED_VALUE"""),"[c]")</f>
        <v>[c]</v>
      </c>
    </row>
    <row r="7">
      <c r="A7">
        <f>IFERROR(__xludf.DUMMYFUNCTION("""COMPUTED_VALUE"""),4.0)</f>
        <v>4</v>
      </c>
      <c r="B7" t="str">
        <f>IFERROR(__xludf.DUMMYFUNCTION("""COMPUTED_VALUE"""),"*James Madison*
(1751-1836)
VA")</f>
        <v>*James Madison*
(1751-1836)
VA</v>
      </c>
      <c r="D7" s="13">
        <f>IFERROR(__xludf.DUMMYFUNCTION("""COMPUTED_VALUE"""),-33173.0)</f>
        <v>-33173</v>
      </c>
      <c r="E7" s="13">
        <f>IFERROR(__xludf.DUMMYFUNCTION("""COMPUTED_VALUE"""),-30251.0)</f>
        <v>-30251</v>
      </c>
      <c r="G7" t="str">
        <f>IFERROR(__xludf.DUMMYFUNCTION("""COMPUTED_VALUE"""),"Républicain-
démocrate")</f>
        <v>Républicain-
démocrate</v>
      </c>
      <c r="H7" t="str">
        <f>IFERROR(__xludf.DUMMYFUNCTION("""COMPUTED_VALUE"""),"[d]")</f>
        <v>[d]</v>
      </c>
    </row>
    <row r="8">
      <c r="A8">
        <f>IFERROR(__xludf.DUMMYFUNCTION("""COMPUTED_VALUE"""),5.0)</f>
        <v>5</v>
      </c>
      <c r="B8" t="str">
        <f>IFERROR(__xludf.DUMMYFUNCTION("""COMPUTED_VALUE"""),"*James Monroe*
(1758-1831)
VA")</f>
        <v>*James Monroe*
(1758-1831)
VA</v>
      </c>
      <c r="D8" s="13">
        <f>IFERROR(__xludf.DUMMYFUNCTION("""COMPUTED_VALUE"""),-30251.0)</f>
        <v>-30251</v>
      </c>
      <c r="E8" s="13">
        <f>IFERROR(__xludf.DUMMYFUNCTION("""COMPUTED_VALUE"""),-27329.0)</f>
        <v>-27329</v>
      </c>
      <c r="G8" t="str">
        <f>IFERROR(__xludf.DUMMYFUNCTION("""COMPUTED_VALUE"""),"Républicain-
démocrate")</f>
        <v>Républicain-
démocrate</v>
      </c>
      <c r="H8" t="str">
        <f>IFERROR(__xludf.DUMMYFUNCTION("""COMPUTED_VALUE"""),"[e]")</f>
        <v>[e]</v>
      </c>
    </row>
    <row r="9">
      <c r="A9">
        <f>IFERROR(__xludf.DUMMYFUNCTION("""COMPUTED_VALUE"""),6.0)</f>
        <v>6</v>
      </c>
      <c r="B9" t="str">
        <f>IFERROR(__xludf.DUMMYFUNCTION("""COMPUTED_VALUE"""),"*John Quincy Adams*
(1767-1848)
MA")</f>
        <v>*John Quincy Adams*
(1767-1848)
MA</v>
      </c>
      <c r="D9" s="13">
        <f>IFERROR(__xludf.DUMMYFUNCTION("""COMPUTED_VALUE"""),-27329.0)</f>
        <v>-27329</v>
      </c>
      <c r="E9" s="13">
        <f>IFERROR(__xludf.DUMMYFUNCTION("""COMPUTED_VALUE"""),-25868.0)</f>
        <v>-25868</v>
      </c>
      <c r="G9" t="str">
        <f>IFERROR(__xludf.DUMMYFUNCTION("""COMPUTED_VALUE"""),"Républicain-
démocrate
------------------------------
National-républicain")</f>
        <v>Républicain-
démocrate
------------------------------
National-républicain</v>
      </c>
      <c r="H9" t="str">
        <f>IFERROR(__xludf.DUMMYFUNCTION("""COMPUTED_VALUE"""),"[f]")</f>
        <v>[f]</v>
      </c>
    </row>
    <row r="10">
      <c r="A10">
        <f>IFERROR(__xludf.DUMMYFUNCTION("""COMPUTED_VALUE"""),7.0)</f>
        <v>7</v>
      </c>
      <c r="B10" t="str">
        <f>IFERROR(__xludf.DUMMYFUNCTION("""COMPUTED_VALUE"""),"*Andrew Jackson*
(1767-1845)
TN")</f>
        <v>*Andrew Jackson*
(1767-1845)
TN</v>
      </c>
      <c r="D10" s="13">
        <f>IFERROR(__xludf.DUMMYFUNCTION("""COMPUTED_VALUE"""),-25868.0)</f>
        <v>-25868</v>
      </c>
      <c r="E10" s="13">
        <f>IFERROR(__xludf.DUMMYFUNCTION("""COMPUTED_VALUE"""),-22946.0)</f>
        <v>-22946</v>
      </c>
      <c r="G10" t="str">
        <f>IFERROR(__xludf.DUMMYFUNCTION("""COMPUTED_VALUE"""),"Démocrate")</f>
        <v>Démocrate</v>
      </c>
      <c r="H10" t="str">
        <f>IFERROR(__xludf.DUMMYFUNCTION("""COMPUTED_VALUE"""),"[g]")</f>
        <v>[g]</v>
      </c>
    </row>
    <row r="11">
      <c r="A11">
        <f>IFERROR(__xludf.DUMMYFUNCTION("""COMPUTED_VALUE"""),8.0)</f>
        <v>8</v>
      </c>
      <c r="B11" t="str">
        <f>IFERROR(__xludf.DUMMYFUNCTION("""COMPUTED_VALUE"""),"*Martin Van Buren*
(1782-1862)
NY")</f>
        <v>*Martin Van Buren*
(1782-1862)
NY</v>
      </c>
      <c r="D11" s="13">
        <f>IFERROR(__xludf.DUMMYFUNCTION("""COMPUTED_VALUE"""),-22946.0)</f>
        <v>-22946</v>
      </c>
      <c r="E11" s="13">
        <f>IFERROR(__xludf.DUMMYFUNCTION("""COMPUTED_VALUE"""),-21485.0)</f>
        <v>-21485</v>
      </c>
      <c r="G11" t="str">
        <f>IFERROR(__xludf.DUMMYFUNCTION("""COMPUTED_VALUE"""),"Démocrate")</f>
        <v>Démocrate</v>
      </c>
      <c r="H11" t="str">
        <f>IFERROR(__xludf.DUMMYFUNCTION("""COMPUTED_VALUE"""),"[h]")</f>
        <v>[h]</v>
      </c>
    </row>
    <row r="12">
      <c r="A12">
        <f>IFERROR(__xludf.DUMMYFUNCTION("""COMPUTED_VALUE"""),9.0)</f>
        <v>9</v>
      </c>
      <c r="B12" t="str">
        <f>IFERROR(__xludf.DUMMYFUNCTION("""COMPUTED_VALUE"""),"*William Henry Harrison*
(1773-1841)
OH")</f>
        <v>*William Henry Harrison*
(1773-1841)
OH</v>
      </c>
      <c r="D12" s="13">
        <f>IFERROR(__xludf.DUMMYFUNCTION("""COMPUTED_VALUE"""),-21485.0)</f>
        <v>-21485</v>
      </c>
      <c r="E12" s="13">
        <f>IFERROR(__xludf.DUMMYFUNCTION("""COMPUTED_VALUE"""),-21454.0)</f>
        <v>-21454</v>
      </c>
      <c r="G12" t="str">
        <f>IFERROR(__xludf.DUMMYFUNCTION("""COMPUTED_VALUE"""),"Whig")</f>
        <v>Whig</v>
      </c>
      <c r="H12" t="str">
        <f>IFERROR(__xludf.DUMMYFUNCTION("""COMPUTED_VALUE"""),"[i]")</f>
        <v>[i]</v>
      </c>
    </row>
    <row r="13">
      <c r="A13">
        <f>IFERROR(__xludf.DUMMYFUNCTION("""COMPUTED_VALUE"""),10.0)</f>
        <v>10</v>
      </c>
      <c r="B13" t="str">
        <f>IFERROR(__xludf.DUMMYFUNCTION("""COMPUTED_VALUE"""),"*John Tyler*
(1790-1862)
VA")</f>
        <v>*John Tyler*
(1790-1862)
VA</v>
      </c>
      <c r="D13" s="13">
        <f>IFERROR(__xludf.DUMMYFUNCTION("""COMPUTED_VALUE"""),-21454.0)</f>
        <v>-21454</v>
      </c>
      <c r="E13" s="13">
        <f>IFERROR(__xludf.DUMMYFUNCTION("""COMPUTED_VALUE"""),-20024.0)</f>
        <v>-20024</v>
      </c>
      <c r="G13" t="str">
        <f>IFERROR(__xludf.DUMMYFUNCTION("""COMPUTED_VALUE"""),"Indépendant")</f>
        <v>Indépendant</v>
      </c>
      <c r="H13" t="str">
        <f>IFERROR(__xludf.DUMMYFUNCTION("""COMPUTED_VALUE"""),"[j]")</f>
        <v>[j]</v>
      </c>
    </row>
    <row r="14">
      <c r="A14">
        <f>IFERROR(__xludf.DUMMYFUNCTION("""COMPUTED_VALUE"""),11.0)</f>
        <v>11</v>
      </c>
      <c r="B14" t="str">
        <f>IFERROR(__xludf.DUMMYFUNCTION("""COMPUTED_VALUE"""),"*James K. Polk*
(1795-1849)
TN")</f>
        <v>*James K. Polk*
(1795-1849)
TN</v>
      </c>
      <c r="D14" s="13">
        <f>IFERROR(__xludf.DUMMYFUNCTION("""COMPUTED_VALUE"""),-20024.0)</f>
        <v>-20024</v>
      </c>
      <c r="E14" s="13">
        <f>IFERROR(__xludf.DUMMYFUNCTION("""COMPUTED_VALUE"""),-18563.0)</f>
        <v>-18563</v>
      </c>
      <c r="G14" t="str">
        <f>IFERROR(__xludf.DUMMYFUNCTION("""COMPUTED_VALUE"""),"Démocrate")</f>
        <v>Démocrate</v>
      </c>
      <c r="H14" t="str">
        <f>IFERROR(__xludf.DUMMYFUNCTION("""COMPUTED_VALUE"""),"[k]")</f>
        <v>[k]</v>
      </c>
    </row>
    <row r="15">
      <c r="A15">
        <f>IFERROR(__xludf.DUMMYFUNCTION("""COMPUTED_VALUE"""),12.0)</f>
        <v>12</v>
      </c>
      <c r="B15" t="str">
        <f>IFERROR(__xludf.DUMMYFUNCTION("""COMPUTED_VALUE"""),"*Zachary Taylor*
(1784-1850)
KY")</f>
        <v>*Zachary Taylor*
(1784-1850)
KY</v>
      </c>
      <c r="D15" s="13">
        <f>IFERROR(__xludf.DUMMYFUNCTION("""COMPUTED_VALUE"""),-18563.0)</f>
        <v>-18563</v>
      </c>
      <c r="E15" s="13">
        <f>IFERROR(__xludf.DUMMYFUNCTION("""COMPUTED_VALUE"""),-18071.0)</f>
        <v>-18071</v>
      </c>
      <c r="G15" t="str">
        <f>IFERROR(__xludf.DUMMYFUNCTION("""COMPUTED_VALUE"""),"Whig")</f>
        <v>Whig</v>
      </c>
      <c r="H15" t="str">
        <f>IFERROR(__xludf.DUMMYFUNCTION("""COMPUTED_VALUE"""),"[l]")</f>
        <v>[l]</v>
      </c>
    </row>
    <row r="16">
      <c r="A16">
        <f>IFERROR(__xludf.DUMMYFUNCTION("""COMPUTED_VALUE"""),13.0)</f>
        <v>13</v>
      </c>
      <c r="B16" t="str">
        <f>IFERROR(__xludf.DUMMYFUNCTION("""COMPUTED_VALUE"""),"*Millard Fillmore*
(1800-1874)
NY")</f>
        <v>*Millard Fillmore*
(1800-1874)
NY</v>
      </c>
      <c r="D16" s="13">
        <f>IFERROR(__xludf.DUMMYFUNCTION("""COMPUTED_VALUE"""),-18071.0)</f>
        <v>-18071</v>
      </c>
      <c r="E16" s="13">
        <f>IFERROR(__xludf.DUMMYFUNCTION("""COMPUTED_VALUE"""),-17102.0)</f>
        <v>-17102</v>
      </c>
      <c r="G16" t="str">
        <f>IFERROR(__xludf.DUMMYFUNCTION("""COMPUTED_VALUE"""),"Whig")</f>
        <v>Whig</v>
      </c>
      <c r="H16" t="str">
        <f>IFERROR(__xludf.DUMMYFUNCTION("""COMPUTED_VALUE"""),"[m]")</f>
        <v>[m]</v>
      </c>
    </row>
    <row r="17">
      <c r="A17">
        <f>IFERROR(__xludf.DUMMYFUNCTION("""COMPUTED_VALUE"""),14.0)</f>
        <v>14</v>
      </c>
      <c r="B17" t="str">
        <f>IFERROR(__xludf.DUMMYFUNCTION("""COMPUTED_VALUE"""),"*Franklin Pierce*
(1804-1869)
NH")</f>
        <v>*Franklin Pierce*
(1804-1869)
NH</v>
      </c>
      <c r="D17" s="13">
        <f>IFERROR(__xludf.DUMMYFUNCTION("""COMPUTED_VALUE"""),-17102.0)</f>
        <v>-17102</v>
      </c>
      <c r="E17" s="13">
        <f>IFERROR(__xludf.DUMMYFUNCTION("""COMPUTED_VALUE"""),-15641.0)</f>
        <v>-15641</v>
      </c>
      <c r="G17" t="str">
        <f>IFERROR(__xludf.DUMMYFUNCTION("""COMPUTED_VALUE"""),"Démocrate")</f>
        <v>Démocrate</v>
      </c>
      <c r="H17" t="str">
        <f>IFERROR(__xludf.DUMMYFUNCTION("""COMPUTED_VALUE"""),"[n]")</f>
        <v>[n]</v>
      </c>
    </row>
    <row r="18">
      <c r="A18">
        <f>IFERROR(__xludf.DUMMYFUNCTION("""COMPUTED_VALUE"""),15.0)</f>
        <v>15</v>
      </c>
      <c r="B18" t="str">
        <f>IFERROR(__xludf.DUMMYFUNCTION("""COMPUTED_VALUE"""),"*James Buchanan*
(1791-1868)
PA")</f>
        <v>*James Buchanan*
(1791-1868)
PA</v>
      </c>
      <c r="D18" s="13">
        <f>IFERROR(__xludf.DUMMYFUNCTION("""COMPUTED_VALUE"""),-15641.0)</f>
        <v>-15641</v>
      </c>
      <c r="E18" s="13">
        <f>IFERROR(__xludf.DUMMYFUNCTION("""COMPUTED_VALUE"""),-14180.0)</f>
        <v>-14180</v>
      </c>
      <c r="G18" t="str">
        <f>IFERROR(__xludf.DUMMYFUNCTION("""COMPUTED_VALUE"""),"Démocrate")</f>
        <v>Démocrate</v>
      </c>
      <c r="H18" t="str">
        <f>IFERROR(__xludf.DUMMYFUNCTION("""COMPUTED_VALUE"""),"[o]")</f>
        <v>[o]</v>
      </c>
    </row>
    <row r="19">
      <c r="A19">
        <f>IFERROR(__xludf.DUMMYFUNCTION("""COMPUTED_VALUE"""),16.0)</f>
        <v>16</v>
      </c>
      <c r="B19" t="str">
        <f>IFERROR(__xludf.DUMMYFUNCTION("""COMPUTED_VALUE"""),"*Abraham Lincoln*
(1809-1865)
IL")</f>
        <v>*Abraham Lincoln*
(1809-1865)
IL</v>
      </c>
      <c r="D19" s="13">
        <f>IFERROR(__xludf.DUMMYFUNCTION("""COMPUTED_VALUE"""),-14180.0)</f>
        <v>-14180</v>
      </c>
      <c r="E19" s="13">
        <f>IFERROR(__xludf.DUMMYFUNCTION("""COMPUTED_VALUE"""),-12677.0)</f>
        <v>-12677</v>
      </c>
      <c r="G19" t="str">
        <f>IFERROR(__xludf.DUMMYFUNCTION("""COMPUTED_VALUE"""),"Républicain
------------------------------
Union (en)")</f>
        <v>Républicain
------------------------------
Union (en)</v>
      </c>
      <c r="H19" t="str">
        <f>IFERROR(__xludf.DUMMYFUNCTION("""COMPUTED_VALUE"""),"[p]")</f>
        <v>[p]</v>
      </c>
    </row>
    <row r="20">
      <c r="A20">
        <f>IFERROR(__xludf.DUMMYFUNCTION("""COMPUTED_VALUE"""),17.0)</f>
        <v>17</v>
      </c>
      <c r="B20" t="str">
        <f>IFERROR(__xludf.DUMMYFUNCTION("""COMPUTED_VALUE"""),"*Andrew Johnson*
(1808-1875)
TN")</f>
        <v>*Andrew Johnson*
(1808-1875)
TN</v>
      </c>
      <c r="D20" s="13">
        <f>IFERROR(__xludf.DUMMYFUNCTION("""COMPUTED_VALUE"""),-12677.0)</f>
        <v>-12677</v>
      </c>
      <c r="E20" s="13">
        <f>IFERROR(__xludf.DUMMYFUNCTION("""COMPUTED_VALUE"""),-11258.0)</f>
        <v>-11258</v>
      </c>
      <c r="G20" t="str">
        <f>IFERROR(__xludf.DUMMYFUNCTION("""COMPUTED_VALUE"""),"Union (en)
------------------------------
Démocrate")</f>
        <v>Union (en)
------------------------------
Démocrate</v>
      </c>
      <c r="H20" t="str">
        <f>IFERROR(__xludf.DUMMYFUNCTION("""COMPUTED_VALUE"""),"[q]")</f>
        <v>[q]</v>
      </c>
    </row>
    <row r="21">
      <c r="A21">
        <f>IFERROR(__xludf.DUMMYFUNCTION("""COMPUTED_VALUE"""),18.0)</f>
        <v>18</v>
      </c>
      <c r="B21" t="str">
        <f>IFERROR(__xludf.DUMMYFUNCTION("""COMPUTED_VALUE"""),"*Ulysses S. Grant*
(1822-1885)
IL")</f>
        <v>*Ulysses S. Grant*
(1822-1885)
IL</v>
      </c>
      <c r="D21" s="13">
        <f>IFERROR(__xludf.DUMMYFUNCTION("""COMPUTED_VALUE"""),-11258.0)</f>
        <v>-11258</v>
      </c>
      <c r="E21" s="13">
        <f>IFERROR(__xludf.DUMMYFUNCTION("""COMPUTED_VALUE"""),-8336.0)</f>
        <v>-8336</v>
      </c>
      <c r="G21" t="str">
        <f>IFERROR(__xludf.DUMMYFUNCTION("""COMPUTED_VALUE"""),"Républicain")</f>
        <v>Républicain</v>
      </c>
      <c r="H21" t="str">
        <f>IFERROR(__xludf.DUMMYFUNCTION("""COMPUTED_VALUE"""),"[r]")</f>
        <v>[r]</v>
      </c>
    </row>
    <row r="22">
      <c r="A22">
        <f>IFERROR(__xludf.DUMMYFUNCTION("""COMPUTED_VALUE"""),19.0)</f>
        <v>19</v>
      </c>
      <c r="B22" t="str">
        <f>IFERROR(__xludf.DUMMYFUNCTION("""COMPUTED_VALUE"""),"*Rutherford B. Hayes*
(1822-1893)
OH")</f>
        <v>*Rutherford B. Hayes*
(1822-1893)
OH</v>
      </c>
      <c r="D22" s="13">
        <f>IFERROR(__xludf.DUMMYFUNCTION("""COMPUTED_VALUE"""),-8336.0)</f>
        <v>-8336</v>
      </c>
      <c r="E22" s="13">
        <f>IFERROR(__xludf.DUMMYFUNCTION("""COMPUTED_VALUE"""),-6875.0)</f>
        <v>-6875</v>
      </c>
      <c r="G22" t="str">
        <f>IFERROR(__xludf.DUMMYFUNCTION("""COMPUTED_VALUE"""),"Républicain")</f>
        <v>Républicain</v>
      </c>
      <c r="H22" t="str">
        <f>IFERROR(__xludf.DUMMYFUNCTION("""COMPUTED_VALUE"""),"[s]")</f>
        <v>[s]</v>
      </c>
    </row>
    <row r="23">
      <c r="A23">
        <f>IFERROR(__xludf.DUMMYFUNCTION("""COMPUTED_VALUE"""),20.0)</f>
        <v>20</v>
      </c>
      <c r="B23" t="str">
        <f>IFERROR(__xludf.DUMMYFUNCTION("""COMPUTED_VALUE"""),"*James A. Garfield*
(1831-1881)
OH")</f>
        <v>*James A. Garfield*
(1831-1881)
OH</v>
      </c>
      <c r="D23" s="13">
        <f>IFERROR(__xludf.DUMMYFUNCTION("""COMPUTED_VALUE"""),-6875.0)</f>
        <v>-6875</v>
      </c>
      <c r="E23" s="13">
        <f>IFERROR(__xludf.DUMMYFUNCTION("""COMPUTED_VALUE"""),-6676.0)</f>
        <v>-6676</v>
      </c>
      <c r="G23" t="str">
        <f>IFERROR(__xludf.DUMMYFUNCTION("""COMPUTED_VALUE"""),"Républicain")</f>
        <v>Républicain</v>
      </c>
      <c r="H23" t="str">
        <f>IFERROR(__xludf.DUMMYFUNCTION("""COMPUTED_VALUE"""),"[t]")</f>
        <v>[t]</v>
      </c>
    </row>
    <row r="24">
      <c r="A24">
        <f>IFERROR(__xludf.DUMMYFUNCTION("""COMPUTED_VALUE"""),21.0)</f>
        <v>21</v>
      </c>
      <c r="B24" t="str">
        <f>IFERROR(__xludf.DUMMYFUNCTION("""COMPUTED_VALUE"""),"*Chester A. Arthur*
(1829-1886)
NY")</f>
        <v>*Chester A. Arthur*
(1829-1886)
NY</v>
      </c>
      <c r="D24" s="13">
        <f>IFERROR(__xludf.DUMMYFUNCTION("""COMPUTED_VALUE"""),-6676.0)</f>
        <v>-6676</v>
      </c>
      <c r="E24" s="13">
        <f>IFERROR(__xludf.DUMMYFUNCTION("""COMPUTED_VALUE"""),-5414.0)</f>
        <v>-5414</v>
      </c>
      <c r="G24" t="str">
        <f>IFERROR(__xludf.DUMMYFUNCTION("""COMPUTED_VALUE"""),"Républicain")</f>
        <v>Républicain</v>
      </c>
      <c r="H24" t="str">
        <f>IFERROR(__xludf.DUMMYFUNCTION("""COMPUTED_VALUE"""),"[u]")</f>
        <v>[u]</v>
      </c>
    </row>
    <row r="25">
      <c r="A25">
        <f>IFERROR(__xludf.DUMMYFUNCTION("""COMPUTED_VALUE"""),22.0)</f>
        <v>22</v>
      </c>
      <c r="B25" t="str">
        <f>IFERROR(__xludf.DUMMYFUNCTION("""COMPUTED_VALUE"""),"*Grover Cleveland*
(1837-1908)
NY
*1re fois*")</f>
        <v>*Grover Cleveland*
(1837-1908)
NY
*1re fois*</v>
      </c>
      <c r="D25" s="13">
        <f>IFERROR(__xludf.DUMMYFUNCTION("""COMPUTED_VALUE"""),-5414.0)</f>
        <v>-5414</v>
      </c>
      <c r="E25" s="13">
        <f>IFERROR(__xludf.DUMMYFUNCTION("""COMPUTED_VALUE"""),-3953.0)</f>
        <v>-3953</v>
      </c>
      <c r="G25" t="str">
        <f>IFERROR(__xludf.DUMMYFUNCTION("""COMPUTED_VALUE"""),"Démocrate")</f>
        <v>Démocrate</v>
      </c>
      <c r="H25" t="str">
        <f>IFERROR(__xludf.DUMMYFUNCTION("""COMPUTED_VALUE"""),"[v]")</f>
        <v>[v]</v>
      </c>
    </row>
    <row r="26">
      <c r="A26">
        <f>IFERROR(__xludf.DUMMYFUNCTION("""COMPUTED_VALUE"""),23.0)</f>
        <v>23</v>
      </c>
      <c r="B26" t="str">
        <f>IFERROR(__xludf.DUMMYFUNCTION("""COMPUTED_VALUE"""),"*Benjamin Harrison*
(1833-1901)
IN")</f>
        <v>*Benjamin Harrison*
(1833-1901)
IN</v>
      </c>
      <c r="D26" s="13">
        <f>IFERROR(__xludf.DUMMYFUNCTION("""COMPUTED_VALUE"""),-3953.0)</f>
        <v>-3953</v>
      </c>
      <c r="E26" s="13">
        <f>IFERROR(__xludf.DUMMYFUNCTION("""COMPUTED_VALUE"""),-2492.0)</f>
        <v>-2492</v>
      </c>
      <c r="G26" t="str">
        <f>IFERROR(__xludf.DUMMYFUNCTION("""COMPUTED_VALUE"""),"Républicain")</f>
        <v>Républicain</v>
      </c>
      <c r="H26" t="str">
        <f>IFERROR(__xludf.DUMMYFUNCTION("""COMPUTED_VALUE"""),"[w]")</f>
        <v>[w]</v>
      </c>
    </row>
    <row r="27">
      <c r="A27">
        <f>IFERROR(__xludf.DUMMYFUNCTION("""COMPUTED_VALUE"""),24.0)</f>
        <v>24</v>
      </c>
      <c r="B27" t="str">
        <f>IFERROR(__xludf.DUMMYFUNCTION("""COMPUTED_VALUE"""),"*Grover Cleveland*
(1837-1908)
NY
*2de fois*")</f>
        <v>*Grover Cleveland*
(1837-1908)
NY
*2de fois*</v>
      </c>
      <c r="D27" s="13">
        <f>IFERROR(__xludf.DUMMYFUNCTION("""COMPUTED_VALUE"""),-2492.0)</f>
        <v>-2492</v>
      </c>
      <c r="E27" s="13">
        <f>IFERROR(__xludf.DUMMYFUNCTION("""COMPUTED_VALUE"""),-1031.0)</f>
        <v>-1031</v>
      </c>
      <c r="G27" t="str">
        <f>IFERROR(__xludf.DUMMYFUNCTION("""COMPUTED_VALUE"""),"Démocrate")</f>
        <v>Démocrate</v>
      </c>
      <c r="H27" t="str">
        <f>IFERROR(__xludf.DUMMYFUNCTION("""COMPUTED_VALUE"""),"[x]")</f>
        <v>[x]</v>
      </c>
    </row>
    <row r="28">
      <c r="A28">
        <f>IFERROR(__xludf.DUMMYFUNCTION("""COMPUTED_VALUE"""),25.0)</f>
        <v>25</v>
      </c>
      <c r="B28" t="str">
        <f>IFERROR(__xludf.DUMMYFUNCTION("""COMPUTED_VALUE"""),"*William McKinley*
(1843-1901)
OH")</f>
        <v>*William McKinley*
(1843-1901)
OH</v>
      </c>
      <c r="D28" s="13">
        <f>IFERROR(__xludf.DUMMYFUNCTION("""COMPUTED_VALUE"""),-1031.0)</f>
        <v>-1031</v>
      </c>
      <c r="E28" s="13">
        <f>IFERROR(__xludf.DUMMYFUNCTION("""COMPUTED_VALUE"""),623.0)</f>
        <v>623</v>
      </c>
      <c r="G28" t="str">
        <f>IFERROR(__xludf.DUMMYFUNCTION("""COMPUTED_VALUE"""),"Républicain")</f>
        <v>Républicain</v>
      </c>
      <c r="H28" t="str">
        <f>IFERROR(__xludf.DUMMYFUNCTION("""COMPUTED_VALUE"""),"[y]")</f>
        <v>[y]</v>
      </c>
    </row>
    <row r="29">
      <c r="A29">
        <f>IFERROR(__xludf.DUMMYFUNCTION("""COMPUTED_VALUE"""),26.0)</f>
        <v>26</v>
      </c>
      <c r="B29" t="str">
        <f>IFERROR(__xludf.DUMMYFUNCTION("""COMPUTED_VALUE"""),"*Theodore Roosevelt*
(1858-1919)
NY")</f>
        <v>*Theodore Roosevelt*
(1858-1919)
NY</v>
      </c>
      <c r="D29" s="13">
        <f>IFERROR(__xludf.DUMMYFUNCTION("""COMPUTED_VALUE"""),623.0)</f>
        <v>623</v>
      </c>
      <c r="E29" s="13">
        <f>IFERROR(__xludf.DUMMYFUNCTION("""COMPUTED_VALUE"""),3351.0)</f>
        <v>3351</v>
      </c>
      <c r="G29" t="str">
        <f>IFERROR(__xludf.DUMMYFUNCTION("""COMPUTED_VALUE"""),"Républicain")</f>
        <v>Républicain</v>
      </c>
      <c r="H29" t="str">
        <f>IFERROR(__xludf.DUMMYFUNCTION("""COMPUTED_VALUE"""),"[z]")</f>
        <v>[z]</v>
      </c>
    </row>
    <row r="30">
      <c r="A30">
        <f>IFERROR(__xludf.DUMMYFUNCTION("""COMPUTED_VALUE"""),27.0)</f>
        <v>27</v>
      </c>
      <c r="B30" t="str">
        <f>IFERROR(__xludf.DUMMYFUNCTION("""COMPUTED_VALUE"""),"*William H. Taft*
(1857-1930)
OH")</f>
        <v>*William H. Taft*
(1857-1930)
OH</v>
      </c>
      <c r="D30" s="13">
        <f>IFERROR(__xludf.DUMMYFUNCTION("""COMPUTED_VALUE"""),3351.0)</f>
        <v>3351</v>
      </c>
      <c r="E30" s="13">
        <f>IFERROR(__xludf.DUMMYFUNCTION("""COMPUTED_VALUE"""),4812.0)</f>
        <v>4812</v>
      </c>
      <c r="G30" t="str">
        <f>IFERROR(__xludf.DUMMYFUNCTION("""COMPUTED_VALUE"""),"Républicain")</f>
        <v>Républicain</v>
      </c>
      <c r="H30" t="str">
        <f>IFERROR(__xludf.DUMMYFUNCTION("""COMPUTED_VALUE"""),"[aa]")</f>
        <v>[aa]</v>
      </c>
    </row>
    <row r="31">
      <c r="A31">
        <f>IFERROR(__xludf.DUMMYFUNCTION("""COMPUTED_VALUE"""),28.0)</f>
        <v>28</v>
      </c>
      <c r="B31" t="str">
        <f>IFERROR(__xludf.DUMMYFUNCTION("""COMPUTED_VALUE"""),"*Woodrow Wilson*
(1856-1924)
NJ")</f>
        <v>*Woodrow Wilson*
(1856-1924)
NJ</v>
      </c>
      <c r="D31" s="13">
        <f>IFERROR(__xludf.DUMMYFUNCTION("""COMPUTED_VALUE"""),4812.0)</f>
        <v>4812</v>
      </c>
      <c r="E31" s="13">
        <f>IFERROR(__xludf.DUMMYFUNCTION("""COMPUTED_VALUE"""),7734.0)</f>
        <v>7734</v>
      </c>
      <c r="G31" t="str">
        <f>IFERROR(__xludf.DUMMYFUNCTION("""COMPUTED_VALUE"""),"Démocrate")</f>
        <v>Démocrate</v>
      </c>
      <c r="H31" t="str">
        <f>IFERROR(__xludf.DUMMYFUNCTION("""COMPUTED_VALUE"""),"[ab]")</f>
        <v>[ab]</v>
      </c>
    </row>
    <row r="32">
      <c r="A32">
        <f>IFERROR(__xludf.DUMMYFUNCTION("""COMPUTED_VALUE"""),29.0)</f>
        <v>29</v>
      </c>
      <c r="B32" t="str">
        <f>IFERROR(__xludf.DUMMYFUNCTION("""COMPUTED_VALUE"""),"*Warren G. Harding*
(1865-1923)
OH")</f>
        <v>*Warren G. Harding*
(1865-1923)
OH</v>
      </c>
      <c r="D32" s="13">
        <f>IFERROR(__xludf.DUMMYFUNCTION("""COMPUTED_VALUE"""),7734.0)</f>
        <v>7734</v>
      </c>
      <c r="E32" s="13">
        <f>IFERROR(__xludf.DUMMYFUNCTION("""COMPUTED_VALUE"""),8615.0)</f>
        <v>8615</v>
      </c>
      <c r="G32" t="str">
        <f>IFERROR(__xludf.DUMMYFUNCTION("""COMPUTED_VALUE"""),"Républicain")</f>
        <v>Républicain</v>
      </c>
      <c r="H32" t="str">
        <f>IFERROR(__xludf.DUMMYFUNCTION("""COMPUTED_VALUE"""),"[ac]")</f>
        <v>[ac]</v>
      </c>
    </row>
    <row r="33">
      <c r="A33">
        <f>IFERROR(__xludf.DUMMYFUNCTION("""COMPUTED_VALUE"""),30.0)</f>
        <v>30</v>
      </c>
      <c r="B33" t="str">
        <f>IFERROR(__xludf.DUMMYFUNCTION("""COMPUTED_VALUE"""),"*Calvin Coolidge*
(1872-1933)
MA")</f>
        <v>*Calvin Coolidge*
(1872-1933)
MA</v>
      </c>
      <c r="D33" s="13">
        <f>IFERROR(__xludf.DUMMYFUNCTION("""COMPUTED_VALUE"""),8615.0)</f>
        <v>8615</v>
      </c>
      <c r="E33" s="13">
        <f>IFERROR(__xludf.DUMMYFUNCTION("""COMPUTED_VALUE"""),10656.0)</f>
        <v>10656</v>
      </c>
      <c r="G33" t="str">
        <f>IFERROR(__xludf.DUMMYFUNCTION("""COMPUTED_VALUE"""),"Républicain")</f>
        <v>Républicain</v>
      </c>
      <c r="H33" t="str">
        <f>IFERROR(__xludf.DUMMYFUNCTION("""COMPUTED_VALUE"""),"[ad]")</f>
        <v>[ad]</v>
      </c>
    </row>
    <row r="34">
      <c r="A34">
        <f>IFERROR(__xludf.DUMMYFUNCTION("""COMPUTED_VALUE"""),31.0)</f>
        <v>31</v>
      </c>
      <c r="B34" t="str">
        <f>IFERROR(__xludf.DUMMYFUNCTION("""COMPUTED_VALUE"""),"*Herbert Hoover*
(1874-1964)
CA")</f>
        <v>*Herbert Hoover*
(1874-1964)
CA</v>
      </c>
      <c r="D34" s="13">
        <f>IFERROR(__xludf.DUMMYFUNCTION("""COMPUTED_VALUE"""),10656.0)</f>
        <v>10656</v>
      </c>
      <c r="E34" s="13">
        <f>IFERROR(__xludf.DUMMYFUNCTION("""COMPUTED_VALUE"""),12117.0)</f>
        <v>12117</v>
      </c>
      <c r="G34" t="str">
        <f>IFERROR(__xludf.DUMMYFUNCTION("""COMPUTED_VALUE"""),"Républicain")</f>
        <v>Républicain</v>
      </c>
      <c r="H34" t="str">
        <f>IFERROR(__xludf.DUMMYFUNCTION("""COMPUTED_VALUE"""),"[ae]")</f>
        <v>[ae]</v>
      </c>
    </row>
    <row r="35">
      <c r="A35">
        <f>IFERROR(__xludf.DUMMYFUNCTION("""COMPUTED_VALUE"""),32.0)</f>
        <v>32</v>
      </c>
      <c r="B35" t="str">
        <f>IFERROR(__xludf.DUMMYFUNCTION("""COMPUTED_VALUE"""),"*Franklin Delano Roosevelt*
(1882-1945)
NY")</f>
        <v>*Franklin Delano Roosevelt*
(1882-1945)
NY</v>
      </c>
      <c r="D35" s="13">
        <f>IFERROR(__xludf.DUMMYFUNCTION("""COMPUTED_VALUE"""),12117.0)</f>
        <v>12117</v>
      </c>
      <c r="E35" s="13">
        <f>IFERROR(__xludf.DUMMYFUNCTION("""COMPUTED_VALUE"""),16539.0)</f>
        <v>16539</v>
      </c>
      <c r="G35" t="str">
        <f>IFERROR(__xludf.DUMMYFUNCTION("""COMPUTED_VALUE"""),"Démocrate")</f>
        <v>Démocrate</v>
      </c>
      <c r="H35" t="str">
        <f>IFERROR(__xludf.DUMMYFUNCTION("""COMPUTED_VALUE"""),"[af]")</f>
        <v>[af]</v>
      </c>
    </row>
    <row r="36">
      <c r="A36">
        <f>IFERROR(__xludf.DUMMYFUNCTION("""COMPUTED_VALUE"""),33.0)</f>
        <v>33</v>
      </c>
      <c r="B36" t="str">
        <f>IFERROR(__xludf.DUMMYFUNCTION("""COMPUTED_VALUE"""),"*Harry S. Truman*
(1884-1972)
MO")</f>
        <v>*Harry S. Truman*
(1884-1972)
MO</v>
      </c>
      <c r="D36" s="13">
        <f>IFERROR(__xludf.DUMMYFUNCTION("""COMPUTED_VALUE"""),16539.0)</f>
        <v>16539</v>
      </c>
      <c r="E36" s="13">
        <f>IFERROR(__xludf.DUMMYFUNCTION("""COMPUTED_VALUE"""),19379.0)</f>
        <v>19379</v>
      </c>
      <c r="G36" t="str">
        <f>IFERROR(__xludf.DUMMYFUNCTION("""COMPUTED_VALUE"""),"Démocrate")</f>
        <v>Démocrate</v>
      </c>
      <c r="H36" t="str">
        <f>IFERROR(__xludf.DUMMYFUNCTION("""COMPUTED_VALUE"""),"[ag]")</f>
        <v>[ag]</v>
      </c>
    </row>
    <row r="37">
      <c r="A37">
        <f>IFERROR(__xludf.DUMMYFUNCTION("""COMPUTED_VALUE"""),34.0)</f>
        <v>34</v>
      </c>
      <c r="B37" t="str">
        <f>IFERROR(__xludf.DUMMYFUNCTION("""COMPUTED_VALUE"""),"*Dwight D. Eisenhower*
(1890-1969)
KS")</f>
        <v>*Dwight D. Eisenhower*
(1890-1969)
KS</v>
      </c>
      <c r="D37" s="13">
        <f>IFERROR(__xludf.DUMMYFUNCTION("""COMPUTED_VALUE"""),19379.0)</f>
        <v>19379</v>
      </c>
      <c r="E37" s="13">
        <f>IFERROR(__xludf.DUMMYFUNCTION("""COMPUTED_VALUE"""),22301.0)</f>
        <v>22301</v>
      </c>
      <c r="G37" t="str">
        <f>IFERROR(__xludf.DUMMYFUNCTION("""COMPUTED_VALUE"""),"Républicain")</f>
        <v>Républicain</v>
      </c>
      <c r="H37" t="str">
        <f>IFERROR(__xludf.DUMMYFUNCTION("""COMPUTED_VALUE"""),"[ah]")</f>
        <v>[ah]</v>
      </c>
    </row>
    <row r="38">
      <c r="A38">
        <f>IFERROR(__xludf.DUMMYFUNCTION("""COMPUTED_VALUE"""),35.0)</f>
        <v>35</v>
      </c>
      <c r="B38" t="str">
        <f>IFERROR(__xludf.DUMMYFUNCTION("""COMPUTED_VALUE"""),"*John Fitzgerald Kennedy*
(1917-1963)
MA")</f>
        <v>*John Fitzgerald Kennedy*
(1917-1963)
MA</v>
      </c>
      <c r="D38" s="13">
        <f>IFERROR(__xludf.DUMMYFUNCTION("""COMPUTED_VALUE"""),22301.0)</f>
        <v>22301</v>
      </c>
      <c r="E38" s="13">
        <f>IFERROR(__xludf.DUMMYFUNCTION("""COMPUTED_VALUE"""),23337.0)</f>
        <v>23337</v>
      </c>
      <c r="G38" t="str">
        <f>IFERROR(__xludf.DUMMYFUNCTION("""COMPUTED_VALUE"""),"Démocrate")</f>
        <v>Démocrate</v>
      </c>
      <c r="H38" t="str">
        <f>IFERROR(__xludf.DUMMYFUNCTION("""COMPUTED_VALUE"""),"[ai]")</f>
        <v>[ai]</v>
      </c>
    </row>
    <row r="39">
      <c r="A39">
        <f>IFERROR(__xludf.DUMMYFUNCTION("""COMPUTED_VALUE"""),36.0)</f>
        <v>36</v>
      </c>
      <c r="B39" t="str">
        <f>IFERROR(__xludf.DUMMYFUNCTION("""COMPUTED_VALUE"""),"*Lyndon B. Johnson*
(1908-1973)
TX")</f>
        <v>*Lyndon B. Johnson*
(1908-1973)
TX</v>
      </c>
      <c r="D39" s="13">
        <f>IFERROR(__xludf.DUMMYFUNCTION("""COMPUTED_VALUE"""),23337.0)</f>
        <v>23337</v>
      </c>
      <c r="E39" s="13">
        <f>IFERROR(__xludf.DUMMYFUNCTION("""COMPUTED_VALUE"""),25223.0)</f>
        <v>25223</v>
      </c>
      <c r="G39" t="str">
        <f>IFERROR(__xludf.DUMMYFUNCTION("""COMPUTED_VALUE"""),"Démocrate")</f>
        <v>Démocrate</v>
      </c>
      <c r="H39" t="str">
        <f>IFERROR(__xludf.DUMMYFUNCTION("""COMPUTED_VALUE"""),"[aj]")</f>
        <v>[aj]</v>
      </c>
    </row>
    <row r="40">
      <c r="A40">
        <f>IFERROR(__xludf.DUMMYFUNCTION("""COMPUTED_VALUE"""),37.0)</f>
        <v>37</v>
      </c>
      <c r="B40" t="str">
        <f>IFERROR(__xludf.DUMMYFUNCTION("""COMPUTED_VALUE"""),"*Richard Nixon*
(1913-1994)
CA")</f>
        <v>*Richard Nixon*
(1913-1994)
CA</v>
      </c>
      <c r="D40" s="13">
        <f>IFERROR(__xludf.DUMMYFUNCTION("""COMPUTED_VALUE"""),25223.0)</f>
        <v>25223</v>
      </c>
      <c r="E40" s="13">
        <f>IFERROR(__xludf.DUMMYFUNCTION("""COMPUTED_VALUE"""),27250.0)</f>
        <v>27250</v>
      </c>
      <c r="G40" t="str">
        <f>IFERROR(__xludf.DUMMYFUNCTION("""COMPUTED_VALUE"""),"Républicain")</f>
        <v>Républicain</v>
      </c>
      <c r="H40" t="str">
        <f>IFERROR(__xludf.DUMMYFUNCTION("""COMPUTED_VALUE"""),"[ak]")</f>
        <v>[ak]</v>
      </c>
    </row>
    <row r="41">
      <c r="A41">
        <f>IFERROR(__xludf.DUMMYFUNCTION("""COMPUTED_VALUE"""),38.0)</f>
        <v>38</v>
      </c>
      <c r="B41" t="str">
        <f>IFERROR(__xludf.DUMMYFUNCTION("""COMPUTED_VALUE"""),"*Gerald Ford*
(1913-2006)
MI")</f>
        <v>*Gerald Ford*
(1913-2006)
MI</v>
      </c>
      <c r="D41" s="13">
        <f>IFERROR(__xludf.DUMMYFUNCTION("""COMPUTED_VALUE"""),27250.0)</f>
        <v>27250</v>
      </c>
      <c r="E41" s="13">
        <f>IFERROR(__xludf.DUMMYFUNCTION("""COMPUTED_VALUE"""),28145.0)</f>
        <v>28145</v>
      </c>
      <c r="G41" t="str">
        <f>IFERROR(__xludf.DUMMYFUNCTION("""COMPUTED_VALUE"""),"Républicain")</f>
        <v>Républicain</v>
      </c>
      <c r="H41" t="str">
        <f>IFERROR(__xludf.DUMMYFUNCTION("""COMPUTED_VALUE"""),"[al]")</f>
        <v>[al]</v>
      </c>
    </row>
    <row r="42">
      <c r="A42">
        <f>IFERROR(__xludf.DUMMYFUNCTION("""COMPUTED_VALUE"""),39.0)</f>
        <v>39</v>
      </c>
      <c r="B42" t="str">
        <f>IFERROR(__xludf.DUMMYFUNCTION("""COMPUTED_VALUE"""),"*Jimmy Carter*
(1924-2024)
GA")</f>
        <v>*Jimmy Carter*
(1924-2024)
GA</v>
      </c>
      <c r="D42" s="13">
        <f>IFERROR(__xludf.DUMMYFUNCTION("""COMPUTED_VALUE"""),28145.0)</f>
        <v>28145</v>
      </c>
      <c r="E42" s="13">
        <f>IFERROR(__xludf.DUMMYFUNCTION("""COMPUTED_VALUE"""),29606.0)</f>
        <v>29606</v>
      </c>
      <c r="G42" t="str">
        <f>IFERROR(__xludf.DUMMYFUNCTION("""COMPUTED_VALUE"""),"Démocrate")</f>
        <v>Démocrate</v>
      </c>
      <c r="H42" t="str">
        <f>IFERROR(__xludf.DUMMYFUNCTION("""COMPUTED_VALUE"""),"[am]")</f>
        <v>[am]</v>
      </c>
    </row>
    <row r="43">
      <c r="A43">
        <f>IFERROR(__xludf.DUMMYFUNCTION("""COMPUTED_VALUE"""),40.0)</f>
        <v>40</v>
      </c>
      <c r="B43" t="str">
        <f>IFERROR(__xludf.DUMMYFUNCTION("""COMPUTED_VALUE"""),"*Ronald Reagan*
(1911-2004)
CA")</f>
        <v>*Ronald Reagan*
(1911-2004)
CA</v>
      </c>
      <c r="D43" s="13">
        <f>IFERROR(__xludf.DUMMYFUNCTION("""COMPUTED_VALUE"""),29606.0)</f>
        <v>29606</v>
      </c>
      <c r="E43" s="13">
        <f>IFERROR(__xludf.DUMMYFUNCTION("""COMPUTED_VALUE"""),32528.0)</f>
        <v>32528</v>
      </c>
      <c r="G43" t="str">
        <f>IFERROR(__xludf.DUMMYFUNCTION("""COMPUTED_VALUE"""),"Républicain")</f>
        <v>Républicain</v>
      </c>
      <c r="H43" t="str">
        <f>IFERROR(__xludf.DUMMYFUNCTION("""COMPUTED_VALUE"""),"[an]")</f>
        <v>[an]</v>
      </c>
    </row>
    <row r="44">
      <c r="A44">
        <f>IFERROR(__xludf.DUMMYFUNCTION("""COMPUTED_VALUE"""),41.0)</f>
        <v>41</v>
      </c>
      <c r="B44" t="str">
        <f>IFERROR(__xludf.DUMMYFUNCTION("""COMPUTED_VALUE"""),"*George H. W. Bush*
(1924-2018)
TX")</f>
        <v>*George H. W. Bush*
(1924-2018)
TX</v>
      </c>
      <c r="D44" s="13">
        <f>IFERROR(__xludf.DUMMYFUNCTION("""COMPUTED_VALUE"""),32528.0)</f>
        <v>32528</v>
      </c>
      <c r="E44" s="13">
        <f>IFERROR(__xludf.DUMMYFUNCTION("""COMPUTED_VALUE"""),33989.0)</f>
        <v>33989</v>
      </c>
      <c r="G44" t="str">
        <f>IFERROR(__xludf.DUMMYFUNCTION("""COMPUTED_VALUE"""),"Républicain")</f>
        <v>Républicain</v>
      </c>
      <c r="H44" t="str">
        <f>IFERROR(__xludf.DUMMYFUNCTION("""COMPUTED_VALUE"""),"[ao]")</f>
        <v>[ao]</v>
      </c>
    </row>
    <row r="45">
      <c r="A45">
        <f>IFERROR(__xludf.DUMMYFUNCTION("""COMPUTED_VALUE"""),42.0)</f>
        <v>42</v>
      </c>
      <c r="B45" t="str">
        <f>IFERROR(__xludf.DUMMYFUNCTION("""COMPUTED_VALUE"""),"*Bill Clinton*
(né en 1946)
AR")</f>
        <v>*Bill Clinton*
(né en 1946)
AR</v>
      </c>
      <c r="D45" s="13">
        <f>IFERROR(__xludf.DUMMYFUNCTION("""COMPUTED_VALUE"""),33989.0)</f>
        <v>33989</v>
      </c>
      <c r="E45" s="13">
        <f>IFERROR(__xludf.DUMMYFUNCTION("""COMPUTED_VALUE"""),36911.0)</f>
        <v>36911</v>
      </c>
      <c r="G45" t="str">
        <f>IFERROR(__xludf.DUMMYFUNCTION("""COMPUTED_VALUE"""),"Démocrate")</f>
        <v>Démocrate</v>
      </c>
      <c r="H45" t="str">
        <f>IFERROR(__xludf.DUMMYFUNCTION("""COMPUTED_VALUE"""),"[ap]")</f>
        <v>[ap]</v>
      </c>
    </row>
    <row r="46">
      <c r="A46">
        <f>IFERROR(__xludf.DUMMYFUNCTION("""COMPUTED_VALUE"""),43.0)</f>
        <v>43</v>
      </c>
      <c r="B46" t="str">
        <f>IFERROR(__xludf.DUMMYFUNCTION("""COMPUTED_VALUE"""),"*George W. Bush*
(né en 1946)
TX")</f>
        <v>*George W. Bush*
(né en 1946)
TX</v>
      </c>
      <c r="D46" s="13">
        <f>IFERROR(__xludf.DUMMYFUNCTION("""COMPUTED_VALUE"""),36911.0)</f>
        <v>36911</v>
      </c>
      <c r="E46" s="13">
        <f>IFERROR(__xludf.DUMMYFUNCTION("""COMPUTED_VALUE"""),39833.0)</f>
        <v>39833</v>
      </c>
      <c r="G46" t="str">
        <f>IFERROR(__xludf.DUMMYFUNCTION("""COMPUTED_VALUE"""),"Républicain")</f>
        <v>Républicain</v>
      </c>
      <c r="H46" t="str">
        <f>IFERROR(__xludf.DUMMYFUNCTION("""COMPUTED_VALUE"""),"[aq]")</f>
        <v>[aq]</v>
      </c>
    </row>
    <row r="47">
      <c r="A47">
        <f>IFERROR(__xludf.DUMMYFUNCTION("""COMPUTED_VALUE"""),44.0)</f>
        <v>44</v>
      </c>
      <c r="B47" t="str">
        <f>IFERROR(__xludf.DUMMYFUNCTION("""COMPUTED_VALUE"""),"*Barack Obama*
(né en 1961)
IL")</f>
        <v>*Barack Obama*
(né en 1961)
IL</v>
      </c>
      <c r="D47" s="13">
        <f>IFERROR(__xludf.DUMMYFUNCTION("""COMPUTED_VALUE"""),39833.0)</f>
        <v>39833</v>
      </c>
      <c r="E47" s="13">
        <f>IFERROR(__xludf.DUMMYFUNCTION("""COMPUTED_VALUE"""),42755.0)</f>
        <v>42755</v>
      </c>
      <c r="G47" t="str">
        <f>IFERROR(__xludf.DUMMYFUNCTION("""COMPUTED_VALUE"""),"Démocrate")</f>
        <v>Démocrate</v>
      </c>
      <c r="H47" t="str">
        <f>IFERROR(__xludf.DUMMYFUNCTION("""COMPUTED_VALUE"""),"[ar]")</f>
        <v>[ar]</v>
      </c>
    </row>
    <row r="48">
      <c r="A48">
        <f>IFERROR(__xludf.DUMMYFUNCTION("""COMPUTED_VALUE"""),45.0)</f>
        <v>45</v>
      </c>
      <c r="B48" t="str">
        <f>IFERROR(__xludf.DUMMYFUNCTION("""COMPUTED_VALUE"""),"*Donald Trump*
(né en 1946)
NY
*1re fois*")</f>
        <v>*Donald Trump*
(né en 1946)
NY
*1re fois*</v>
      </c>
      <c r="D48" s="13">
        <f>IFERROR(__xludf.DUMMYFUNCTION("""COMPUTED_VALUE"""),42755.0)</f>
        <v>42755</v>
      </c>
      <c r="E48" s="13">
        <f>IFERROR(__xludf.DUMMYFUNCTION("""COMPUTED_VALUE"""),44216.0)</f>
        <v>44216</v>
      </c>
      <c r="G48" t="str">
        <f>IFERROR(__xludf.DUMMYFUNCTION("""COMPUTED_VALUE"""),"Républicain")</f>
        <v>Républicain</v>
      </c>
      <c r="H48" t="str">
        <f>IFERROR(__xludf.DUMMYFUNCTION("""COMPUTED_VALUE"""),"[as]")</f>
        <v>[as]</v>
      </c>
    </row>
    <row r="49">
      <c r="A49">
        <f>IFERROR(__xludf.DUMMYFUNCTION("""COMPUTED_VALUE"""),46.0)</f>
        <v>46</v>
      </c>
      <c r="B49" t="str">
        <f>IFERROR(__xludf.DUMMYFUNCTION("""COMPUTED_VALUE"""),"*Joe Biden*
(né en 1942)
PA")</f>
        <v>*Joe Biden*
(né en 1942)
PA</v>
      </c>
      <c r="D49" s="13">
        <f>IFERROR(__xludf.DUMMYFUNCTION("""COMPUTED_VALUE"""),44216.0)</f>
        <v>44216</v>
      </c>
      <c r="E49" s="13">
        <f>IFERROR(__xludf.DUMMYFUNCTION("""COMPUTED_VALUE"""),45677.0)</f>
        <v>45677</v>
      </c>
      <c r="G49" t="str">
        <f>IFERROR(__xludf.DUMMYFUNCTION("""COMPUTED_VALUE"""),"Démocrate")</f>
        <v>Démocrate</v>
      </c>
      <c r="H49" t="str">
        <f>IFERROR(__xludf.DUMMYFUNCTION("""COMPUTED_VALUE"""),"[at]")</f>
        <v>[at]</v>
      </c>
    </row>
    <row r="50">
      <c r="A50">
        <f>IFERROR(__xludf.DUMMYFUNCTION("""COMPUTED_VALUE"""),47.0)</f>
        <v>47</v>
      </c>
      <c r="B50" t="str">
        <f>IFERROR(__xludf.DUMMYFUNCTION("""COMPUTED_VALUE"""),"*Donald Trump*
(né en 1946)
NY
*2de fois*")</f>
        <v>*Donald Trump*
(né en 1946)
NY
*2de fois*</v>
      </c>
      <c r="D50" s="13">
        <f>IFERROR(__xludf.DUMMYFUNCTION("""COMPUTED_VALUE"""),45677.0)</f>
        <v>45677</v>
      </c>
      <c r="E50" t="str">
        <f>IFERROR(__xludf.DUMMYFUNCTION("""COMPUTED_VALUE"""),"*En cours*")</f>
        <v>*En cours*</v>
      </c>
      <c r="G50" t="str">
        <f>IFERROR(__xludf.DUMMYFUNCTION("""COMPUTED_VALUE"""),"Républicain")</f>
        <v>Républicain</v>
      </c>
      <c r="H50" t="str">
        <f>IFERROR(__xludf.DUMMYFUNCTION("""COMPUTED_VALUE"""),"[au]")</f>
        <v>[au]</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IFERROR(__xludf.DUMMYFUNCTION("IMPORTHTML(""https://fr.wikipedia.org/wiki/Liste_des_pr%C3%A9sidents_des_%C3%89tats-Unis"",""table"")"),"N°")</f>
        <v>N°</v>
      </c>
      <c r="B1" t="str">
        <f>IFERROR(__xludf.DUMMYFUNCTION("""COMPUTED_VALUE"""),"Titulaire
(Naissance-Mort)
État d'origine")</f>
        <v>Titulaire
(Naissance-Mort)
État d'origine</v>
      </c>
      <c r="D1" t="str">
        <f>IFERROR(__xludf.DUMMYFUNCTION("""COMPUTED_VALUE"""),"Début de mandat")</f>
        <v>Début de mandat</v>
      </c>
      <c r="E1" t="str">
        <f>IFERROR(__xludf.DUMMYFUNCTION("""COMPUTED_VALUE"""),"Fin de mandat")</f>
        <v>Fin de mandat</v>
      </c>
      <c r="F1" t="str">
        <f>IFERROR(__xludf.DUMMYFUNCTION("""COMPUTED_VALUE"""),"Parti")</f>
        <v>Parti</v>
      </c>
      <c r="H1" t="str">
        <f>IFERROR(__xludf.DUMMYFUNCTION("""COMPUTED_VALUE"""),"Notes")</f>
        <v>Notes</v>
      </c>
    </row>
    <row r="2">
      <c r="A2">
        <f>IFERROR(__xludf.DUMMYFUNCTION("""COMPUTED_VALUE"""),1.0)</f>
        <v>1</v>
      </c>
      <c r="B2" t="str">
        <f>IFERROR(__xludf.DUMMYFUNCTION("""COMPUTED_VALUE"""),"*George Washington*
(1732-1799)
VA")</f>
        <v>*George Washington*
(1732-1799)
VA</v>
      </c>
      <c r="D2" s="13">
        <f>IFERROR(__xludf.DUMMYFUNCTION("""COMPUTED_VALUE"""),-40420.0)</f>
        <v>-40420</v>
      </c>
      <c r="E2" s="13">
        <f>IFERROR(__xludf.DUMMYFUNCTION("""COMPUTED_VALUE"""),-37555.0)</f>
        <v>-37555</v>
      </c>
      <c r="G2" t="str">
        <f>IFERROR(__xludf.DUMMYFUNCTION("""COMPUTED_VALUE"""),"Indépendant")</f>
        <v>Indépendant</v>
      </c>
      <c r="H2" t="str">
        <f>IFERROR(__xludf.DUMMYFUNCTION("""COMPUTED_VALUE"""),"[a]")</f>
        <v>[a]</v>
      </c>
    </row>
    <row r="3">
      <c r="A3">
        <f>IFERROR(__xludf.DUMMYFUNCTION("""COMPUTED_VALUE"""),2.0)</f>
        <v>2</v>
      </c>
      <c r="B3" t="str">
        <f>IFERROR(__xludf.DUMMYFUNCTION("""COMPUTED_VALUE"""),"*John Adams*
(1735-1826)
MA")</f>
        <v>*John Adams*
(1735-1826)
MA</v>
      </c>
      <c r="D3" s="13">
        <f>IFERROR(__xludf.DUMMYFUNCTION("""COMPUTED_VALUE"""),-37555.0)</f>
        <v>-37555</v>
      </c>
      <c r="E3" s="13">
        <f>IFERROR(__xludf.DUMMYFUNCTION("""COMPUTED_VALUE"""),-36095.0)</f>
        <v>-36095</v>
      </c>
      <c r="G3" t="str">
        <f>IFERROR(__xludf.DUMMYFUNCTION("""COMPUTED_VALUE"""),"Fédéraliste")</f>
        <v>Fédéraliste</v>
      </c>
      <c r="H3" t="str">
        <f>IFERROR(__xludf.DUMMYFUNCTION("""COMPUTED_VALUE"""),"[b]")</f>
        <v>[b]</v>
      </c>
    </row>
    <row r="4">
      <c r="A4">
        <f>IFERROR(__xludf.DUMMYFUNCTION("""COMPUTED_VALUE"""),3.0)</f>
        <v>3</v>
      </c>
      <c r="B4" t="str">
        <f>IFERROR(__xludf.DUMMYFUNCTION("""COMPUTED_VALUE"""),"*Thomas Jefferson*
(1743-1826)
VA")</f>
        <v>*Thomas Jefferson*
(1743-1826)
VA</v>
      </c>
      <c r="D4" s="13">
        <f>IFERROR(__xludf.DUMMYFUNCTION("""COMPUTED_VALUE"""),-36095.0)</f>
        <v>-36095</v>
      </c>
      <c r="E4" s="13">
        <f>IFERROR(__xludf.DUMMYFUNCTION("""COMPUTED_VALUE"""),-33173.0)</f>
        <v>-33173</v>
      </c>
      <c r="G4" t="str">
        <f>IFERROR(__xludf.DUMMYFUNCTION("""COMPUTED_VALUE"""),"Républicain-
démocrate")</f>
        <v>Républicain-
démocrate</v>
      </c>
      <c r="H4" t="str">
        <f>IFERROR(__xludf.DUMMYFUNCTION("""COMPUTED_VALUE"""),"[c]")</f>
        <v>[c]</v>
      </c>
    </row>
    <row r="5">
      <c r="A5">
        <f>IFERROR(__xludf.DUMMYFUNCTION("""COMPUTED_VALUE"""),4.0)</f>
        <v>4</v>
      </c>
      <c r="B5" t="str">
        <f>IFERROR(__xludf.DUMMYFUNCTION("""COMPUTED_VALUE"""),"*James Madison*
(1751-1836)
VA")</f>
        <v>*James Madison*
(1751-1836)
VA</v>
      </c>
      <c r="D5" s="13">
        <f>IFERROR(__xludf.DUMMYFUNCTION("""COMPUTED_VALUE"""),-33173.0)</f>
        <v>-33173</v>
      </c>
      <c r="E5" s="13">
        <f>IFERROR(__xludf.DUMMYFUNCTION("""COMPUTED_VALUE"""),-30251.0)</f>
        <v>-30251</v>
      </c>
      <c r="G5" t="str">
        <f>IFERROR(__xludf.DUMMYFUNCTION("""COMPUTED_VALUE"""),"Républicain-
démocrate")</f>
        <v>Républicain-
démocrate</v>
      </c>
      <c r="H5" t="str">
        <f>IFERROR(__xludf.DUMMYFUNCTION("""COMPUTED_VALUE"""),"[d]")</f>
        <v>[d]</v>
      </c>
    </row>
    <row r="6">
      <c r="A6">
        <f>IFERROR(__xludf.DUMMYFUNCTION("""COMPUTED_VALUE"""),5.0)</f>
        <v>5</v>
      </c>
      <c r="B6" t="str">
        <f>IFERROR(__xludf.DUMMYFUNCTION("""COMPUTED_VALUE"""),"*James Monroe*
(1758-1831)
VA")</f>
        <v>*James Monroe*
(1758-1831)
VA</v>
      </c>
      <c r="D6" s="13">
        <f>IFERROR(__xludf.DUMMYFUNCTION("""COMPUTED_VALUE"""),-30251.0)</f>
        <v>-30251</v>
      </c>
      <c r="E6" s="13">
        <f>IFERROR(__xludf.DUMMYFUNCTION("""COMPUTED_VALUE"""),-27329.0)</f>
        <v>-27329</v>
      </c>
      <c r="G6" t="str">
        <f>IFERROR(__xludf.DUMMYFUNCTION("""COMPUTED_VALUE"""),"Républicain-
démocrate")</f>
        <v>Républicain-
démocrate</v>
      </c>
      <c r="H6" t="str">
        <f>IFERROR(__xludf.DUMMYFUNCTION("""COMPUTED_VALUE"""),"[e]")</f>
        <v>[e]</v>
      </c>
    </row>
    <row r="7">
      <c r="A7">
        <f>IFERROR(__xludf.DUMMYFUNCTION("""COMPUTED_VALUE"""),6.0)</f>
        <v>6</v>
      </c>
      <c r="B7" t="str">
        <f>IFERROR(__xludf.DUMMYFUNCTION("""COMPUTED_VALUE"""),"*John Quincy Adams*
(1767-1848)
MA")</f>
        <v>*John Quincy Adams*
(1767-1848)
MA</v>
      </c>
      <c r="D7" s="13">
        <f>IFERROR(__xludf.DUMMYFUNCTION("""COMPUTED_VALUE"""),-27329.0)</f>
        <v>-27329</v>
      </c>
      <c r="E7" s="13">
        <f>IFERROR(__xludf.DUMMYFUNCTION("""COMPUTED_VALUE"""),-25868.0)</f>
        <v>-25868</v>
      </c>
      <c r="G7" t="str">
        <f>IFERROR(__xludf.DUMMYFUNCTION("""COMPUTED_VALUE"""),"Républicain-
démocrate
------------------------------
National-républicain")</f>
        <v>Républicain-
démocrate
------------------------------
National-républicain</v>
      </c>
      <c r="H7" t="str">
        <f>IFERROR(__xludf.DUMMYFUNCTION("""COMPUTED_VALUE"""),"[f]")</f>
        <v>[f]</v>
      </c>
    </row>
    <row r="8">
      <c r="A8">
        <f>IFERROR(__xludf.DUMMYFUNCTION("""COMPUTED_VALUE"""),7.0)</f>
        <v>7</v>
      </c>
      <c r="B8" t="str">
        <f>IFERROR(__xludf.DUMMYFUNCTION("""COMPUTED_VALUE"""),"*Andrew Jackson*
(1767-1845)
TN")</f>
        <v>*Andrew Jackson*
(1767-1845)
TN</v>
      </c>
      <c r="D8" s="13">
        <f>IFERROR(__xludf.DUMMYFUNCTION("""COMPUTED_VALUE"""),-25868.0)</f>
        <v>-25868</v>
      </c>
      <c r="E8" s="13">
        <f>IFERROR(__xludf.DUMMYFUNCTION("""COMPUTED_VALUE"""),-22946.0)</f>
        <v>-22946</v>
      </c>
      <c r="G8" t="str">
        <f>IFERROR(__xludf.DUMMYFUNCTION("""COMPUTED_VALUE"""),"Démocrate")</f>
        <v>Démocrate</v>
      </c>
      <c r="H8" t="str">
        <f>IFERROR(__xludf.DUMMYFUNCTION("""COMPUTED_VALUE"""),"[g]")</f>
        <v>[g]</v>
      </c>
    </row>
    <row r="9">
      <c r="A9">
        <f>IFERROR(__xludf.DUMMYFUNCTION("""COMPUTED_VALUE"""),8.0)</f>
        <v>8</v>
      </c>
      <c r="B9" t="str">
        <f>IFERROR(__xludf.DUMMYFUNCTION("""COMPUTED_VALUE"""),"*Martin Van Buren*
(1782-1862)
NY")</f>
        <v>*Martin Van Buren*
(1782-1862)
NY</v>
      </c>
      <c r="D9" s="13">
        <f>IFERROR(__xludf.DUMMYFUNCTION("""COMPUTED_VALUE"""),-22946.0)</f>
        <v>-22946</v>
      </c>
      <c r="E9" s="13">
        <f>IFERROR(__xludf.DUMMYFUNCTION("""COMPUTED_VALUE"""),-21485.0)</f>
        <v>-21485</v>
      </c>
      <c r="G9" t="str">
        <f>IFERROR(__xludf.DUMMYFUNCTION("""COMPUTED_VALUE"""),"Démocrate")</f>
        <v>Démocrate</v>
      </c>
      <c r="H9" t="str">
        <f>IFERROR(__xludf.DUMMYFUNCTION("""COMPUTED_VALUE"""),"[h]")</f>
        <v>[h]</v>
      </c>
    </row>
    <row r="10">
      <c r="A10">
        <f>IFERROR(__xludf.DUMMYFUNCTION("""COMPUTED_VALUE"""),9.0)</f>
        <v>9</v>
      </c>
      <c r="B10" t="str">
        <f>IFERROR(__xludf.DUMMYFUNCTION("""COMPUTED_VALUE"""),"*William Henry Harrison*
(1773-1841)
OH")</f>
        <v>*William Henry Harrison*
(1773-1841)
OH</v>
      </c>
      <c r="D10" s="13">
        <f>IFERROR(__xludf.DUMMYFUNCTION("""COMPUTED_VALUE"""),-21485.0)</f>
        <v>-21485</v>
      </c>
      <c r="E10" s="13">
        <f>IFERROR(__xludf.DUMMYFUNCTION("""COMPUTED_VALUE"""),-21454.0)</f>
        <v>-21454</v>
      </c>
      <c r="G10" t="str">
        <f>IFERROR(__xludf.DUMMYFUNCTION("""COMPUTED_VALUE"""),"Whig")</f>
        <v>Whig</v>
      </c>
      <c r="H10" t="str">
        <f>IFERROR(__xludf.DUMMYFUNCTION("""COMPUTED_VALUE"""),"[i]")</f>
        <v>[i]</v>
      </c>
    </row>
    <row r="11">
      <c r="A11">
        <f>IFERROR(__xludf.DUMMYFUNCTION("""COMPUTED_VALUE"""),10.0)</f>
        <v>10</v>
      </c>
      <c r="B11" t="str">
        <f>IFERROR(__xludf.DUMMYFUNCTION("""COMPUTED_VALUE"""),"*John Tyler*
(1790-1862)
VA")</f>
        <v>*John Tyler*
(1790-1862)
VA</v>
      </c>
      <c r="D11" s="13">
        <f>IFERROR(__xludf.DUMMYFUNCTION("""COMPUTED_VALUE"""),-21454.0)</f>
        <v>-21454</v>
      </c>
      <c r="E11" s="13">
        <f>IFERROR(__xludf.DUMMYFUNCTION("""COMPUTED_VALUE"""),-20024.0)</f>
        <v>-20024</v>
      </c>
      <c r="G11" t="str">
        <f>IFERROR(__xludf.DUMMYFUNCTION("""COMPUTED_VALUE"""),"Indépendant")</f>
        <v>Indépendant</v>
      </c>
      <c r="H11" t="str">
        <f>IFERROR(__xludf.DUMMYFUNCTION("""COMPUTED_VALUE"""),"[j]")</f>
        <v>[j]</v>
      </c>
    </row>
    <row r="12">
      <c r="A12">
        <f>IFERROR(__xludf.DUMMYFUNCTION("""COMPUTED_VALUE"""),11.0)</f>
        <v>11</v>
      </c>
      <c r="B12" t="str">
        <f>IFERROR(__xludf.DUMMYFUNCTION("""COMPUTED_VALUE"""),"*James K. Polk*
(1795-1849)
TN")</f>
        <v>*James K. Polk*
(1795-1849)
TN</v>
      </c>
      <c r="D12" s="13">
        <f>IFERROR(__xludf.DUMMYFUNCTION("""COMPUTED_VALUE"""),-20024.0)</f>
        <v>-20024</v>
      </c>
      <c r="E12" s="13">
        <f>IFERROR(__xludf.DUMMYFUNCTION("""COMPUTED_VALUE"""),-18563.0)</f>
        <v>-18563</v>
      </c>
      <c r="G12" t="str">
        <f>IFERROR(__xludf.DUMMYFUNCTION("""COMPUTED_VALUE"""),"Démocrate")</f>
        <v>Démocrate</v>
      </c>
      <c r="H12" t="str">
        <f>IFERROR(__xludf.DUMMYFUNCTION("""COMPUTED_VALUE"""),"[k]")</f>
        <v>[k]</v>
      </c>
    </row>
    <row r="13">
      <c r="A13">
        <f>IFERROR(__xludf.DUMMYFUNCTION("""COMPUTED_VALUE"""),12.0)</f>
        <v>12</v>
      </c>
      <c r="B13" t="str">
        <f>IFERROR(__xludf.DUMMYFUNCTION("""COMPUTED_VALUE"""),"*Zachary Taylor*
(1784-1850)
KY")</f>
        <v>*Zachary Taylor*
(1784-1850)
KY</v>
      </c>
      <c r="D13" s="13">
        <f>IFERROR(__xludf.DUMMYFUNCTION("""COMPUTED_VALUE"""),-18563.0)</f>
        <v>-18563</v>
      </c>
      <c r="E13" s="13">
        <f>IFERROR(__xludf.DUMMYFUNCTION("""COMPUTED_VALUE"""),-18071.0)</f>
        <v>-18071</v>
      </c>
      <c r="G13" t="str">
        <f>IFERROR(__xludf.DUMMYFUNCTION("""COMPUTED_VALUE"""),"Whig")</f>
        <v>Whig</v>
      </c>
      <c r="H13" t="str">
        <f>IFERROR(__xludf.DUMMYFUNCTION("""COMPUTED_VALUE"""),"[l]")</f>
        <v>[l]</v>
      </c>
    </row>
    <row r="14">
      <c r="A14">
        <f>IFERROR(__xludf.DUMMYFUNCTION("""COMPUTED_VALUE"""),13.0)</f>
        <v>13</v>
      </c>
      <c r="B14" t="str">
        <f>IFERROR(__xludf.DUMMYFUNCTION("""COMPUTED_VALUE"""),"*Millard Fillmore*
(1800-1874)
NY")</f>
        <v>*Millard Fillmore*
(1800-1874)
NY</v>
      </c>
      <c r="D14" s="13">
        <f>IFERROR(__xludf.DUMMYFUNCTION("""COMPUTED_VALUE"""),-18071.0)</f>
        <v>-18071</v>
      </c>
      <c r="E14" s="13">
        <f>IFERROR(__xludf.DUMMYFUNCTION("""COMPUTED_VALUE"""),-17102.0)</f>
        <v>-17102</v>
      </c>
      <c r="G14" t="str">
        <f>IFERROR(__xludf.DUMMYFUNCTION("""COMPUTED_VALUE"""),"Whig")</f>
        <v>Whig</v>
      </c>
      <c r="H14" t="str">
        <f>IFERROR(__xludf.DUMMYFUNCTION("""COMPUTED_VALUE"""),"[m]")</f>
        <v>[m]</v>
      </c>
    </row>
    <row r="15">
      <c r="A15">
        <f>IFERROR(__xludf.DUMMYFUNCTION("""COMPUTED_VALUE"""),14.0)</f>
        <v>14</v>
      </c>
      <c r="B15" t="str">
        <f>IFERROR(__xludf.DUMMYFUNCTION("""COMPUTED_VALUE"""),"*Franklin Pierce*
(1804-1869)
NH")</f>
        <v>*Franklin Pierce*
(1804-1869)
NH</v>
      </c>
      <c r="D15" s="13">
        <f>IFERROR(__xludf.DUMMYFUNCTION("""COMPUTED_VALUE"""),-17102.0)</f>
        <v>-17102</v>
      </c>
      <c r="E15" s="13">
        <f>IFERROR(__xludf.DUMMYFUNCTION("""COMPUTED_VALUE"""),-15641.0)</f>
        <v>-15641</v>
      </c>
      <c r="G15" t="str">
        <f>IFERROR(__xludf.DUMMYFUNCTION("""COMPUTED_VALUE"""),"Démocrate")</f>
        <v>Démocrate</v>
      </c>
      <c r="H15" t="str">
        <f>IFERROR(__xludf.DUMMYFUNCTION("""COMPUTED_VALUE"""),"[n]")</f>
        <v>[n]</v>
      </c>
    </row>
    <row r="16">
      <c r="A16">
        <f>IFERROR(__xludf.DUMMYFUNCTION("""COMPUTED_VALUE"""),15.0)</f>
        <v>15</v>
      </c>
      <c r="B16" t="str">
        <f>IFERROR(__xludf.DUMMYFUNCTION("""COMPUTED_VALUE"""),"*James Buchanan*
(1791-1868)
PA")</f>
        <v>*James Buchanan*
(1791-1868)
PA</v>
      </c>
      <c r="D16" s="13">
        <f>IFERROR(__xludf.DUMMYFUNCTION("""COMPUTED_VALUE"""),-15641.0)</f>
        <v>-15641</v>
      </c>
      <c r="E16" s="13">
        <f>IFERROR(__xludf.DUMMYFUNCTION("""COMPUTED_VALUE"""),-14180.0)</f>
        <v>-14180</v>
      </c>
      <c r="G16" t="str">
        <f>IFERROR(__xludf.DUMMYFUNCTION("""COMPUTED_VALUE"""),"Démocrate")</f>
        <v>Démocrate</v>
      </c>
      <c r="H16" t="str">
        <f>IFERROR(__xludf.DUMMYFUNCTION("""COMPUTED_VALUE"""),"[o]")</f>
        <v>[o]</v>
      </c>
    </row>
    <row r="17">
      <c r="A17">
        <f>IFERROR(__xludf.DUMMYFUNCTION("""COMPUTED_VALUE"""),16.0)</f>
        <v>16</v>
      </c>
      <c r="B17" t="str">
        <f>IFERROR(__xludf.DUMMYFUNCTION("""COMPUTED_VALUE"""),"*Abraham Lincoln*
(1809-1865)
IL")</f>
        <v>*Abraham Lincoln*
(1809-1865)
IL</v>
      </c>
      <c r="D17" s="13">
        <f>IFERROR(__xludf.DUMMYFUNCTION("""COMPUTED_VALUE"""),-14180.0)</f>
        <v>-14180</v>
      </c>
      <c r="E17" s="13">
        <f>IFERROR(__xludf.DUMMYFUNCTION("""COMPUTED_VALUE"""),-12677.0)</f>
        <v>-12677</v>
      </c>
      <c r="G17" t="str">
        <f>IFERROR(__xludf.DUMMYFUNCTION("""COMPUTED_VALUE"""),"Républicain
------------------------------
Union (en)")</f>
        <v>Républicain
------------------------------
Union (en)</v>
      </c>
      <c r="H17" t="str">
        <f>IFERROR(__xludf.DUMMYFUNCTION("""COMPUTED_VALUE"""),"[p]")</f>
        <v>[p]</v>
      </c>
    </row>
    <row r="18">
      <c r="A18">
        <f>IFERROR(__xludf.DUMMYFUNCTION("""COMPUTED_VALUE"""),17.0)</f>
        <v>17</v>
      </c>
      <c r="B18" t="str">
        <f>IFERROR(__xludf.DUMMYFUNCTION("""COMPUTED_VALUE"""),"*Andrew Johnson*
(1808-1875)
TN")</f>
        <v>*Andrew Johnson*
(1808-1875)
TN</v>
      </c>
      <c r="D18" s="13">
        <f>IFERROR(__xludf.DUMMYFUNCTION("""COMPUTED_VALUE"""),-12677.0)</f>
        <v>-12677</v>
      </c>
      <c r="E18" s="13">
        <f>IFERROR(__xludf.DUMMYFUNCTION("""COMPUTED_VALUE"""),-11258.0)</f>
        <v>-11258</v>
      </c>
      <c r="G18" t="str">
        <f>IFERROR(__xludf.DUMMYFUNCTION("""COMPUTED_VALUE"""),"Union (en)
------------------------------
Démocrate")</f>
        <v>Union (en)
------------------------------
Démocrate</v>
      </c>
      <c r="H18" t="str">
        <f>IFERROR(__xludf.DUMMYFUNCTION("""COMPUTED_VALUE"""),"[q]")</f>
        <v>[q]</v>
      </c>
    </row>
    <row r="19">
      <c r="A19">
        <f>IFERROR(__xludf.DUMMYFUNCTION("""COMPUTED_VALUE"""),18.0)</f>
        <v>18</v>
      </c>
      <c r="B19" t="str">
        <f>IFERROR(__xludf.DUMMYFUNCTION("""COMPUTED_VALUE"""),"*Ulysses S. Grant*
(1822-1885)
IL")</f>
        <v>*Ulysses S. Grant*
(1822-1885)
IL</v>
      </c>
      <c r="D19" s="13">
        <f>IFERROR(__xludf.DUMMYFUNCTION("""COMPUTED_VALUE"""),-11258.0)</f>
        <v>-11258</v>
      </c>
      <c r="E19" s="13">
        <f>IFERROR(__xludf.DUMMYFUNCTION("""COMPUTED_VALUE"""),-8336.0)</f>
        <v>-8336</v>
      </c>
      <c r="G19" t="str">
        <f>IFERROR(__xludf.DUMMYFUNCTION("""COMPUTED_VALUE"""),"Républicain")</f>
        <v>Républicain</v>
      </c>
      <c r="H19" t="str">
        <f>IFERROR(__xludf.DUMMYFUNCTION("""COMPUTED_VALUE"""),"[r]")</f>
        <v>[r]</v>
      </c>
    </row>
    <row r="20">
      <c r="A20">
        <f>IFERROR(__xludf.DUMMYFUNCTION("""COMPUTED_VALUE"""),19.0)</f>
        <v>19</v>
      </c>
      <c r="B20" t="str">
        <f>IFERROR(__xludf.DUMMYFUNCTION("""COMPUTED_VALUE"""),"*Rutherford B. Hayes*
(1822-1893)
OH")</f>
        <v>*Rutherford B. Hayes*
(1822-1893)
OH</v>
      </c>
      <c r="D20" s="13">
        <f>IFERROR(__xludf.DUMMYFUNCTION("""COMPUTED_VALUE"""),-8336.0)</f>
        <v>-8336</v>
      </c>
      <c r="E20" s="13">
        <f>IFERROR(__xludf.DUMMYFUNCTION("""COMPUTED_VALUE"""),-6875.0)</f>
        <v>-6875</v>
      </c>
      <c r="G20" t="str">
        <f>IFERROR(__xludf.DUMMYFUNCTION("""COMPUTED_VALUE"""),"Républicain")</f>
        <v>Républicain</v>
      </c>
      <c r="H20" t="str">
        <f>IFERROR(__xludf.DUMMYFUNCTION("""COMPUTED_VALUE"""),"[s]")</f>
        <v>[s]</v>
      </c>
    </row>
    <row r="21">
      <c r="A21">
        <f>IFERROR(__xludf.DUMMYFUNCTION("""COMPUTED_VALUE"""),20.0)</f>
        <v>20</v>
      </c>
      <c r="B21" t="str">
        <f>IFERROR(__xludf.DUMMYFUNCTION("""COMPUTED_VALUE"""),"*James A. Garfield*
(1831-1881)
OH")</f>
        <v>*James A. Garfield*
(1831-1881)
OH</v>
      </c>
      <c r="D21" s="13">
        <f>IFERROR(__xludf.DUMMYFUNCTION("""COMPUTED_VALUE"""),-6875.0)</f>
        <v>-6875</v>
      </c>
      <c r="E21" s="13">
        <f>IFERROR(__xludf.DUMMYFUNCTION("""COMPUTED_VALUE"""),-6676.0)</f>
        <v>-6676</v>
      </c>
      <c r="G21" t="str">
        <f>IFERROR(__xludf.DUMMYFUNCTION("""COMPUTED_VALUE"""),"Républicain")</f>
        <v>Républicain</v>
      </c>
      <c r="H21" t="str">
        <f>IFERROR(__xludf.DUMMYFUNCTION("""COMPUTED_VALUE"""),"[t]")</f>
        <v>[t]</v>
      </c>
    </row>
    <row r="22">
      <c r="A22">
        <f>IFERROR(__xludf.DUMMYFUNCTION("""COMPUTED_VALUE"""),21.0)</f>
        <v>21</v>
      </c>
      <c r="B22" t="str">
        <f>IFERROR(__xludf.DUMMYFUNCTION("""COMPUTED_VALUE"""),"*Chester A. Arthur*
(1829-1886)
NY")</f>
        <v>*Chester A. Arthur*
(1829-1886)
NY</v>
      </c>
      <c r="D22" s="13">
        <f>IFERROR(__xludf.DUMMYFUNCTION("""COMPUTED_VALUE"""),-6676.0)</f>
        <v>-6676</v>
      </c>
      <c r="E22" s="13">
        <f>IFERROR(__xludf.DUMMYFUNCTION("""COMPUTED_VALUE"""),-5414.0)</f>
        <v>-5414</v>
      </c>
      <c r="G22" t="str">
        <f>IFERROR(__xludf.DUMMYFUNCTION("""COMPUTED_VALUE"""),"Républicain")</f>
        <v>Républicain</v>
      </c>
      <c r="H22" t="str">
        <f>IFERROR(__xludf.DUMMYFUNCTION("""COMPUTED_VALUE"""),"[u]")</f>
        <v>[u]</v>
      </c>
    </row>
    <row r="23">
      <c r="A23">
        <f>IFERROR(__xludf.DUMMYFUNCTION("""COMPUTED_VALUE"""),22.0)</f>
        <v>22</v>
      </c>
      <c r="B23" t="str">
        <f>IFERROR(__xludf.DUMMYFUNCTION("""COMPUTED_VALUE"""),"*Grover Cleveland*
(1837-1908)
NY
*1re fois*")</f>
        <v>*Grover Cleveland*
(1837-1908)
NY
*1re fois*</v>
      </c>
      <c r="D23" s="13">
        <f>IFERROR(__xludf.DUMMYFUNCTION("""COMPUTED_VALUE"""),-5414.0)</f>
        <v>-5414</v>
      </c>
      <c r="E23" s="13">
        <f>IFERROR(__xludf.DUMMYFUNCTION("""COMPUTED_VALUE"""),-3953.0)</f>
        <v>-3953</v>
      </c>
      <c r="G23" t="str">
        <f>IFERROR(__xludf.DUMMYFUNCTION("""COMPUTED_VALUE"""),"Démocrate")</f>
        <v>Démocrate</v>
      </c>
      <c r="H23" t="str">
        <f>IFERROR(__xludf.DUMMYFUNCTION("""COMPUTED_VALUE"""),"[v]")</f>
        <v>[v]</v>
      </c>
    </row>
    <row r="24">
      <c r="A24">
        <f>IFERROR(__xludf.DUMMYFUNCTION("""COMPUTED_VALUE"""),23.0)</f>
        <v>23</v>
      </c>
      <c r="B24" t="str">
        <f>IFERROR(__xludf.DUMMYFUNCTION("""COMPUTED_VALUE"""),"*Benjamin Harrison*
(1833-1901)
IN")</f>
        <v>*Benjamin Harrison*
(1833-1901)
IN</v>
      </c>
      <c r="D24" s="13">
        <f>IFERROR(__xludf.DUMMYFUNCTION("""COMPUTED_VALUE"""),-3953.0)</f>
        <v>-3953</v>
      </c>
      <c r="E24" s="13">
        <f>IFERROR(__xludf.DUMMYFUNCTION("""COMPUTED_VALUE"""),-2492.0)</f>
        <v>-2492</v>
      </c>
      <c r="G24" t="str">
        <f>IFERROR(__xludf.DUMMYFUNCTION("""COMPUTED_VALUE"""),"Républicain")</f>
        <v>Républicain</v>
      </c>
      <c r="H24" t="str">
        <f>IFERROR(__xludf.DUMMYFUNCTION("""COMPUTED_VALUE"""),"[w]")</f>
        <v>[w]</v>
      </c>
    </row>
    <row r="25">
      <c r="A25">
        <f>IFERROR(__xludf.DUMMYFUNCTION("""COMPUTED_VALUE"""),24.0)</f>
        <v>24</v>
      </c>
      <c r="B25" t="str">
        <f>IFERROR(__xludf.DUMMYFUNCTION("""COMPUTED_VALUE"""),"*Grover Cleveland*
(1837-1908)
NY
*2de fois*")</f>
        <v>*Grover Cleveland*
(1837-1908)
NY
*2de fois*</v>
      </c>
      <c r="D25" s="13">
        <f>IFERROR(__xludf.DUMMYFUNCTION("""COMPUTED_VALUE"""),-2492.0)</f>
        <v>-2492</v>
      </c>
      <c r="E25" s="13">
        <f>IFERROR(__xludf.DUMMYFUNCTION("""COMPUTED_VALUE"""),-1031.0)</f>
        <v>-1031</v>
      </c>
      <c r="G25" t="str">
        <f>IFERROR(__xludf.DUMMYFUNCTION("""COMPUTED_VALUE"""),"Démocrate")</f>
        <v>Démocrate</v>
      </c>
      <c r="H25" t="str">
        <f>IFERROR(__xludf.DUMMYFUNCTION("""COMPUTED_VALUE"""),"[x]")</f>
        <v>[x]</v>
      </c>
    </row>
    <row r="26">
      <c r="A26">
        <f>IFERROR(__xludf.DUMMYFUNCTION("""COMPUTED_VALUE"""),25.0)</f>
        <v>25</v>
      </c>
      <c r="B26" t="str">
        <f>IFERROR(__xludf.DUMMYFUNCTION("""COMPUTED_VALUE"""),"*William McKinley*
(1843-1901)
OH")</f>
        <v>*William McKinley*
(1843-1901)
OH</v>
      </c>
      <c r="D26" s="13">
        <f>IFERROR(__xludf.DUMMYFUNCTION("""COMPUTED_VALUE"""),-1031.0)</f>
        <v>-1031</v>
      </c>
      <c r="E26" s="13">
        <f>IFERROR(__xludf.DUMMYFUNCTION("""COMPUTED_VALUE"""),623.0)</f>
        <v>623</v>
      </c>
      <c r="G26" t="str">
        <f>IFERROR(__xludf.DUMMYFUNCTION("""COMPUTED_VALUE"""),"Républicain")</f>
        <v>Républicain</v>
      </c>
      <c r="H26" t="str">
        <f>IFERROR(__xludf.DUMMYFUNCTION("""COMPUTED_VALUE"""),"[y]")</f>
        <v>[y]</v>
      </c>
    </row>
    <row r="27">
      <c r="A27">
        <f>IFERROR(__xludf.DUMMYFUNCTION("""COMPUTED_VALUE"""),26.0)</f>
        <v>26</v>
      </c>
      <c r="B27" t="str">
        <f>IFERROR(__xludf.DUMMYFUNCTION("""COMPUTED_VALUE"""),"*Theodore Roosevelt*
(1858-1919)
NY")</f>
        <v>*Theodore Roosevelt*
(1858-1919)
NY</v>
      </c>
      <c r="D27" s="13">
        <f>IFERROR(__xludf.DUMMYFUNCTION("""COMPUTED_VALUE"""),623.0)</f>
        <v>623</v>
      </c>
      <c r="E27" s="13">
        <f>IFERROR(__xludf.DUMMYFUNCTION("""COMPUTED_VALUE"""),3351.0)</f>
        <v>3351</v>
      </c>
      <c r="G27" t="str">
        <f>IFERROR(__xludf.DUMMYFUNCTION("""COMPUTED_VALUE"""),"Républicain")</f>
        <v>Républicain</v>
      </c>
      <c r="H27" t="str">
        <f>IFERROR(__xludf.DUMMYFUNCTION("""COMPUTED_VALUE"""),"[z]")</f>
        <v>[z]</v>
      </c>
    </row>
    <row r="28">
      <c r="A28">
        <f>IFERROR(__xludf.DUMMYFUNCTION("""COMPUTED_VALUE"""),27.0)</f>
        <v>27</v>
      </c>
      <c r="B28" t="str">
        <f>IFERROR(__xludf.DUMMYFUNCTION("""COMPUTED_VALUE"""),"*William H. Taft*
(1857-1930)
OH")</f>
        <v>*William H. Taft*
(1857-1930)
OH</v>
      </c>
      <c r="D28" s="13">
        <f>IFERROR(__xludf.DUMMYFUNCTION("""COMPUTED_VALUE"""),3351.0)</f>
        <v>3351</v>
      </c>
      <c r="E28" s="13">
        <f>IFERROR(__xludf.DUMMYFUNCTION("""COMPUTED_VALUE"""),4812.0)</f>
        <v>4812</v>
      </c>
      <c r="G28" t="str">
        <f>IFERROR(__xludf.DUMMYFUNCTION("""COMPUTED_VALUE"""),"Républicain")</f>
        <v>Républicain</v>
      </c>
      <c r="H28" t="str">
        <f>IFERROR(__xludf.DUMMYFUNCTION("""COMPUTED_VALUE"""),"[aa]")</f>
        <v>[aa]</v>
      </c>
    </row>
    <row r="29">
      <c r="A29">
        <f>IFERROR(__xludf.DUMMYFUNCTION("""COMPUTED_VALUE"""),28.0)</f>
        <v>28</v>
      </c>
      <c r="B29" t="str">
        <f>IFERROR(__xludf.DUMMYFUNCTION("""COMPUTED_VALUE"""),"*Woodrow Wilson*
(1856-1924)
NJ")</f>
        <v>*Woodrow Wilson*
(1856-1924)
NJ</v>
      </c>
      <c r="D29" s="13">
        <f>IFERROR(__xludf.DUMMYFUNCTION("""COMPUTED_VALUE"""),4812.0)</f>
        <v>4812</v>
      </c>
      <c r="E29" s="13">
        <f>IFERROR(__xludf.DUMMYFUNCTION("""COMPUTED_VALUE"""),7734.0)</f>
        <v>7734</v>
      </c>
      <c r="G29" t="str">
        <f>IFERROR(__xludf.DUMMYFUNCTION("""COMPUTED_VALUE"""),"Démocrate")</f>
        <v>Démocrate</v>
      </c>
      <c r="H29" t="str">
        <f>IFERROR(__xludf.DUMMYFUNCTION("""COMPUTED_VALUE"""),"[ab]")</f>
        <v>[ab]</v>
      </c>
    </row>
    <row r="30">
      <c r="A30">
        <f>IFERROR(__xludf.DUMMYFUNCTION("""COMPUTED_VALUE"""),29.0)</f>
        <v>29</v>
      </c>
      <c r="B30" t="str">
        <f>IFERROR(__xludf.DUMMYFUNCTION("""COMPUTED_VALUE"""),"*Warren G. Harding*
(1865-1923)
OH")</f>
        <v>*Warren G. Harding*
(1865-1923)
OH</v>
      </c>
      <c r="D30" s="13">
        <f>IFERROR(__xludf.DUMMYFUNCTION("""COMPUTED_VALUE"""),7734.0)</f>
        <v>7734</v>
      </c>
      <c r="E30" s="13">
        <f>IFERROR(__xludf.DUMMYFUNCTION("""COMPUTED_VALUE"""),8615.0)</f>
        <v>8615</v>
      </c>
      <c r="G30" t="str">
        <f>IFERROR(__xludf.DUMMYFUNCTION("""COMPUTED_VALUE"""),"Républicain")</f>
        <v>Républicain</v>
      </c>
      <c r="H30" t="str">
        <f>IFERROR(__xludf.DUMMYFUNCTION("""COMPUTED_VALUE"""),"[ac]")</f>
        <v>[ac]</v>
      </c>
    </row>
    <row r="31">
      <c r="A31">
        <f>IFERROR(__xludf.DUMMYFUNCTION("""COMPUTED_VALUE"""),30.0)</f>
        <v>30</v>
      </c>
      <c r="B31" t="str">
        <f>IFERROR(__xludf.DUMMYFUNCTION("""COMPUTED_VALUE"""),"*Calvin Coolidge*
(1872-1933)
MA")</f>
        <v>*Calvin Coolidge*
(1872-1933)
MA</v>
      </c>
      <c r="D31" s="13">
        <f>IFERROR(__xludf.DUMMYFUNCTION("""COMPUTED_VALUE"""),8615.0)</f>
        <v>8615</v>
      </c>
      <c r="E31" s="13">
        <f>IFERROR(__xludf.DUMMYFUNCTION("""COMPUTED_VALUE"""),10656.0)</f>
        <v>10656</v>
      </c>
      <c r="G31" t="str">
        <f>IFERROR(__xludf.DUMMYFUNCTION("""COMPUTED_VALUE"""),"Républicain")</f>
        <v>Républicain</v>
      </c>
      <c r="H31" t="str">
        <f>IFERROR(__xludf.DUMMYFUNCTION("""COMPUTED_VALUE"""),"[ad]")</f>
        <v>[ad]</v>
      </c>
    </row>
    <row r="32">
      <c r="A32">
        <f>IFERROR(__xludf.DUMMYFUNCTION("""COMPUTED_VALUE"""),31.0)</f>
        <v>31</v>
      </c>
      <c r="B32" t="str">
        <f>IFERROR(__xludf.DUMMYFUNCTION("""COMPUTED_VALUE"""),"*Herbert Hoover*
(1874-1964)
CA")</f>
        <v>*Herbert Hoover*
(1874-1964)
CA</v>
      </c>
      <c r="D32" s="13">
        <f>IFERROR(__xludf.DUMMYFUNCTION("""COMPUTED_VALUE"""),10656.0)</f>
        <v>10656</v>
      </c>
      <c r="E32" s="13">
        <f>IFERROR(__xludf.DUMMYFUNCTION("""COMPUTED_VALUE"""),12117.0)</f>
        <v>12117</v>
      </c>
      <c r="G32" t="str">
        <f>IFERROR(__xludf.DUMMYFUNCTION("""COMPUTED_VALUE"""),"Républicain")</f>
        <v>Républicain</v>
      </c>
      <c r="H32" t="str">
        <f>IFERROR(__xludf.DUMMYFUNCTION("""COMPUTED_VALUE"""),"[ae]")</f>
        <v>[ae]</v>
      </c>
    </row>
    <row r="33">
      <c r="A33">
        <f>IFERROR(__xludf.DUMMYFUNCTION("""COMPUTED_VALUE"""),32.0)</f>
        <v>32</v>
      </c>
      <c r="B33" t="str">
        <f>IFERROR(__xludf.DUMMYFUNCTION("""COMPUTED_VALUE"""),"*Franklin Delano Roosevelt*
(1882-1945)
NY")</f>
        <v>*Franklin Delano Roosevelt*
(1882-1945)
NY</v>
      </c>
      <c r="D33" s="13">
        <f>IFERROR(__xludf.DUMMYFUNCTION("""COMPUTED_VALUE"""),12117.0)</f>
        <v>12117</v>
      </c>
      <c r="E33" s="13">
        <f>IFERROR(__xludf.DUMMYFUNCTION("""COMPUTED_VALUE"""),16539.0)</f>
        <v>16539</v>
      </c>
      <c r="G33" t="str">
        <f>IFERROR(__xludf.DUMMYFUNCTION("""COMPUTED_VALUE"""),"Démocrate")</f>
        <v>Démocrate</v>
      </c>
      <c r="H33" t="str">
        <f>IFERROR(__xludf.DUMMYFUNCTION("""COMPUTED_VALUE"""),"[af]")</f>
        <v>[af]</v>
      </c>
    </row>
    <row r="34">
      <c r="A34">
        <f>IFERROR(__xludf.DUMMYFUNCTION("""COMPUTED_VALUE"""),33.0)</f>
        <v>33</v>
      </c>
      <c r="B34" t="str">
        <f>IFERROR(__xludf.DUMMYFUNCTION("""COMPUTED_VALUE"""),"*Harry S. Truman*
(1884-1972)
MO")</f>
        <v>*Harry S. Truman*
(1884-1972)
MO</v>
      </c>
      <c r="D34" s="13">
        <f>IFERROR(__xludf.DUMMYFUNCTION("""COMPUTED_VALUE"""),16539.0)</f>
        <v>16539</v>
      </c>
      <c r="E34" s="13">
        <f>IFERROR(__xludf.DUMMYFUNCTION("""COMPUTED_VALUE"""),19379.0)</f>
        <v>19379</v>
      </c>
      <c r="G34" t="str">
        <f>IFERROR(__xludf.DUMMYFUNCTION("""COMPUTED_VALUE"""),"Démocrate")</f>
        <v>Démocrate</v>
      </c>
      <c r="H34" t="str">
        <f>IFERROR(__xludf.DUMMYFUNCTION("""COMPUTED_VALUE"""),"[ag]")</f>
        <v>[ag]</v>
      </c>
    </row>
    <row r="35">
      <c r="A35">
        <f>IFERROR(__xludf.DUMMYFUNCTION("""COMPUTED_VALUE"""),34.0)</f>
        <v>34</v>
      </c>
      <c r="B35" t="str">
        <f>IFERROR(__xludf.DUMMYFUNCTION("""COMPUTED_VALUE"""),"*Dwight D. Eisenhower*
(1890-1969)
KS")</f>
        <v>*Dwight D. Eisenhower*
(1890-1969)
KS</v>
      </c>
      <c r="D35" s="13">
        <f>IFERROR(__xludf.DUMMYFUNCTION("""COMPUTED_VALUE"""),19379.0)</f>
        <v>19379</v>
      </c>
      <c r="E35" s="13">
        <f>IFERROR(__xludf.DUMMYFUNCTION("""COMPUTED_VALUE"""),22301.0)</f>
        <v>22301</v>
      </c>
      <c r="G35" t="str">
        <f>IFERROR(__xludf.DUMMYFUNCTION("""COMPUTED_VALUE"""),"Républicain")</f>
        <v>Républicain</v>
      </c>
      <c r="H35" t="str">
        <f>IFERROR(__xludf.DUMMYFUNCTION("""COMPUTED_VALUE"""),"[ah]")</f>
        <v>[ah]</v>
      </c>
    </row>
    <row r="36">
      <c r="A36">
        <f>IFERROR(__xludf.DUMMYFUNCTION("""COMPUTED_VALUE"""),35.0)</f>
        <v>35</v>
      </c>
      <c r="B36" t="str">
        <f>IFERROR(__xludf.DUMMYFUNCTION("""COMPUTED_VALUE"""),"*John Fitzgerald Kennedy*
(1917-1963)
MA")</f>
        <v>*John Fitzgerald Kennedy*
(1917-1963)
MA</v>
      </c>
      <c r="D36" s="13">
        <f>IFERROR(__xludf.DUMMYFUNCTION("""COMPUTED_VALUE"""),22301.0)</f>
        <v>22301</v>
      </c>
      <c r="E36" s="13">
        <f>IFERROR(__xludf.DUMMYFUNCTION("""COMPUTED_VALUE"""),23337.0)</f>
        <v>23337</v>
      </c>
      <c r="G36" t="str">
        <f>IFERROR(__xludf.DUMMYFUNCTION("""COMPUTED_VALUE"""),"Démocrate")</f>
        <v>Démocrate</v>
      </c>
      <c r="H36" t="str">
        <f>IFERROR(__xludf.DUMMYFUNCTION("""COMPUTED_VALUE"""),"[ai]")</f>
        <v>[ai]</v>
      </c>
    </row>
    <row r="37">
      <c r="A37">
        <f>IFERROR(__xludf.DUMMYFUNCTION("""COMPUTED_VALUE"""),36.0)</f>
        <v>36</v>
      </c>
      <c r="B37" t="str">
        <f>IFERROR(__xludf.DUMMYFUNCTION("""COMPUTED_VALUE"""),"*Lyndon B. Johnson*
(1908-1973)
TX")</f>
        <v>*Lyndon B. Johnson*
(1908-1973)
TX</v>
      </c>
      <c r="D37" s="13">
        <f>IFERROR(__xludf.DUMMYFUNCTION("""COMPUTED_VALUE"""),23337.0)</f>
        <v>23337</v>
      </c>
      <c r="E37" s="13">
        <f>IFERROR(__xludf.DUMMYFUNCTION("""COMPUTED_VALUE"""),25223.0)</f>
        <v>25223</v>
      </c>
      <c r="G37" t="str">
        <f>IFERROR(__xludf.DUMMYFUNCTION("""COMPUTED_VALUE"""),"Démocrate")</f>
        <v>Démocrate</v>
      </c>
      <c r="H37" t="str">
        <f>IFERROR(__xludf.DUMMYFUNCTION("""COMPUTED_VALUE"""),"[aj]")</f>
        <v>[aj]</v>
      </c>
    </row>
    <row r="38">
      <c r="A38">
        <f>IFERROR(__xludf.DUMMYFUNCTION("""COMPUTED_VALUE"""),37.0)</f>
        <v>37</v>
      </c>
      <c r="B38" t="str">
        <f>IFERROR(__xludf.DUMMYFUNCTION("""COMPUTED_VALUE"""),"*Richard Nixon*
(1913-1994)
CA")</f>
        <v>*Richard Nixon*
(1913-1994)
CA</v>
      </c>
      <c r="D38" s="13">
        <f>IFERROR(__xludf.DUMMYFUNCTION("""COMPUTED_VALUE"""),25223.0)</f>
        <v>25223</v>
      </c>
      <c r="E38" s="13">
        <f>IFERROR(__xludf.DUMMYFUNCTION("""COMPUTED_VALUE"""),27250.0)</f>
        <v>27250</v>
      </c>
      <c r="G38" t="str">
        <f>IFERROR(__xludf.DUMMYFUNCTION("""COMPUTED_VALUE"""),"Républicain")</f>
        <v>Républicain</v>
      </c>
      <c r="H38" t="str">
        <f>IFERROR(__xludf.DUMMYFUNCTION("""COMPUTED_VALUE"""),"[ak]")</f>
        <v>[ak]</v>
      </c>
    </row>
    <row r="39">
      <c r="A39">
        <f>IFERROR(__xludf.DUMMYFUNCTION("""COMPUTED_VALUE"""),38.0)</f>
        <v>38</v>
      </c>
      <c r="B39" t="str">
        <f>IFERROR(__xludf.DUMMYFUNCTION("""COMPUTED_VALUE"""),"*Gerald Ford*
(1913-2006)
MI")</f>
        <v>*Gerald Ford*
(1913-2006)
MI</v>
      </c>
      <c r="D39" s="13">
        <f>IFERROR(__xludf.DUMMYFUNCTION("""COMPUTED_VALUE"""),27250.0)</f>
        <v>27250</v>
      </c>
      <c r="E39" s="13">
        <f>IFERROR(__xludf.DUMMYFUNCTION("""COMPUTED_VALUE"""),28145.0)</f>
        <v>28145</v>
      </c>
      <c r="G39" t="str">
        <f>IFERROR(__xludf.DUMMYFUNCTION("""COMPUTED_VALUE"""),"Républicain")</f>
        <v>Républicain</v>
      </c>
      <c r="H39" t="str">
        <f>IFERROR(__xludf.DUMMYFUNCTION("""COMPUTED_VALUE"""),"[al]")</f>
        <v>[al]</v>
      </c>
    </row>
    <row r="40">
      <c r="A40">
        <f>IFERROR(__xludf.DUMMYFUNCTION("""COMPUTED_VALUE"""),39.0)</f>
        <v>39</v>
      </c>
      <c r="B40" t="str">
        <f>IFERROR(__xludf.DUMMYFUNCTION("""COMPUTED_VALUE"""),"*Jimmy Carter*
(1924-2024)
GA")</f>
        <v>*Jimmy Carter*
(1924-2024)
GA</v>
      </c>
      <c r="D40" s="13">
        <f>IFERROR(__xludf.DUMMYFUNCTION("""COMPUTED_VALUE"""),28145.0)</f>
        <v>28145</v>
      </c>
      <c r="E40" s="13">
        <f>IFERROR(__xludf.DUMMYFUNCTION("""COMPUTED_VALUE"""),29606.0)</f>
        <v>29606</v>
      </c>
      <c r="G40" t="str">
        <f>IFERROR(__xludf.DUMMYFUNCTION("""COMPUTED_VALUE"""),"Démocrate")</f>
        <v>Démocrate</v>
      </c>
      <c r="H40" t="str">
        <f>IFERROR(__xludf.DUMMYFUNCTION("""COMPUTED_VALUE"""),"[am]")</f>
        <v>[am]</v>
      </c>
    </row>
    <row r="41">
      <c r="A41">
        <f>IFERROR(__xludf.DUMMYFUNCTION("""COMPUTED_VALUE"""),40.0)</f>
        <v>40</v>
      </c>
      <c r="B41" t="str">
        <f>IFERROR(__xludf.DUMMYFUNCTION("""COMPUTED_VALUE"""),"*Ronald Reagan*
(1911-2004)
CA")</f>
        <v>*Ronald Reagan*
(1911-2004)
CA</v>
      </c>
      <c r="D41" s="13">
        <f>IFERROR(__xludf.DUMMYFUNCTION("""COMPUTED_VALUE"""),29606.0)</f>
        <v>29606</v>
      </c>
      <c r="E41" s="13">
        <f>IFERROR(__xludf.DUMMYFUNCTION("""COMPUTED_VALUE"""),32528.0)</f>
        <v>32528</v>
      </c>
      <c r="G41" t="str">
        <f>IFERROR(__xludf.DUMMYFUNCTION("""COMPUTED_VALUE"""),"Républicain")</f>
        <v>Républicain</v>
      </c>
      <c r="H41" t="str">
        <f>IFERROR(__xludf.DUMMYFUNCTION("""COMPUTED_VALUE"""),"[an]")</f>
        <v>[an]</v>
      </c>
    </row>
    <row r="42">
      <c r="A42">
        <f>IFERROR(__xludf.DUMMYFUNCTION("""COMPUTED_VALUE"""),41.0)</f>
        <v>41</v>
      </c>
      <c r="B42" t="str">
        <f>IFERROR(__xludf.DUMMYFUNCTION("""COMPUTED_VALUE"""),"*George H. W. Bush*
(1924-2018)
TX")</f>
        <v>*George H. W. Bush*
(1924-2018)
TX</v>
      </c>
      <c r="D42" s="13">
        <f>IFERROR(__xludf.DUMMYFUNCTION("""COMPUTED_VALUE"""),32528.0)</f>
        <v>32528</v>
      </c>
      <c r="E42" s="13">
        <f>IFERROR(__xludf.DUMMYFUNCTION("""COMPUTED_VALUE"""),33989.0)</f>
        <v>33989</v>
      </c>
      <c r="G42" t="str">
        <f>IFERROR(__xludf.DUMMYFUNCTION("""COMPUTED_VALUE"""),"Républicain")</f>
        <v>Républicain</v>
      </c>
      <c r="H42" t="str">
        <f>IFERROR(__xludf.DUMMYFUNCTION("""COMPUTED_VALUE"""),"[ao]")</f>
        <v>[ao]</v>
      </c>
    </row>
    <row r="43">
      <c r="A43">
        <f>IFERROR(__xludf.DUMMYFUNCTION("""COMPUTED_VALUE"""),42.0)</f>
        <v>42</v>
      </c>
      <c r="B43" t="str">
        <f>IFERROR(__xludf.DUMMYFUNCTION("""COMPUTED_VALUE"""),"*Bill Clinton*
(né en 1946)
AR")</f>
        <v>*Bill Clinton*
(né en 1946)
AR</v>
      </c>
      <c r="D43" s="13">
        <f>IFERROR(__xludf.DUMMYFUNCTION("""COMPUTED_VALUE"""),33989.0)</f>
        <v>33989</v>
      </c>
      <c r="E43" s="13">
        <f>IFERROR(__xludf.DUMMYFUNCTION("""COMPUTED_VALUE"""),36911.0)</f>
        <v>36911</v>
      </c>
      <c r="G43" t="str">
        <f>IFERROR(__xludf.DUMMYFUNCTION("""COMPUTED_VALUE"""),"Démocrate")</f>
        <v>Démocrate</v>
      </c>
      <c r="H43" t="str">
        <f>IFERROR(__xludf.DUMMYFUNCTION("""COMPUTED_VALUE"""),"[ap]")</f>
        <v>[ap]</v>
      </c>
    </row>
    <row r="44">
      <c r="A44">
        <f>IFERROR(__xludf.DUMMYFUNCTION("""COMPUTED_VALUE"""),43.0)</f>
        <v>43</v>
      </c>
      <c r="B44" t="str">
        <f>IFERROR(__xludf.DUMMYFUNCTION("""COMPUTED_VALUE"""),"*George W. Bush*
(né en 1946)
TX")</f>
        <v>*George W. Bush*
(né en 1946)
TX</v>
      </c>
      <c r="D44" s="13">
        <f>IFERROR(__xludf.DUMMYFUNCTION("""COMPUTED_VALUE"""),36911.0)</f>
        <v>36911</v>
      </c>
      <c r="E44" s="13">
        <f>IFERROR(__xludf.DUMMYFUNCTION("""COMPUTED_VALUE"""),39833.0)</f>
        <v>39833</v>
      </c>
      <c r="G44" t="str">
        <f>IFERROR(__xludf.DUMMYFUNCTION("""COMPUTED_VALUE"""),"Républicain")</f>
        <v>Républicain</v>
      </c>
      <c r="H44" t="str">
        <f>IFERROR(__xludf.DUMMYFUNCTION("""COMPUTED_VALUE"""),"[aq]")</f>
        <v>[aq]</v>
      </c>
    </row>
    <row r="45">
      <c r="A45">
        <f>IFERROR(__xludf.DUMMYFUNCTION("""COMPUTED_VALUE"""),44.0)</f>
        <v>44</v>
      </c>
      <c r="B45" t="str">
        <f>IFERROR(__xludf.DUMMYFUNCTION("""COMPUTED_VALUE"""),"*Barack Obama*
(né en 1961)
IL")</f>
        <v>*Barack Obama*
(né en 1961)
IL</v>
      </c>
      <c r="D45" s="13">
        <f>IFERROR(__xludf.DUMMYFUNCTION("""COMPUTED_VALUE"""),39833.0)</f>
        <v>39833</v>
      </c>
      <c r="E45" s="13">
        <f>IFERROR(__xludf.DUMMYFUNCTION("""COMPUTED_VALUE"""),42755.0)</f>
        <v>42755</v>
      </c>
      <c r="G45" t="str">
        <f>IFERROR(__xludf.DUMMYFUNCTION("""COMPUTED_VALUE"""),"Démocrate")</f>
        <v>Démocrate</v>
      </c>
      <c r="H45" t="str">
        <f>IFERROR(__xludf.DUMMYFUNCTION("""COMPUTED_VALUE"""),"[ar]")</f>
        <v>[ar]</v>
      </c>
    </row>
    <row r="46">
      <c r="A46">
        <f>IFERROR(__xludf.DUMMYFUNCTION("""COMPUTED_VALUE"""),45.0)</f>
        <v>45</v>
      </c>
      <c r="B46" t="str">
        <f>IFERROR(__xludf.DUMMYFUNCTION("""COMPUTED_VALUE"""),"*Donald Trump*
(né en 1946)
NY
*1re fois*")</f>
        <v>*Donald Trump*
(né en 1946)
NY
*1re fois*</v>
      </c>
      <c r="D46" s="13">
        <f>IFERROR(__xludf.DUMMYFUNCTION("""COMPUTED_VALUE"""),42755.0)</f>
        <v>42755</v>
      </c>
      <c r="E46" s="13">
        <f>IFERROR(__xludf.DUMMYFUNCTION("""COMPUTED_VALUE"""),44216.0)</f>
        <v>44216</v>
      </c>
      <c r="G46" t="str">
        <f>IFERROR(__xludf.DUMMYFUNCTION("""COMPUTED_VALUE"""),"Républicain")</f>
        <v>Républicain</v>
      </c>
      <c r="H46" t="str">
        <f>IFERROR(__xludf.DUMMYFUNCTION("""COMPUTED_VALUE"""),"[as]")</f>
        <v>[as]</v>
      </c>
    </row>
    <row r="47">
      <c r="A47">
        <f>IFERROR(__xludf.DUMMYFUNCTION("""COMPUTED_VALUE"""),46.0)</f>
        <v>46</v>
      </c>
      <c r="B47" t="str">
        <f>IFERROR(__xludf.DUMMYFUNCTION("""COMPUTED_VALUE"""),"*Joe Biden*
(né en 1942)
PA")</f>
        <v>*Joe Biden*
(né en 1942)
PA</v>
      </c>
      <c r="D47" s="13">
        <f>IFERROR(__xludf.DUMMYFUNCTION("""COMPUTED_VALUE"""),44216.0)</f>
        <v>44216</v>
      </c>
      <c r="E47" s="13">
        <f>IFERROR(__xludf.DUMMYFUNCTION("""COMPUTED_VALUE"""),45677.0)</f>
        <v>45677</v>
      </c>
      <c r="G47" t="str">
        <f>IFERROR(__xludf.DUMMYFUNCTION("""COMPUTED_VALUE"""),"Démocrate")</f>
        <v>Démocrate</v>
      </c>
      <c r="H47" t="str">
        <f>IFERROR(__xludf.DUMMYFUNCTION("""COMPUTED_VALUE"""),"[at]")</f>
        <v>[at]</v>
      </c>
    </row>
    <row r="48">
      <c r="A48">
        <f>IFERROR(__xludf.DUMMYFUNCTION("""COMPUTED_VALUE"""),47.0)</f>
        <v>47</v>
      </c>
      <c r="B48" t="str">
        <f>IFERROR(__xludf.DUMMYFUNCTION("""COMPUTED_VALUE"""),"*Donald Trump*
(né en 1946)
NY
*2de fois*")</f>
        <v>*Donald Trump*
(né en 1946)
NY
*2de fois*</v>
      </c>
      <c r="D48" s="13">
        <f>IFERROR(__xludf.DUMMYFUNCTION("""COMPUTED_VALUE"""),45677.0)</f>
        <v>45677</v>
      </c>
      <c r="E48" t="str">
        <f>IFERROR(__xludf.DUMMYFUNCTION("""COMPUTED_VALUE"""),"*En cours*")</f>
        <v>*En cours*</v>
      </c>
      <c r="G48" t="str">
        <f>IFERROR(__xludf.DUMMYFUNCTION("""COMPUTED_VALUE"""),"Républicain")</f>
        <v>Républicain</v>
      </c>
      <c r="H48" t="str">
        <f>IFERROR(__xludf.DUMMYFUNCTION("""COMPUTED_VALUE"""),"[au]")</f>
        <v>[au]</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IFERROR(__xludf.DUMMYFUNCTION("IMPORTHTML(""https://fr.wikipedia.org/wiki/Liste_des_pr%C3%A9sidents_des_%C3%89tats-Unis"",""table"")"),"N°")</f>
        <v>N°</v>
      </c>
      <c r="B1" t="str">
        <f>IFERROR(__xludf.DUMMYFUNCTION("""COMPUTED_VALUE"""),"Titulaire
(Naissance-Mort)
État d'origine")</f>
        <v>Titulaire
(Naissance-Mort)
État d'origine</v>
      </c>
      <c r="D1" t="str">
        <f>IFERROR(__xludf.DUMMYFUNCTION("""COMPUTED_VALUE"""),"Début de mandat")</f>
        <v>Début de mandat</v>
      </c>
      <c r="E1" t="str">
        <f>IFERROR(__xludf.DUMMYFUNCTION("""COMPUTED_VALUE"""),"Fin de mandat")</f>
        <v>Fin de mandat</v>
      </c>
      <c r="F1" t="str">
        <f>IFERROR(__xludf.DUMMYFUNCTION("""COMPUTED_VALUE"""),"Parti")</f>
        <v>Parti</v>
      </c>
      <c r="H1" t="str">
        <f>IFERROR(__xludf.DUMMYFUNCTION("""COMPUTED_VALUE"""),"Notes")</f>
        <v>Notes</v>
      </c>
    </row>
    <row r="2">
      <c r="A2">
        <f>IFERROR(__xludf.DUMMYFUNCTION("""COMPUTED_VALUE"""),1.0)</f>
        <v>1</v>
      </c>
      <c r="B2" t="str">
        <f>IFERROR(__xludf.DUMMYFUNCTION("""COMPUTED_VALUE"""),"*George Washington*
(1732-1799)
VA")</f>
        <v>*George Washington*
(1732-1799)
VA</v>
      </c>
      <c r="D2" s="13">
        <f>IFERROR(__xludf.DUMMYFUNCTION("""COMPUTED_VALUE"""),-40420.0)</f>
        <v>-40420</v>
      </c>
      <c r="E2" s="13">
        <f>IFERROR(__xludf.DUMMYFUNCTION("""COMPUTED_VALUE"""),-37555.0)</f>
        <v>-37555</v>
      </c>
      <c r="G2" t="str">
        <f>IFERROR(__xludf.DUMMYFUNCTION("""COMPUTED_VALUE"""),"Indépendant")</f>
        <v>Indépendant</v>
      </c>
      <c r="H2" t="str">
        <f>IFERROR(__xludf.DUMMYFUNCTION("""COMPUTED_VALUE"""),"[a]")</f>
        <v>[a]</v>
      </c>
    </row>
    <row r="3">
      <c r="A3">
        <f>IFERROR(__xludf.DUMMYFUNCTION("""COMPUTED_VALUE"""),2.0)</f>
        <v>2</v>
      </c>
      <c r="B3" t="str">
        <f>IFERROR(__xludf.DUMMYFUNCTION("""COMPUTED_VALUE"""),"*John Adams*
(1735-1826)
MA")</f>
        <v>*John Adams*
(1735-1826)
MA</v>
      </c>
      <c r="D3" s="13">
        <f>IFERROR(__xludf.DUMMYFUNCTION("""COMPUTED_VALUE"""),-37555.0)</f>
        <v>-37555</v>
      </c>
      <c r="E3" s="13">
        <f>IFERROR(__xludf.DUMMYFUNCTION("""COMPUTED_VALUE"""),-36095.0)</f>
        <v>-36095</v>
      </c>
      <c r="G3" t="str">
        <f>IFERROR(__xludf.DUMMYFUNCTION("""COMPUTED_VALUE"""),"Fédéraliste")</f>
        <v>Fédéraliste</v>
      </c>
      <c r="H3" t="str">
        <f>IFERROR(__xludf.DUMMYFUNCTION("""COMPUTED_VALUE"""),"[b]")</f>
        <v>[b]</v>
      </c>
    </row>
    <row r="4">
      <c r="A4">
        <f>IFERROR(__xludf.DUMMYFUNCTION("""COMPUTED_VALUE"""),3.0)</f>
        <v>3</v>
      </c>
      <c r="B4" t="str">
        <f>IFERROR(__xludf.DUMMYFUNCTION("""COMPUTED_VALUE"""),"*Thomas Jefferson*
(1743-1826)
VA")</f>
        <v>*Thomas Jefferson*
(1743-1826)
VA</v>
      </c>
      <c r="D4" s="13">
        <f>IFERROR(__xludf.DUMMYFUNCTION("""COMPUTED_VALUE"""),-36095.0)</f>
        <v>-36095</v>
      </c>
      <c r="E4" s="13">
        <f>IFERROR(__xludf.DUMMYFUNCTION("""COMPUTED_VALUE"""),-33173.0)</f>
        <v>-33173</v>
      </c>
      <c r="G4" t="str">
        <f>IFERROR(__xludf.DUMMYFUNCTION("""COMPUTED_VALUE"""),"Républicain-
démocrate")</f>
        <v>Républicain-
démocrate</v>
      </c>
      <c r="H4" t="str">
        <f>IFERROR(__xludf.DUMMYFUNCTION("""COMPUTED_VALUE"""),"[c]")</f>
        <v>[c]</v>
      </c>
    </row>
    <row r="5">
      <c r="A5">
        <f>IFERROR(__xludf.DUMMYFUNCTION("""COMPUTED_VALUE"""),4.0)</f>
        <v>4</v>
      </c>
      <c r="B5" t="str">
        <f>IFERROR(__xludf.DUMMYFUNCTION("""COMPUTED_VALUE"""),"*James Madison*
(1751-1836)
VA")</f>
        <v>*James Madison*
(1751-1836)
VA</v>
      </c>
      <c r="D5" s="13">
        <f>IFERROR(__xludf.DUMMYFUNCTION("""COMPUTED_VALUE"""),-33173.0)</f>
        <v>-33173</v>
      </c>
      <c r="E5" s="13">
        <f>IFERROR(__xludf.DUMMYFUNCTION("""COMPUTED_VALUE"""),-30251.0)</f>
        <v>-30251</v>
      </c>
      <c r="G5" t="str">
        <f>IFERROR(__xludf.DUMMYFUNCTION("""COMPUTED_VALUE"""),"Républicain-
démocrate")</f>
        <v>Républicain-
démocrate</v>
      </c>
      <c r="H5" t="str">
        <f>IFERROR(__xludf.DUMMYFUNCTION("""COMPUTED_VALUE"""),"[d]")</f>
        <v>[d]</v>
      </c>
    </row>
    <row r="6">
      <c r="A6">
        <f>IFERROR(__xludf.DUMMYFUNCTION("""COMPUTED_VALUE"""),5.0)</f>
        <v>5</v>
      </c>
      <c r="B6" t="str">
        <f>IFERROR(__xludf.DUMMYFUNCTION("""COMPUTED_VALUE"""),"*James Monroe*
(1758-1831)
VA")</f>
        <v>*James Monroe*
(1758-1831)
VA</v>
      </c>
      <c r="D6" s="13">
        <f>IFERROR(__xludf.DUMMYFUNCTION("""COMPUTED_VALUE"""),-30251.0)</f>
        <v>-30251</v>
      </c>
      <c r="E6" s="13">
        <f>IFERROR(__xludf.DUMMYFUNCTION("""COMPUTED_VALUE"""),-27329.0)</f>
        <v>-27329</v>
      </c>
      <c r="G6" t="str">
        <f>IFERROR(__xludf.DUMMYFUNCTION("""COMPUTED_VALUE"""),"Républicain-
démocrate")</f>
        <v>Républicain-
démocrate</v>
      </c>
      <c r="H6" t="str">
        <f>IFERROR(__xludf.DUMMYFUNCTION("""COMPUTED_VALUE"""),"[e]")</f>
        <v>[e]</v>
      </c>
    </row>
    <row r="7">
      <c r="A7">
        <f>IFERROR(__xludf.DUMMYFUNCTION("""COMPUTED_VALUE"""),6.0)</f>
        <v>6</v>
      </c>
      <c r="B7" t="str">
        <f>IFERROR(__xludf.DUMMYFUNCTION("""COMPUTED_VALUE"""),"*John Quincy Adams*
(1767-1848)
MA")</f>
        <v>*John Quincy Adams*
(1767-1848)
MA</v>
      </c>
      <c r="D7" s="13">
        <f>IFERROR(__xludf.DUMMYFUNCTION("""COMPUTED_VALUE"""),-27329.0)</f>
        <v>-27329</v>
      </c>
      <c r="E7" s="13">
        <f>IFERROR(__xludf.DUMMYFUNCTION("""COMPUTED_VALUE"""),-25868.0)</f>
        <v>-25868</v>
      </c>
      <c r="G7" t="str">
        <f>IFERROR(__xludf.DUMMYFUNCTION("""COMPUTED_VALUE"""),"Républicain-
démocrate
------------------------------
National-républicain")</f>
        <v>Républicain-
démocrate
------------------------------
National-républicain</v>
      </c>
      <c r="H7" t="str">
        <f>IFERROR(__xludf.DUMMYFUNCTION("""COMPUTED_VALUE"""),"[f]")</f>
        <v>[f]</v>
      </c>
    </row>
    <row r="8">
      <c r="A8">
        <f>IFERROR(__xludf.DUMMYFUNCTION("""COMPUTED_VALUE"""),7.0)</f>
        <v>7</v>
      </c>
      <c r="B8" t="str">
        <f>IFERROR(__xludf.DUMMYFUNCTION("""COMPUTED_VALUE"""),"*Andrew Jackson*
(1767-1845)
TN")</f>
        <v>*Andrew Jackson*
(1767-1845)
TN</v>
      </c>
      <c r="D8" s="13">
        <f>IFERROR(__xludf.DUMMYFUNCTION("""COMPUTED_VALUE"""),-25868.0)</f>
        <v>-25868</v>
      </c>
      <c r="E8" s="13">
        <f>IFERROR(__xludf.DUMMYFUNCTION("""COMPUTED_VALUE"""),-22946.0)</f>
        <v>-22946</v>
      </c>
      <c r="G8" t="str">
        <f>IFERROR(__xludf.DUMMYFUNCTION("""COMPUTED_VALUE"""),"Démocrate")</f>
        <v>Démocrate</v>
      </c>
      <c r="H8" t="str">
        <f>IFERROR(__xludf.DUMMYFUNCTION("""COMPUTED_VALUE"""),"[g]")</f>
        <v>[g]</v>
      </c>
    </row>
    <row r="9">
      <c r="A9">
        <f>IFERROR(__xludf.DUMMYFUNCTION("""COMPUTED_VALUE"""),8.0)</f>
        <v>8</v>
      </c>
      <c r="B9" t="str">
        <f>IFERROR(__xludf.DUMMYFUNCTION("""COMPUTED_VALUE"""),"*Martin Van Buren*
(1782-1862)
NY")</f>
        <v>*Martin Van Buren*
(1782-1862)
NY</v>
      </c>
      <c r="D9" s="13">
        <f>IFERROR(__xludf.DUMMYFUNCTION("""COMPUTED_VALUE"""),-22946.0)</f>
        <v>-22946</v>
      </c>
      <c r="E9" s="13">
        <f>IFERROR(__xludf.DUMMYFUNCTION("""COMPUTED_VALUE"""),-21485.0)</f>
        <v>-21485</v>
      </c>
      <c r="G9" t="str">
        <f>IFERROR(__xludf.DUMMYFUNCTION("""COMPUTED_VALUE"""),"Démocrate")</f>
        <v>Démocrate</v>
      </c>
      <c r="H9" t="str">
        <f>IFERROR(__xludf.DUMMYFUNCTION("""COMPUTED_VALUE"""),"[h]")</f>
        <v>[h]</v>
      </c>
    </row>
    <row r="10">
      <c r="A10">
        <f>IFERROR(__xludf.DUMMYFUNCTION("""COMPUTED_VALUE"""),9.0)</f>
        <v>9</v>
      </c>
      <c r="B10" t="str">
        <f>IFERROR(__xludf.DUMMYFUNCTION("""COMPUTED_VALUE"""),"*William Henry Harrison*
(1773-1841)
OH")</f>
        <v>*William Henry Harrison*
(1773-1841)
OH</v>
      </c>
      <c r="D10" s="13">
        <f>IFERROR(__xludf.DUMMYFUNCTION("""COMPUTED_VALUE"""),-21485.0)</f>
        <v>-21485</v>
      </c>
      <c r="E10" s="13">
        <f>IFERROR(__xludf.DUMMYFUNCTION("""COMPUTED_VALUE"""),-21454.0)</f>
        <v>-21454</v>
      </c>
      <c r="G10" t="str">
        <f>IFERROR(__xludf.DUMMYFUNCTION("""COMPUTED_VALUE"""),"Whig")</f>
        <v>Whig</v>
      </c>
      <c r="H10" t="str">
        <f>IFERROR(__xludf.DUMMYFUNCTION("""COMPUTED_VALUE"""),"[i]")</f>
        <v>[i]</v>
      </c>
    </row>
    <row r="11">
      <c r="A11">
        <f>IFERROR(__xludf.DUMMYFUNCTION("""COMPUTED_VALUE"""),10.0)</f>
        <v>10</v>
      </c>
      <c r="B11" t="str">
        <f>IFERROR(__xludf.DUMMYFUNCTION("""COMPUTED_VALUE"""),"*John Tyler*
(1790-1862)
VA")</f>
        <v>*John Tyler*
(1790-1862)
VA</v>
      </c>
      <c r="D11" s="13">
        <f>IFERROR(__xludf.DUMMYFUNCTION("""COMPUTED_VALUE"""),-21454.0)</f>
        <v>-21454</v>
      </c>
      <c r="E11" s="13">
        <f>IFERROR(__xludf.DUMMYFUNCTION("""COMPUTED_VALUE"""),-20024.0)</f>
        <v>-20024</v>
      </c>
      <c r="G11" t="str">
        <f>IFERROR(__xludf.DUMMYFUNCTION("""COMPUTED_VALUE"""),"Indépendant")</f>
        <v>Indépendant</v>
      </c>
      <c r="H11" t="str">
        <f>IFERROR(__xludf.DUMMYFUNCTION("""COMPUTED_VALUE"""),"[j]")</f>
        <v>[j]</v>
      </c>
    </row>
    <row r="12">
      <c r="A12">
        <f>IFERROR(__xludf.DUMMYFUNCTION("""COMPUTED_VALUE"""),11.0)</f>
        <v>11</v>
      </c>
      <c r="B12" t="str">
        <f>IFERROR(__xludf.DUMMYFUNCTION("""COMPUTED_VALUE"""),"*James K. Polk*
(1795-1849)
TN")</f>
        <v>*James K. Polk*
(1795-1849)
TN</v>
      </c>
      <c r="D12" s="13">
        <f>IFERROR(__xludf.DUMMYFUNCTION("""COMPUTED_VALUE"""),-20024.0)</f>
        <v>-20024</v>
      </c>
      <c r="E12" s="13">
        <f>IFERROR(__xludf.DUMMYFUNCTION("""COMPUTED_VALUE"""),-18563.0)</f>
        <v>-18563</v>
      </c>
      <c r="G12" t="str">
        <f>IFERROR(__xludf.DUMMYFUNCTION("""COMPUTED_VALUE"""),"Démocrate")</f>
        <v>Démocrate</v>
      </c>
      <c r="H12" t="str">
        <f>IFERROR(__xludf.DUMMYFUNCTION("""COMPUTED_VALUE"""),"[k]")</f>
        <v>[k]</v>
      </c>
    </row>
    <row r="13">
      <c r="A13">
        <f>IFERROR(__xludf.DUMMYFUNCTION("""COMPUTED_VALUE"""),12.0)</f>
        <v>12</v>
      </c>
      <c r="B13" t="str">
        <f>IFERROR(__xludf.DUMMYFUNCTION("""COMPUTED_VALUE"""),"*Zachary Taylor*
(1784-1850)
KY")</f>
        <v>*Zachary Taylor*
(1784-1850)
KY</v>
      </c>
      <c r="D13" s="13">
        <f>IFERROR(__xludf.DUMMYFUNCTION("""COMPUTED_VALUE"""),-18563.0)</f>
        <v>-18563</v>
      </c>
      <c r="E13" s="13">
        <f>IFERROR(__xludf.DUMMYFUNCTION("""COMPUTED_VALUE"""),-18071.0)</f>
        <v>-18071</v>
      </c>
      <c r="G13" t="str">
        <f>IFERROR(__xludf.DUMMYFUNCTION("""COMPUTED_VALUE"""),"Whig")</f>
        <v>Whig</v>
      </c>
      <c r="H13" t="str">
        <f>IFERROR(__xludf.DUMMYFUNCTION("""COMPUTED_VALUE"""),"[l]")</f>
        <v>[l]</v>
      </c>
    </row>
    <row r="14">
      <c r="A14">
        <f>IFERROR(__xludf.DUMMYFUNCTION("""COMPUTED_VALUE"""),13.0)</f>
        <v>13</v>
      </c>
      <c r="B14" t="str">
        <f>IFERROR(__xludf.DUMMYFUNCTION("""COMPUTED_VALUE"""),"*Millard Fillmore*
(1800-1874)
NY")</f>
        <v>*Millard Fillmore*
(1800-1874)
NY</v>
      </c>
      <c r="D14" s="13">
        <f>IFERROR(__xludf.DUMMYFUNCTION("""COMPUTED_VALUE"""),-18071.0)</f>
        <v>-18071</v>
      </c>
      <c r="E14" s="13">
        <f>IFERROR(__xludf.DUMMYFUNCTION("""COMPUTED_VALUE"""),-17102.0)</f>
        <v>-17102</v>
      </c>
      <c r="G14" t="str">
        <f>IFERROR(__xludf.DUMMYFUNCTION("""COMPUTED_VALUE"""),"Whig")</f>
        <v>Whig</v>
      </c>
      <c r="H14" t="str">
        <f>IFERROR(__xludf.DUMMYFUNCTION("""COMPUTED_VALUE"""),"[m]")</f>
        <v>[m]</v>
      </c>
    </row>
    <row r="15">
      <c r="A15">
        <f>IFERROR(__xludf.DUMMYFUNCTION("""COMPUTED_VALUE"""),14.0)</f>
        <v>14</v>
      </c>
      <c r="B15" t="str">
        <f>IFERROR(__xludf.DUMMYFUNCTION("""COMPUTED_VALUE"""),"*Franklin Pierce*
(1804-1869)
NH")</f>
        <v>*Franklin Pierce*
(1804-1869)
NH</v>
      </c>
      <c r="D15" s="13">
        <f>IFERROR(__xludf.DUMMYFUNCTION("""COMPUTED_VALUE"""),-17102.0)</f>
        <v>-17102</v>
      </c>
      <c r="E15" s="13">
        <f>IFERROR(__xludf.DUMMYFUNCTION("""COMPUTED_VALUE"""),-15641.0)</f>
        <v>-15641</v>
      </c>
      <c r="G15" t="str">
        <f>IFERROR(__xludf.DUMMYFUNCTION("""COMPUTED_VALUE"""),"Démocrate")</f>
        <v>Démocrate</v>
      </c>
      <c r="H15" t="str">
        <f>IFERROR(__xludf.DUMMYFUNCTION("""COMPUTED_VALUE"""),"[n]")</f>
        <v>[n]</v>
      </c>
    </row>
    <row r="16">
      <c r="A16">
        <f>IFERROR(__xludf.DUMMYFUNCTION("""COMPUTED_VALUE"""),15.0)</f>
        <v>15</v>
      </c>
      <c r="B16" t="str">
        <f>IFERROR(__xludf.DUMMYFUNCTION("""COMPUTED_VALUE"""),"*James Buchanan*
(1791-1868)
PA")</f>
        <v>*James Buchanan*
(1791-1868)
PA</v>
      </c>
      <c r="D16" s="13">
        <f>IFERROR(__xludf.DUMMYFUNCTION("""COMPUTED_VALUE"""),-15641.0)</f>
        <v>-15641</v>
      </c>
      <c r="E16" s="13">
        <f>IFERROR(__xludf.DUMMYFUNCTION("""COMPUTED_VALUE"""),-14180.0)</f>
        <v>-14180</v>
      </c>
      <c r="G16" t="str">
        <f>IFERROR(__xludf.DUMMYFUNCTION("""COMPUTED_VALUE"""),"Démocrate")</f>
        <v>Démocrate</v>
      </c>
      <c r="H16" t="str">
        <f>IFERROR(__xludf.DUMMYFUNCTION("""COMPUTED_VALUE"""),"[o]")</f>
        <v>[o]</v>
      </c>
    </row>
    <row r="17">
      <c r="A17">
        <f>IFERROR(__xludf.DUMMYFUNCTION("""COMPUTED_VALUE"""),16.0)</f>
        <v>16</v>
      </c>
      <c r="B17" t="str">
        <f>IFERROR(__xludf.DUMMYFUNCTION("""COMPUTED_VALUE"""),"*Abraham Lincoln*
(1809-1865)
IL")</f>
        <v>*Abraham Lincoln*
(1809-1865)
IL</v>
      </c>
      <c r="D17" s="13">
        <f>IFERROR(__xludf.DUMMYFUNCTION("""COMPUTED_VALUE"""),-14180.0)</f>
        <v>-14180</v>
      </c>
      <c r="E17" s="13">
        <f>IFERROR(__xludf.DUMMYFUNCTION("""COMPUTED_VALUE"""),-12677.0)</f>
        <v>-12677</v>
      </c>
      <c r="G17" t="str">
        <f>IFERROR(__xludf.DUMMYFUNCTION("""COMPUTED_VALUE"""),"Républicain
------------------------------
Union (en)")</f>
        <v>Républicain
------------------------------
Union (en)</v>
      </c>
      <c r="H17" t="str">
        <f>IFERROR(__xludf.DUMMYFUNCTION("""COMPUTED_VALUE"""),"[p]")</f>
        <v>[p]</v>
      </c>
    </row>
    <row r="18">
      <c r="A18">
        <f>IFERROR(__xludf.DUMMYFUNCTION("""COMPUTED_VALUE"""),17.0)</f>
        <v>17</v>
      </c>
      <c r="B18" t="str">
        <f>IFERROR(__xludf.DUMMYFUNCTION("""COMPUTED_VALUE"""),"*Andrew Johnson*
(1808-1875)
TN")</f>
        <v>*Andrew Johnson*
(1808-1875)
TN</v>
      </c>
      <c r="D18" s="13">
        <f>IFERROR(__xludf.DUMMYFUNCTION("""COMPUTED_VALUE"""),-12677.0)</f>
        <v>-12677</v>
      </c>
      <c r="E18" s="13">
        <f>IFERROR(__xludf.DUMMYFUNCTION("""COMPUTED_VALUE"""),-11258.0)</f>
        <v>-11258</v>
      </c>
      <c r="G18" t="str">
        <f>IFERROR(__xludf.DUMMYFUNCTION("""COMPUTED_VALUE"""),"Union (en)
------------------------------
Démocrate")</f>
        <v>Union (en)
------------------------------
Démocrate</v>
      </c>
      <c r="H18" t="str">
        <f>IFERROR(__xludf.DUMMYFUNCTION("""COMPUTED_VALUE"""),"[q]")</f>
        <v>[q]</v>
      </c>
    </row>
    <row r="19">
      <c r="A19">
        <f>IFERROR(__xludf.DUMMYFUNCTION("""COMPUTED_VALUE"""),18.0)</f>
        <v>18</v>
      </c>
      <c r="B19" t="str">
        <f>IFERROR(__xludf.DUMMYFUNCTION("""COMPUTED_VALUE"""),"*Ulysses S. Grant*
(1822-1885)
IL")</f>
        <v>*Ulysses S. Grant*
(1822-1885)
IL</v>
      </c>
      <c r="D19" s="13">
        <f>IFERROR(__xludf.DUMMYFUNCTION("""COMPUTED_VALUE"""),-11258.0)</f>
        <v>-11258</v>
      </c>
      <c r="E19" s="13">
        <f>IFERROR(__xludf.DUMMYFUNCTION("""COMPUTED_VALUE"""),-8336.0)</f>
        <v>-8336</v>
      </c>
      <c r="G19" t="str">
        <f>IFERROR(__xludf.DUMMYFUNCTION("""COMPUTED_VALUE"""),"Républicain")</f>
        <v>Républicain</v>
      </c>
      <c r="H19" t="str">
        <f>IFERROR(__xludf.DUMMYFUNCTION("""COMPUTED_VALUE"""),"[r]")</f>
        <v>[r]</v>
      </c>
    </row>
    <row r="20">
      <c r="A20">
        <f>IFERROR(__xludf.DUMMYFUNCTION("""COMPUTED_VALUE"""),19.0)</f>
        <v>19</v>
      </c>
      <c r="B20" t="str">
        <f>IFERROR(__xludf.DUMMYFUNCTION("""COMPUTED_VALUE"""),"*Rutherford B. Hayes*
(1822-1893)
OH")</f>
        <v>*Rutherford B. Hayes*
(1822-1893)
OH</v>
      </c>
      <c r="D20" s="13">
        <f>IFERROR(__xludf.DUMMYFUNCTION("""COMPUTED_VALUE"""),-8336.0)</f>
        <v>-8336</v>
      </c>
      <c r="E20" s="13">
        <f>IFERROR(__xludf.DUMMYFUNCTION("""COMPUTED_VALUE"""),-6875.0)</f>
        <v>-6875</v>
      </c>
      <c r="G20" t="str">
        <f>IFERROR(__xludf.DUMMYFUNCTION("""COMPUTED_VALUE"""),"Républicain")</f>
        <v>Républicain</v>
      </c>
      <c r="H20" t="str">
        <f>IFERROR(__xludf.DUMMYFUNCTION("""COMPUTED_VALUE"""),"[s]")</f>
        <v>[s]</v>
      </c>
    </row>
    <row r="21">
      <c r="A21">
        <f>IFERROR(__xludf.DUMMYFUNCTION("""COMPUTED_VALUE"""),20.0)</f>
        <v>20</v>
      </c>
      <c r="B21" t="str">
        <f>IFERROR(__xludf.DUMMYFUNCTION("""COMPUTED_VALUE"""),"*James A. Garfield*
(1831-1881)
OH")</f>
        <v>*James A. Garfield*
(1831-1881)
OH</v>
      </c>
      <c r="D21" s="13">
        <f>IFERROR(__xludf.DUMMYFUNCTION("""COMPUTED_VALUE"""),-6875.0)</f>
        <v>-6875</v>
      </c>
      <c r="E21" s="13">
        <f>IFERROR(__xludf.DUMMYFUNCTION("""COMPUTED_VALUE"""),-6676.0)</f>
        <v>-6676</v>
      </c>
      <c r="G21" t="str">
        <f>IFERROR(__xludf.DUMMYFUNCTION("""COMPUTED_VALUE"""),"Républicain")</f>
        <v>Républicain</v>
      </c>
      <c r="H21" t="str">
        <f>IFERROR(__xludf.DUMMYFUNCTION("""COMPUTED_VALUE"""),"[t]")</f>
        <v>[t]</v>
      </c>
    </row>
    <row r="22">
      <c r="A22">
        <f>IFERROR(__xludf.DUMMYFUNCTION("""COMPUTED_VALUE"""),21.0)</f>
        <v>21</v>
      </c>
      <c r="B22" t="str">
        <f>IFERROR(__xludf.DUMMYFUNCTION("""COMPUTED_VALUE"""),"*Chester A. Arthur*
(1829-1886)
NY")</f>
        <v>*Chester A. Arthur*
(1829-1886)
NY</v>
      </c>
      <c r="D22" s="13">
        <f>IFERROR(__xludf.DUMMYFUNCTION("""COMPUTED_VALUE"""),-6676.0)</f>
        <v>-6676</v>
      </c>
      <c r="E22" s="13">
        <f>IFERROR(__xludf.DUMMYFUNCTION("""COMPUTED_VALUE"""),-5414.0)</f>
        <v>-5414</v>
      </c>
      <c r="G22" t="str">
        <f>IFERROR(__xludf.DUMMYFUNCTION("""COMPUTED_VALUE"""),"Républicain")</f>
        <v>Républicain</v>
      </c>
      <c r="H22" t="str">
        <f>IFERROR(__xludf.DUMMYFUNCTION("""COMPUTED_VALUE"""),"[u]")</f>
        <v>[u]</v>
      </c>
    </row>
    <row r="23">
      <c r="A23">
        <f>IFERROR(__xludf.DUMMYFUNCTION("""COMPUTED_VALUE"""),22.0)</f>
        <v>22</v>
      </c>
      <c r="B23" t="str">
        <f>IFERROR(__xludf.DUMMYFUNCTION("""COMPUTED_VALUE"""),"*Grover Cleveland*
(1837-1908)
NY
*1re fois*")</f>
        <v>*Grover Cleveland*
(1837-1908)
NY
*1re fois*</v>
      </c>
      <c r="D23" s="13">
        <f>IFERROR(__xludf.DUMMYFUNCTION("""COMPUTED_VALUE"""),-5414.0)</f>
        <v>-5414</v>
      </c>
      <c r="E23" s="13">
        <f>IFERROR(__xludf.DUMMYFUNCTION("""COMPUTED_VALUE"""),-3953.0)</f>
        <v>-3953</v>
      </c>
      <c r="G23" t="str">
        <f>IFERROR(__xludf.DUMMYFUNCTION("""COMPUTED_VALUE"""),"Démocrate")</f>
        <v>Démocrate</v>
      </c>
      <c r="H23" t="str">
        <f>IFERROR(__xludf.DUMMYFUNCTION("""COMPUTED_VALUE"""),"[v]")</f>
        <v>[v]</v>
      </c>
    </row>
    <row r="24">
      <c r="A24">
        <f>IFERROR(__xludf.DUMMYFUNCTION("""COMPUTED_VALUE"""),23.0)</f>
        <v>23</v>
      </c>
      <c r="B24" t="str">
        <f>IFERROR(__xludf.DUMMYFUNCTION("""COMPUTED_VALUE"""),"*Benjamin Harrison*
(1833-1901)
IN")</f>
        <v>*Benjamin Harrison*
(1833-1901)
IN</v>
      </c>
      <c r="D24" s="13">
        <f>IFERROR(__xludf.DUMMYFUNCTION("""COMPUTED_VALUE"""),-3953.0)</f>
        <v>-3953</v>
      </c>
      <c r="E24" s="13">
        <f>IFERROR(__xludf.DUMMYFUNCTION("""COMPUTED_VALUE"""),-2492.0)</f>
        <v>-2492</v>
      </c>
      <c r="G24" t="str">
        <f>IFERROR(__xludf.DUMMYFUNCTION("""COMPUTED_VALUE"""),"Républicain")</f>
        <v>Républicain</v>
      </c>
      <c r="H24" t="str">
        <f>IFERROR(__xludf.DUMMYFUNCTION("""COMPUTED_VALUE"""),"[w]")</f>
        <v>[w]</v>
      </c>
    </row>
    <row r="25">
      <c r="A25">
        <f>IFERROR(__xludf.DUMMYFUNCTION("""COMPUTED_VALUE"""),24.0)</f>
        <v>24</v>
      </c>
      <c r="B25" t="str">
        <f>IFERROR(__xludf.DUMMYFUNCTION("""COMPUTED_VALUE"""),"*Grover Cleveland*
(1837-1908)
NY
*2de fois*")</f>
        <v>*Grover Cleveland*
(1837-1908)
NY
*2de fois*</v>
      </c>
      <c r="D25" s="13">
        <f>IFERROR(__xludf.DUMMYFUNCTION("""COMPUTED_VALUE"""),-2492.0)</f>
        <v>-2492</v>
      </c>
      <c r="E25" s="13">
        <f>IFERROR(__xludf.DUMMYFUNCTION("""COMPUTED_VALUE"""),-1031.0)</f>
        <v>-1031</v>
      </c>
      <c r="G25" t="str">
        <f>IFERROR(__xludf.DUMMYFUNCTION("""COMPUTED_VALUE"""),"Démocrate")</f>
        <v>Démocrate</v>
      </c>
      <c r="H25" t="str">
        <f>IFERROR(__xludf.DUMMYFUNCTION("""COMPUTED_VALUE"""),"[x]")</f>
        <v>[x]</v>
      </c>
    </row>
    <row r="26">
      <c r="A26">
        <f>IFERROR(__xludf.DUMMYFUNCTION("""COMPUTED_VALUE"""),25.0)</f>
        <v>25</v>
      </c>
      <c r="B26" t="str">
        <f>IFERROR(__xludf.DUMMYFUNCTION("""COMPUTED_VALUE"""),"*William McKinley*
(1843-1901)
OH")</f>
        <v>*William McKinley*
(1843-1901)
OH</v>
      </c>
      <c r="D26" s="13">
        <f>IFERROR(__xludf.DUMMYFUNCTION("""COMPUTED_VALUE"""),-1031.0)</f>
        <v>-1031</v>
      </c>
      <c r="E26" s="13">
        <f>IFERROR(__xludf.DUMMYFUNCTION("""COMPUTED_VALUE"""),623.0)</f>
        <v>623</v>
      </c>
      <c r="G26" t="str">
        <f>IFERROR(__xludf.DUMMYFUNCTION("""COMPUTED_VALUE"""),"Républicain")</f>
        <v>Républicain</v>
      </c>
      <c r="H26" t="str">
        <f>IFERROR(__xludf.DUMMYFUNCTION("""COMPUTED_VALUE"""),"[y]")</f>
        <v>[y]</v>
      </c>
    </row>
    <row r="27">
      <c r="A27">
        <f>IFERROR(__xludf.DUMMYFUNCTION("""COMPUTED_VALUE"""),26.0)</f>
        <v>26</v>
      </c>
      <c r="B27" t="str">
        <f>IFERROR(__xludf.DUMMYFUNCTION("""COMPUTED_VALUE"""),"*Theodore Roosevelt*
(1858-1919)
NY")</f>
        <v>*Theodore Roosevelt*
(1858-1919)
NY</v>
      </c>
      <c r="D27" s="13">
        <f>IFERROR(__xludf.DUMMYFUNCTION("""COMPUTED_VALUE"""),623.0)</f>
        <v>623</v>
      </c>
      <c r="E27" s="13">
        <f>IFERROR(__xludf.DUMMYFUNCTION("""COMPUTED_VALUE"""),3351.0)</f>
        <v>3351</v>
      </c>
      <c r="G27" t="str">
        <f>IFERROR(__xludf.DUMMYFUNCTION("""COMPUTED_VALUE"""),"Républicain")</f>
        <v>Républicain</v>
      </c>
      <c r="H27" t="str">
        <f>IFERROR(__xludf.DUMMYFUNCTION("""COMPUTED_VALUE"""),"[z]")</f>
        <v>[z]</v>
      </c>
    </row>
    <row r="28">
      <c r="A28">
        <f>IFERROR(__xludf.DUMMYFUNCTION("""COMPUTED_VALUE"""),27.0)</f>
        <v>27</v>
      </c>
      <c r="B28" t="str">
        <f>IFERROR(__xludf.DUMMYFUNCTION("""COMPUTED_VALUE"""),"*William H. Taft*
(1857-1930)
OH")</f>
        <v>*William H. Taft*
(1857-1930)
OH</v>
      </c>
      <c r="D28" s="13">
        <f>IFERROR(__xludf.DUMMYFUNCTION("""COMPUTED_VALUE"""),3351.0)</f>
        <v>3351</v>
      </c>
      <c r="E28" s="13">
        <f>IFERROR(__xludf.DUMMYFUNCTION("""COMPUTED_VALUE"""),4812.0)</f>
        <v>4812</v>
      </c>
      <c r="G28" t="str">
        <f>IFERROR(__xludf.DUMMYFUNCTION("""COMPUTED_VALUE"""),"Républicain")</f>
        <v>Républicain</v>
      </c>
      <c r="H28" t="str">
        <f>IFERROR(__xludf.DUMMYFUNCTION("""COMPUTED_VALUE"""),"[aa]")</f>
        <v>[aa]</v>
      </c>
    </row>
    <row r="29">
      <c r="A29">
        <f>IFERROR(__xludf.DUMMYFUNCTION("""COMPUTED_VALUE"""),28.0)</f>
        <v>28</v>
      </c>
      <c r="B29" t="str">
        <f>IFERROR(__xludf.DUMMYFUNCTION("""COMPUTED_VALUE"""),"*Woodrow Wilson*
(1856-1924)
NJ")</f>
        <v>*Woodrow Wilson*
(1856-1924)
NJ</v>
      </c>
      <c r="D29" s="13">
        <f>IFERROR(__xludf.DUMMYFUNCTION("""COMPUTED_VALUE"""),4812.0)</f>
        <v>4812</v>
      </c>
      <c r="E29" s="13">
        <f>IFERROR(__xludf.DUMMYFUNCTION("""COMPUTED_VALUE"""),7734.0)</f>
        <v>7734</v>
      </c>
      <c r="G29" t="str">
        <f>IFERROR(__xludf.DUMMYFUNCTION("""COMPUTED_VALUE"""),"Démocrate")</f>
        <v>Démocrate</v>
      </c>
      <c r="H29" t="str">
        <f>IFERROR(__xludf.DUMMYFUNCTION("""COMPUTED_VALUE"""),"[ab]")</f>
        <v>[ab]</v>
      </c>
    </row>
    <row r="30">
      <c r="A30">
        <f>IFERROR(__xludf.DUMMYFUNCTION("""COMPUTED_VALUE"""),29.0)</f>
        <v>29</v>
      </c>
      <c r="B30" t="str">
        <f>IFERROR(__xludf.DUMMYFUNCTION("""COMPUTED_VALUE"""),"*Warren G. Harding*
(1865-1923)
OH")</f>
        <v>*Warren G. Harding*
(1865-1923)
OH</v>
      </c>
      <c r="D30" s="13">
        <f>IFERROR(__xludf.DUMMYFUNCTION("""COMPUTED_VALUE"""),7734.0)</f>
        <v>7734</v>
      </c>
      <c r="E30" s="13">
        <f>IFERROR(__xludf.DUMMYFUNCTION("""COMPUTED_VALUE"""),8615.0)</f>
        <v>8615</v>
      </c>
      <c r="G30" t="str">
        <f>IFERROR(__xludf.DUMMYFUNCTION("""COMPUTED_VALUE"""),"Républicain")</f>
        <v>Républicain</v>
      </c>
      <c r="H30" t="str">
        <f>IFERROR(__xludf.DUMMYFUNCTION("""COMPUTED_VALUE"""),"[ac]")</f>
        <v>[ac]</v>
      </c>
    </row>
    <row r="31">
      <c r="A31">
        <f>IFERROR(__xludf.DUMMYFUNCTION("""COMPUTED_VALUE"""),30.0)</f>
        <v>30</v>
      </c>
      <c r="B31" t="str">
        <f>IFERROR(__xludf.DUMMYFUNCTION("""COMPUTED_VALUE"""),"*Calvin Coolidge*
(1872-1933)
MA")</f>
        <v>*Calvin Coolidge*
(1872-1933)
MA</v>
      </c>
      <c r="D31" s="13">
        <f>IFERROR(__xludf.DUMMYFUNCTION("""COMPUTED_VALUE"""),8615.0)</f>
        <v>8615</v>
      </c>
      <c r="E31" s="13">
        <f>IFERROR(__xludf.DUMMYFUNCTION("""COMPUTED_VALUE"""),10656.0)</f>
        <v>10656</v>
      </c>
      <c r="G31" t="str">
        <f>IFERROR(__xludf.DUMMYFUNCTION("""COMPUTED_VALUE"""),"Républicain")</f>
        <v>Républicain</v>
      </c>
      <c r="H31" t="str">
        <f>IFERROR(__xludf.DUMMYFUNCTION("""COMPUTED_VALUE"""),"[ad]")</f>
        <v>[ad]</v>
      </c>
    </row>
    <row r="32">
      <c r="A32">
        <f>IFERROR(__xludf.DUMMYFUNCTION("""COMPUTED_VALUE"""),31.0)</f>
        <v>31</v>
      </c>
      <c r="B32" t="str">
        <f>IFERROR(__xludf.DUMMYFUNCTION("""COMPUTED_VALUE"""),"*Herbert Hoover*
(1874-1964)
CA")</f>
        <v>*Herbert Hoover*
(1874-1964)
CA</v>
      </c>
      <c r="D32" s="13">
        <f>IFERROR(__xludf.DUMMYFUNCTION("""COMPUTED_VALUE"""),10656.0)</f>
        <v>10656</v>
      </c>
      <c r="E32" s="13">
        <f>IFERROR(__xludf.DUMMYFUNCTION("""COMPUTED_VALUE"""),12117.0)</f>
        <v>12117</v>
      </c>
      <c r="G32" t="str">
        <f>IFERROR(__xludf.DUMMYFUNCTION("""COMPUTED_VALUE"""),"Républicain")</f>
        <v>Républicain</v>
      </c>
      <c r="H32" t="str">
        <f>IFERROR(__xludf.DUMMYFUNCTION("""COMPUTED_VALUE"""),"[ae]")</f>
        <v>[ae]</v>
      </c>
    </row>
    <row r="33">
      <c r="A33">
        <f>IFERROR(__xludf.DUMMYFUNCTION("""COMPUTED_VALUE"""),32.0)</f>
        <v>32</v>
      </c>
      <c r="B33" t="str">
        <f>IFERROR(__xludf.DUMMYFUNCTION("""COMPUTED_VALUE"""),"*Franklin Delano Roosevelt*
(1882-1945)
NY")</f>
        <v>*Franklin Delano Roosevelt*
(1882-1945)
NY</v>
      </c>
      <c r="D33" s="13">
        <f>IFERROR(__xludf.DUMMYFUNCTION("""COMPUTED_VALUE"""),12117.0)</f>
        <v>12117</v>
      </c>
      <c r="E33" s="13">
        <f>IFERROR(__xludf.DUMMYFUNCTION("""COMPUTED_VALUE"""),16539.0)</f>
        <v>16539</v>
      </c>
      <c r="G33" t="str">
        <f>IFERROR(__xludf.DUMMYFUNCTION("""COMPUTED_VALUE"""),"Démocrate")</f>
        <v>Démocrate</v>
      </c>
      <c r="H33" t="str">
        <f>IFERROR(__xludf.DUMMYFUNCTION("""COMPUTED_VALUE"""),"[af]")</f>
        <v>[af]</v>
      </c>
    </row>
    <row r="34">
      <c r="A34">
        <f>IFERROR(__xludf.DUMMYFUNCTION("""COMPUTED_VALUE"""),33.0)</f>
        <v>33</v>
      </c>
      <c r="B34" t="str">
        <f>IFERROR(__xludf.DUMMYFUNCTION("""COMPUTED_VALUE"""),"*Harry S. Truman*
(1884-1972)
MO")</f>
        <v>*Harry S. Truman*
(1884-1972)
MO</v>
      </c>
      <c r="D34" s="13">
        <f>IFERROR(__xludf.DUMMYFUNCTION("""COMPUTED_VALUE"""),16539.0)</f>
        <v>16539</v>
      </c>
      <c r="E34" s="13">
        <f>IFERROR(__xludf.DUMMYFUNCTION("""COMPUTED_VALUE"""),19379.0)</f>
        <v>19379</v>
      </c>
      <c r="G34" t="str">
        <f>IFERROR(__xludf.DUMMYFUNCTION("""COMPUTED_VALUE"""),"Démocrate")</f>
        <v>Démocrate</v>
      </c>
      <c r="H34" t="str">
        <f>IFERROR(__xludf.DUMMYFUNCTION("""COMPUTED_VALUE"""),"[ag]")</f>
        <v>[ag]</v>
      </c>
    </row>
    <row r="35">
      <c r="A35">
        <f>IFERROR(__xludf.DUMMYFUNCTION("""COMPUTED_VALUE"""),34.0)</f>
        <v>34</v>
      </c>
      <c r="B35" t="str">
        <f>IFERROR(__xludf.DUMMYFUNCTION("""COMPUTED_VALUE"""),"*Dwight D. Eisenhower*
(1890-1969)
KS")</f>
        <v>*Dwight D. Eisenhower*
(1890-1969)
KS</v>
      </c>
      <c r="D35" s="13">
        <f>IFERROR(__xludf.DUMMYFUNCTION("""COMPUTED_VALUE"""),19379.0)</f>
        <v>19379</v>
      </c>
      <c r="E35" s="13">
        <f>IFERROR(__xludf.DUMMYFUNCTION("""COMPUTED_VALUE"""),22301.0)</f>
        <v>22301</v>
      </c>
      <c r="G35" t="str">
        <f>IFERROR(__xludf.DUMMYFUNCTION("""COMPUTED_VALUE"""),"Républicain")</f>
        <v>Républicain</v>
      </c>
      <c r="H35" t="str">
        <f>IFERROR(__xludf.DUMMYFUNCTION("""COMPUTED_VALUE"""),"[ah]")</f>
        <v>[ah]</v>
      </c>
    </row>
    <row r="36">
      <c r="A36">
        <f>IFERROR(__xludf.DUMMYFUNCTION("""COMPUTED_VALUE"""),35.0)</f>
        <v>35</v>
      </c>
      <c r="B36" t="str">
        <f>IFERROR(__xludf.DUMMYFUNCTION("""COMPUTED_VALUE"""),"*John Fitzgerald Kennedy*
(1917-1963)
MA")</f>
        <v>*John Fitzgerald Kennedy*
(1917-1963)
MA</v>
      </c>
      <c r="D36" s="13">
        <f>IFERROR(__xludf.DUMMYFUNCTION("""COMPUTED_VALUE"""),22301.0)</f>
        <v>22301</v>
      </c>
      <c r="E36" s="13">
        <f>IFERROR(__xludf.DUMMYFUNCTION("""COMPUTED_VALUE"""),23337.0)</f>
        <v>23337</v>
      </c>
      <c r="G36" t="str">
        <f>IFERROR(__xludf.DUMMYFUNCTION("""COMPUTED_VALUE"""),"Démocrate")</f>
        <v>Démocrate</v>
      </c>
      <c r="H36" t="str">
        <f>IFERROR(__xludf.DUMMYFUNCTION("""COMPUTED_VALUE"""),"[ai]")</f>
        <v>[ai]</v>
      </c>
    </row>
    <row r="37">
      <c r="A37">
        <f>IFERROR(__xludf.DUMMYFUNCTION("""COMPUTED_VALUE"""),36.0)</f>
        <v>36</v>
      </c>
      <c r="B37" t="str">
        <f>IFERROR(__xludf.DUMMYFUNCTION("""COMPUTED_VALUE"""),"*Lyndon B. Johnson*
(1908-1973)
TX")</f>
        <v>*Lyndon B. Johnson*
(1908-1973)
TX</v>
      </c>
      <c r="D37" s="13">
        <f>IFERROR(__xludf.DUMMYFUNCTION("""COMPUTED_VALUE"""),23337.0)</f>
        <v>23337</v>
      </c>
      <c r="E37" s="13">
        <f>IFERROR(__xludf.DUMMYFUNCTION("""COMPUTED_VALUE"""),25223.0)</f>
        <v>25223</v>
      </c>
      <c r="G37" t="str">
        <f>IFERROR(__xludf.DUMMYFUNCTION("""COMPUTED_VALUE"""),"Démocrate")</f>
        <v>Démocrate</v>
      </c>
      <c r="H37" t="str">
        <f>IFERROR(__xludf.DUMMYFUNCTION("""COMPUTED_VALUE"""),"[aj]")</f>
        <v>[aj]</v>
      </c>
    </row>
    <row r="38">
      <c r="A38">
        <f>IFERROR(__xludf.DUMMYFUNCTION("""COMPUTED_VALUE"""),37.0)</f>
        <v>37</v>
      </c>
      <c r="B38" t="str">
        <f>IFERROR(__xludf.DUMMYFUNCTION("""COMPUTED_VALUE"""),"*Richard Nixon*
(1913-1994)
CA")</f>
        <v>*Richard Nixon*
(1913-1994)
CA</v>
      </c>
      <c r="D38" s="13">
        <f>IFERROR(__xludf.DUMMYFUNCTION("""COMPUTED_VALUE"""),25223.0)</f>
        <v>25223</v>
      </c>
      <c r="E38" s="13">
        <f>IFERROR(__xludf.DUMMYFUNCTION("""COMPUTED_VALUE"""),27250.0)</f>
        <v>27250</v>
      </c>
      <c r="G38" t="str">
        <f>IFERROR(__xludf.DUMMYFUNCTION("""COMPUTED_VALUE"""),"Républicain")</f>
        <v>Républicain</v>
      </c>
      <c r="H38" t="str">
        <f>IFERROR(__xludf.DUMMYFUNCTION("""COMPUTED_VALUE"""),"[ak]")</f>
        <v>[ak]</v>
      </c>
    </row>
    <row r="39">
      <c r="A39">
        <f>IFERROR(__xludf.DUMMYFUNCTION("""COMPUTED_VALUE"""),38.0)</f>
        <v>38</v>
      </c>
      <c r="B39" t="str">
        <f>IFERROR(__xludf.DUMMYFUNCTION("""COMPUTED_VALUE"""),"*Gerald Ford*
(1913-2006)
MI")</f>
        <v>*Gerald Ford*
(1913-2006)
MI</v>
      </c>
      <c r="D39" s="13">
        <f>IFERROR(__xludf.DUMMYFUNCTION("""COMPUTED_VALUE"""),27250.0)</f>
        <v>27250</v>
      </c>
      <c r="E39" s="13">
        <f>IFERROR(__xludf.DUMMYFUNCTION("""COMPUTED_VALUE"""),28145.0)</f>
        <v>28145</v>
      </c>
      <c r="G39" t="str">
        <f>IFERROR(__xludf.DUMMYFUNCTION("""COMPUTED_VALUE"""),"Républicain")</f>
        <v>Républicain</v>
      </c>
      <c r="H39" t="str">
        <f>IFERROR(__xludf.DUMMYFUNCTION("""COMPUTED_VALUE"""),"[al]")</f>
        <v>[al]</v>
      </c>
    </row>
    <row r="40">
      <c r="A40">
        <f>IFERROR(__xludf.DUMMYFUNCTION("""COMPUTED_VALUE"""),39.0)</f>
        <v>39</v>
      </c>
      <c r="B40" t="str">
        <f>IFERROR(__xludf.DUMMYFUNCTION("""COMPUTED_VALUE"""),"*Jimmy Carter*
(1924-2024)
GA")</f>
        <v>*Jimmy Carter*
(1924-2024)
GA</v>
      </c>
      <c r="D40" s="13">
        <f>IFERROR(__xludf.DUMMYFUNCTION("""COMPUTED_VALUE"""),28145.0)</f>
        <v>28145</v>
      </c>
      <c r="E40" s="13">
        <f>IFERROR(__xludf.DUMMYFUNCTION("""COMPUTED_VALUE"""),29606.0)</f>
        <v>29606</v>
      </c>
      <c r="G40" t="str">
        <f>IFERROR(__xludf.DUMMYFUNCTION("""COMPUTED_VALUE"""),"Démocrate")</f>
        <v>Démocrate</v>
      </c>
      <c r="H40" t="str">
        <f>IFERROR(__xludf.DUMMYFUNCTION("""COMPUTED_VALUE"""),"[am]")</f>
        <v>[am]</v>
      </c>
    </row>
    <row r="41">
      <c r="A41">
        <f>IFERROR(__xludf.DUMMYFUNCTION("""COMPUTED_VALUE"""),40.0)</f>
        <v>40</v>
      </c>
      <c r="B41" t="str">
        <f>IFERROR(__xludf.DUMMYFUNCTION("""COMPUTED_VALUE"""),"*Ronald Reagan*
(1911-2004)
CA")</f>
        <v>*Ronald Reagan*
(1911-2004)
CA</v>
      </c>
      <c r="D41" s="13">
        <f>IFERROR(__xludf.DUMMYFUNCTION("""COMPUTED_VALUE"""),29606.0)</f>
        <v>29606</v>
      </c>
      <c r="E41" s="13">
        <f>IFERROR(__xludf.DUMMYFUNCTION("""COMPUTED_VALUE"""),32528.0)</f>
        <v>32528</v>
      </c>
      <c r="G41" t="str">
        <f>IFERROR(__xludf.DUMMYFUNCTION("""COMPUTED_VALUE"""),"Républicain")</f>
        <v>Républicain</v>
      </c>
      <c r="H41" t="str">
        <f>IFERROR(__xludf.DUMMYFUNCTION("""COMPUTED_VALUE"""),"[an]")</f>
        <v>[an]</v>
      </c>
    </row>
    <row r="42">
      <c r="A42">
        <f>IFERROR(__xludf.DUMMYFUNCTION("""COMPUTED_VALUE"""),41.0)</f>
        <v>41</v>
      </c>
      <c r="B42" t="str">
        <f>IFERROR(__xludf.DUMMYFUNCTION("""COMPUTED_VALUE"""),"*George H. W. Bush*
(1924-2018)
TX")</f>
        <v>*George H. W. Bush*
(1924-2018)
TX</v>
      </c>
      <c r="D42" s="13">
        <f>IFERROR(__xludf.DUMMYFUNCTION("""COMPUTED_VALUE"""),32528.0)</f>
        <v>32528</v>
      </c>
      <c r="E42" s="13">
        <f>IFERROR(__xludf.DUMMYFUNCTION("""COMPUTED_VALUE"""),33989.0)</f>
        <v>33989</v>
      </c>
      <c r="G42" t="str">
        <f>IFERROR(__xludf.DUMMYFUNCTION("""COMPUTED_VALUE"""),"Républicain")</f>
        <v>Républicain</v>
      </c>
      <c r="H42" t="str">
        <f>IFERROR(__xludf.DUMMYFUNCTION("""COMPUTED_VALUE"""),"[ao]")</f>
        <v>[ao]</v>
      </c>
    </row>
    <row r="43">
      <c r="A43">
        <f>IFERROR(__xludf.DUMMYFUNCTION("""COMPUTED_VALUE"""),42.0)</f>
        <v>42</v>
      </c>
      <c r="B43" t="str">
        <f>IFERROR(__xludf.DUMMYFUNCTION("""COMPUTED_VALUE"""),"*Bill Clinton*
(né en 1946)
AR")</f>
        <v>*Bill Clinton*
(né en 1946)
AR</v>
      </c>
      <c r="D43" s="13">
        <f>IFERROR(__xludf.DUMMYFUNCTION("""COMPUTED_VALUE"""),33989.0)</f>
        <v>33989</v>
      </c>
      <c r="E43" s="13">
        <f>IFERROR(__xludf.DUMMYFUNCTION("""COMPUTED_VALUE"""),36911.0)</f>
        <v>36911</v>
      </c>
      <c r="G43" t="str">
        <f>IFERROR(__xludf.DUMMYFUNCTION("""COMPUTED_VALUE"""),"Démocrate")</f>
        <v>Démocrate</v>
      </c>
      <c r="H43" t="str">
        <f>IFERROR(__xludf.DUMMYFUNCTION("""COMPUTED_VALUE"""),"[ap]")</f>
        <v>[ap]</v>
      </c>
    </row>
    <row r="44">
      <c r="A44">
        <f>IFERROR(__xludf.DUMMYFUNCTION("""COMPUTED_VALUE"""),43.0)</f>
        <v>43</v>
      </c>
      <c r="B44" t="str">
        <f>IFERROR(__xludf.DUMMYFUNCTION("""COMPUTED_VALUE"""),"*George W. Bush*
(né en 1946)
TX")</f>
        <v>*George W. Bush*
(né en 1946)
TX</v>
      </c>
      <c r="D44" s="13">
        <f>IFERROR(__xludf.DUMMYFUNCTION("""COMPUTED_VALUE"""),36911.0)</f>
        <v>36911</v>
      </c>
      <c r="E44" s="13">
        <f>IFERROR(__xludf.DUMMYFUNCTION("""COMPUTED_VALUE"""),39833.0)</f>
        <v>39833</v>
      </c>
      <c r="G44" t="str">
        <f>IFERROR(__xludf.DUMMYFUNCTION("""COMPUTED_VALUE"""),"Républicain")</f>
        <v>Républicain</v>
      </c>
      <c r="H44" t="str">
        <f>IFERROR(__xludf.DUMMYFUNCTION("""COMPUTED_VALUE"""),"[aq]")</f>
        <v>[aq]</v>
      </c>
    </row>
    <row r="45">
      <c r="A45">
        <f>IFERROR(__xludf.DUMMYFUNCTION("""COMPUTED_VALUE"""),44.0)</f>
        <v>44</v>
      </c>
      <c r="B45" t="str">
        <f>IFERROR(__xludf.DUMMYFUNCTION("""COMPUTED_VALUE"""),"*Barack Obama*
(né en 1961)
IL")</f>
        <v>*Barack Obama*
(né en 1961)
IL</v>
      </c>
      <c r="D45" s="13">
        <f>IFERROR(__xludf.DUMMYFUNCTION("""COMPUTED_VALUE"""),39833.0)</f>
        <v>39833</v>
      </c>
      <c r="E45" s="13">
        <f>IFERROR(__xludf.DUMMYFUNCTION("""COMPUTED_VALUE"""),42755.0)</f>
        <v>42755</v>
      </c>
      <c r="G45" t="str">
        <f>IFERROR(__xludf.DUMMYFUNCTION("""COMPUTED_VALUE"""),"Démocrate")</f>
        <v>Démocrate</v>
      </c>
      <c r="H45" t="str">
        <f>IFERROR(__xludf.DUMMYFUNCTION("""COMPUTED_VALUE"""),"[ar]")</f>
        <v>[ar]</v>
      </c>
    </row>
    <row r="46">
      <c r="A46">
        <f>IFERROR(__xludf.DUMMYFUNCTION("""COMPUTED_VALUE"""),45.0)</f>
        <v>45</v>
      </c>
      <c r="B46" t="str">
        <f>IFERROR(__xludf.DUMMYFUNCTION("""COMPUTED_VALUE"""),"*Donald Trump*
(né en 1946)
NY
*1re fois*")</f>
        <v>*Donald Trump*
(né en 1946)
NY
*1re fois*</v>
      </c>
      <c r="D46" s="13">
        <f>IFERROR(__xludf.DUMMYFUNCTION("""COMPUTED_VALUE"""),42755.0)</f>
        <v>42755</v>
      </c>
      <c r="E46" s="13">
        <f>IFERROR(__xludf.DUMMYFUNCTION("""COMPUTED_VALUE"""),44216.0)</f>
        <v>44216</v>
      </c>
      <c r="G46" t="str">
        <f>IFERROR(__xludf.DUMMYFUNCTION("""COMPUTED_VALUE"""),"Républicain")</f>
        <v>Républicain</v>
      </c>
      <c r="H46" t="str">
        <f>IFERROR(__xludf.DUMMYFUNCTION("""COMPUTED_VALUE"""),"[as]")</f>
        <v>[as]</v>
      </c>
    </row>
    <row r="47">
      <c r="A47">
        <f>IFERROR(__xludf.DUMMYFUNCTION("""COMPUTED_VALUE"""),46.0)</f>
        <v>46</v>
      </c>
      <c r="B47" t="str">
        <f>IFERROR(__xludf.DUMMYFUNCTION("""COMPUTED_VALUE"""),"*Joe Biden*
(né en 1942)
PA")</f>
        <v>*Joe Biden*
(né en 1942)
PA</v>
      </c>
      <c r="D47" s="13">
        <f>IFERROR(__xludf.DUMMYFUNCTION("""COMPUTED_VALUE"""),44216.0)</f>
        <v>44216</v>
      </c>
      <c r="E47" s="13">
        <f>IFERROR(__xludf.DUMMYFUNCTION("""COMPUTED_VALUE"""),45677.0)</f>
        <v>45677</v>
      </c>
      <c r="G47" t="str">
        <f>IFERROR(__xludf.DUMMYFUNCTION("""COMPUTED_VALUE"""),"Démocrate")</f>
        <v>Démocrate</v>
      </c>
      <c r="H47" t="str">
        <f>IFERROR(__xludf.DUMMYFUNCTION("""COMPUTED_VALUE"""),"[at]")</f>
        <v>[at]</v>
      </c>
    </row>
    <row r="48">
      <c r="A48">
        <f>IFERROR(__xludf.DUMMYFUNCTION("""COMPUTED_VALUE"""),47.0)</f>
        <v>47</v>
      </c>
      <c r="B48" t="str">
        <f>IFERROR(__xludf.DUMMYFUNCTION("""COMPUTED_VALUE"""),"*Donald Trump*
(né en 1946)
NY
*2de fois*")</f>
        <v>*Donald Trump*
(né en 1946)
NY
*2de fois*</v>
      </c>
      <c r="D48" s="13">
        <f>IFERROR(__xludf.DUMMYFUNCTION("""COMPUTED_VALUE"""),45677.0)</f>
        <v>45677</v>
      </c>
      <c r="E48" t="str">
        <f>IFERROR(__xludf.DUMMYFUNCTION("""COMPUTED_VALUE"""),"*En cours*")</f>
        <v>*En cours*</v>
      </c>
      <c r="G48" t="str">
        <f>IFERROR(__xludf.DUMMYFUNCTION("""COMPUTED_VALUE"""),"Républicain")</f>
        <v>Républicain</v>
      </c>
      <c r="H48" t="str">
        <f>IFERROR(__xludf.DUMMYFUNCTION("""COMPUTED_VALUE"""),"[au]")</f>
        <v>[au]</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IFERROR(__xludf.DUMMYFUNCTION("IMPORTHTML(""https://fr.wikipedia.org/wiki/Liste_des_présidents_des_États-Unis"", ""table"")"),"N°")</f>
        <v>N°</v>
      </c>
      <c r="B1" t="str">
        <f>IFERROR(__xludf.DUMMYFUNCTION("""COMPUTED_VALUE"""),"Titulaire
(Naissance-Mort)
État d'origine")</f>
        <v>Titulaire
(Naissance-Mort)
État d'origine</v>
      </c>
      <c r="D1" t="str">
        <f>IFERROR(__xludf.DUMMYFUNCTION("""COMPUTED_VALUE"""),"Début de mandat")</f>
        <v>Début de mandat</v>
      </c>
      <c r="E1" t="str">
        <f>IFERROR(__xludf.DUMMYFUNCTION("""COMPUTED_VALUE"""),"Fin de mandat")</f>
        <v>Fin de mandat</v>
      </c>
      <c r="F1" t="str">
        <f>IFERROR(__xludf.DUMMYFUNCTION("""COMPUTED_VALUE"""),"Parti")</f>
        <v>Parti</v>
      </c>
      <c r="H1" t="str">
        <f>IFERROR(__xludf.DUMMYFUNCTION("""COMPUTED_VALUE"""),"Notes")</f>
        <v>Notes</v>
      </c>
    </row>
    <row r="2">
      <c r="A2">
        <f>IFERROR(__xludf.DUMMYFUNCTION("""COMPUTED_VALUE"""),1.0)</f>
        <v>1</v>
      </c>
      <c r="B2" t="str">
        <f>IFERROR(__xludf.DUMMYFUNCTION("""COMPUTED_VALUE"""),"*George Washington*
(1732-1799)
VA")</f>
        <v>*George Washington*
(1732-1799)
VA</v>
      </c>
      <c r="D2" s="13">
        <f>IFERROR(__xludf.DUMMYFUNCTION("""COMPUTED_VALUE"""),-40420.0)</f>
        <v>-40420</v>
      </c>
      <c r="E2" s="13">
        <f>IFERROR(__xludf.DUMMYFUNCTION("""COMPUTED_VALUE"""),-37555.0)</f>
        <v>-37555</v>
      </c>
      <c r="G2" t="str">
        <f>IFERROR(__xludf.DUMMYFUNCTION("""COMPUTED_VALUE"""),"Indépendant")</f>
        <v>Indépendant</v>
      </c>
      <c r="H2" t="str">
        <f>IFERROR(__xludf.DUMMYFUNCTION("""COMPUTED_VALUE"""),"[a]")</f>
        <v>[a]</v>
      </c>
    </row>
    <row r="3">
      <c r="A3">
        <f>IFERROR(__xludf.DUMMYFUNCTION("""COMPUTED_VALUE"""),2.0)</f>
        <v>2</v>
      </c>
      <c r="B3" t="str">
        <f>IFERROR(__xludf.DUMMYFUNCTION("""COMPUTED_VALUE"""),"*John Adams*
(1735-1826)
MA")</f>
        <v>*John Adams*
(1735-1826)
MA</v>
      </c>
      <c r="D3" s="13">
        <f>IFERROR(__xludf.DUMMYFUNCTION("""COMPUTED_VALUE"""),-37555.0)</f>
        <v>-37555</v>
      </c>
      <c r="E3" s="13">
        <f>IFERROR(__xludf.DUMMYFUNCTION("""COMPUTED_VALUE"""),-36095.0)</f>
        <v>-36095</v>
      </c>
      <c r="G3" t="str">
        <f>IFERROR(__xludf.DUMMYFUNCTION("""COMPUTED_VALUE"""),"Fédéraliste")</f>
        <v>Fédéraliste</v>
      </c>
      <c r="H3" t="str">
        <f>IFERROR(__xludf.DUMMYFUNCTION("""COMPUTED_VALUE"""),"[b]")</f>
        <v>[b]</v>
      </c>
    </row>
    <row r="4">
      <c r="A4">
        <f>IFERROR(__xludf.DUMMYFUNCTION("""COMPUTED_VALUE"""),3.0)</f>
        <v>3</v>
      </c>
      <c r="B4" t="str">
        <f>IFERROR(__xludf.DUMMYFUNCTION("""COMPUTED_VALUE"""),"*Thomas Jefferson*
(1743-1826)
VA")</f>
        <v>*Thomas Jefferson*
(1743-1826)
VA</v>
      </c>
      <c r="D4" s="13">
        <f>IFERROR(__xludf.DUMMYFUNCTION("""COMPUTED_VALUE"""),-36095.0)</f>
        <v>-36095</v>
      </c>
      <c r="E4" s="13">
        <f>IFERROR(__xludf.DUMMYFUNCTION("""COMPUTED_VALUE"""),-33173.0)</f>
        <v>-33173</v>
      </c>
      <c r="G4" t="str">
        <f>IFERROR(__xludf.DUMMYFUNCTION("""COMPUTED_VALUE"""),"Républicain-
démocrate")</f>
        <v>Républicain-
démocrate</v>
      </c>
      <c r="H4" t="str">
        <f>IFERROR(__xludf.DUMMYFUNCTION("""COMPUTED_VALUE"""),"[c]")</f>
        <v>[c]</v>
      </c>
    </row>
    <row r="5">
      <c r="A5">
        <f>IFERROR(__xludf.DUMMYFUNCTION("""COMPUTED_VALUE"""),4.0)</f>
        <v>4</v>
      </c>
      <c r="B5" t="str">
        <f>IFERROR(__xludf.DUMMYFUNCTION("""COMPUTED_VALUE"""),"*James Madison*
(1751-1836)
VA")</f>
        <v>*James Madison*
(1751-1836)
VA</v>
      </c>
      <c r="D5" s="13">
        <f>IFERROR(__xludf.DUMMYFUNCTION("""COMPUTED_VALUE"""),-33173.0)</f>
        <v>-33173</v>
      </c>
      <c r="E5" s="13">
        <f>IFERROR(__xludf.DUMMYFUNCTION("""COMPUTED_VALUE"""),-30251.0)</f>
        <v>-30251</v>
      </c>
      <c r="G5" t="str">
        <f>IFERROR(__xludf.DUMMYFUNCTION("""COMPUTED_VALUE"""),"Républicain-
démocrate")</f>
        <v>Républicain-
démocrate</v>
      </c>
      <c r="H5" t="str">
        <f>IFERROR(__xludf.DUMMYFUNCTION("""COMPUTED_VALUE"""),"[d]")</f>
        <v>[d]</v>
      </c>
    </row>
    <row r="6">
      <c r="A6">
        <f>IFERROR(__xludf.DUMMYFUNCTION("""COMPUTED_VALUE"""),5.0)</f>
        <v>5</v>
      </c>
      <c r="B6" t="str">
        <f>IFERROR(__xludf.DUMMYFUNCTION("""COMPUTED_VALUE"""),"*James Monroe*
(1758-1831)
VA")</f>
        <v>*James Monroe*
(1758-1831)
VA</v>
      </c>
      <c r="D6" s="13">
        <f>IFERROR(__xludf.DUMMYFUNCTION("""COMPUTED_VALUE"""),-30251.0)</f>
        <v>-30251</v>
      </c>
      <c r="E6" s="13">
        <f>IFERROR(__xludf.DUMMYFUNCTION("""COMPUTED_VALUE"""),-27329.0)</f>
        <v>-27329</v>
      </c>
      <c r="G6" t="str">
        <f>IFERROR(__xludf.DUMMYFUNCTION("""COMPUTED_VALUE"""),"Républicain-
démocrate")</f>
        <v>Républicain-
démocrate</v>
      </c>
      <c r="H6" t="str">
        <f>IFERROR(__xludf.DUMMYFUNCTION("""COMPUTED_VALUE"""),"[e]")</f>
        <v>[e]</v>
      </c>
    </row>
    <row r="7">
      <c r="A7">
        <f>IFERROR(__xludf.DUMMYFUNCTION("""COMPUTED_VALUE"""),6.0)</f>
        <v>6</v>
      </c>
      <c r="B7" t="str">
        <f>IFERROR(__xludf.DUMMYFUNCTION("""COMPUTED_VALUE"""),"*John Quincy Adams*
(1767-1848)
MA")</f>
        <v>*John Quincy Adams*
(1767-1848)
MA</v>
      </c>
      <c r="D7" s="13">
        <f>IFERROR(__xludf.DUMMYFUNCTION("""COMPUTED_VALUE"""),-27329.0)</f>
        <v>-27329</v>
      </c>
      <c r="E7" s="13">
        <f>IFERROR(__xludf.DUMMYFUNCTION("""COMPUTED_VALUE"""),-25868.0)</f>
        <v>-25868</v>
      </c>
      <c r="G7" t="str">
        <f>IFERROR(__xludf.DUMMYFUNCTION("""COMPUTED_VALUE"""),"Républicain-
démocrate
------------------------------
National-républicain")</f>
        <v>Républicain-
démocrate
------------------------------
National-républicain</v>
      </c>
      <c r="H7" t="str">
        <f>IFERROR(__xludf.DUMMYFUNCTION("""COMPUTED_VALUE"""),"[f]")</f>
        <v>[f]</v>
      </c>
    </row>
    <row r="8">
      <c r="A8">
        <f>IFERROR(__xludf.DUMMYFUNCTION("""COMPUTED_VALUE"""),7.0)</f>
        <v>7</v>
      </c>
      <c r="B8" t="str">
        <f>IFERROR(__xludf.DUMMYFUNCTION("""COMPUTED_VALUE"""),"*Andrew Jackson*
(1767-1845)
TN")</f>
        <v>*Andrew Jackson*
(1767-1845)
TN</v>
      </c>
      <c r="D8" s="13">
        <f>IFERROR(__xludf.DUMMYFUNCTION("""COMPUTED_VALUE"""),-25868.0)</f>
        <v>-25868</v>
      </c>
      <c r="E8" s="13">
        <f>IFERROR(__xludf.DUMMYFUNCTION("""COMPUTED_VALUE"""),-22946.0)</f>
        <v>-22946</v>
      </c>
      <c r="G8" t="str">
        <f>IFERROR(__xludf.DUMMYFUNCTION("""COMPUTED_VALUE"""),"Démocrate")</f>
        <v>Démocrate</v>
      </c>
      <c r="H8" t="str">
        <f>IFERROR(__xludf.DUMMYFUNCTION("""COMPUTED_VALUE"""),"[g]")</f>
        <v>[g]</v>
      </c>
    </row>
    <row r="9">
      <c r="A9">
        <f>IFERROR(__xludf.DUMMYFUNCTION("""COMPUTED_VALUE"""),8.0)</f>
        <v>8</v>
      </c>
      <c r="B9" t="str">
        <f>IFERROR(__xludf.DUMMYFUNCTION("""COMPUTED_VALUE"""),"*Martin Van Buren*
(1782-1862)
NY")</f>
        <v>*Martin Van Buren*
(1782-1862)
NY</v>
      </c>
      <c r="D9" s="13">
        <f>IFERROR(__xludf.DUMMYFUNCTION("""COMPUTED_VALUE"""),-22946.0)</f>
        <v>-22946</v>
      </c>
      <c r="E9" s="13">
        <f>IFERROR(__xludf.DUMMYFUNCTION("""COMPUTED_VALUE"""),-21485.0)</f>
        <v>-21485</v>
      </c>
      <c r="G9" t="str">
        <f>IFERROR(__xludf.DUMMYFUNCTION("""COMPUTED_VALUE"""),"Démocrate")</f>
        <v>Démocrate</v>
      </c>
      <c r="H9" t="str">
        <f>IFERROR(__xludf.DUMMYFUNCTION("""COMPUTED_VALUE"""),"[h]")</f>
        <v>[h]</v>
      </c>
    </row>
    <row r="10">
      <c r="A10">
        <f>IFERROR(__xludf.DUMMYFUNCTION("""COMPUTED_VALUE"""),9.0)</f>
        <v>9</v>
      </c>
      <c r="B10" t="str">
        <f>IFERROR(__xludf.DUMMYFUNCTION("""COMPUTED_VALUE"""),"*William Henry Harrison*
(1773-1841)
OH")</f>
        <v>*William Henry Harrison*
(1773-1841)
OH</v>
      </c>
      <c r="D10" s="13">
        <f>IFERROR(__xludf.DUMMYFUNCTION("""COMPUTED_VALUE"""),-21485.0)</f>
        <v>-21485</v>
      </c>
      <c r="E10" s="13">
        <f>IFERROR(__xludf.DUMMYFUNCTION("""COMPUTED_VALUE"""),-21454.0)</f>
        <v>-21454</v>
      </c>
      <c r="G10" t="str">
        <f>IFERROR(__xludf.DUMMYFUNCTION("""COMPUTED_VALUE"""),"Whig")</f>
        <v>Whig</v>
      </c>
      <c r="H10" t="str">
        <f>IFERROR(__xludf.DUMMYFUNCTION("""COMPUTED_VALUE"""),"[i]")</f>
        <v>[i]</v>
      </c>
    </row>
    <row r="11">
      <c r="A11">
        <f>IFERROR(__xludf.DUMMYFUNCTION("""COMPUTED_VALUE"""),10.0)</f>
        <v>10</v>
      </c>
      <c r="B11" t="str">
        <f>IFERROR(__xludf.DUMMYFUNCTION("""COMPUTED_VALUE"""),"*John Tyler*
(1790-1862)
VA")</f>
        <v>*John Tyler*
(1790-1862)
VA</v>
      </c>
      <c r="D11" s="13">
        <f>IFERROR(__xludf.DUMMYFUNCTION("""COMPUTED_VALUE"""),-21454.0)</f>
        <v>-21454</v>
      </c>
      <c r="E11" s="13">
        <f>IFERROR(__xludf.DUMMYFUNCTION("""COMPUTED_VALUE"""),-20024.0)</f>
        <v>-20024</v>
      </c>
      <c r="G11" t="str">
        <f>IFERROR(__xludf.DUMMYFUNCTION("""COMPUTED_VALUE"""),"Indépendant")</f>
        <v>Indépendant</v>
      </c>
      <c r="H11" t="str">
        <f>IFERROR(__xludf.DUMMYFUNCTION("""COMPUTED_VALUE"""),"[j]")</f>
        <v>[j]</v>
      </c>
    </row>
    <row r="12">
      <c r="A12">
        <f>IFERROR(__xludf.DUMMYFUNCTION("""COMPUTED_VALUE"""),11.0)</f>
        <v>11</v>
      </c>
      <c r="B12" t="str">
        <f>IFERROR(__xludf.DUMMYFUNCTION("""COMPUTED_VALUE"""),"*James K. Polk*
(1795-1849)
TN")</f>
        <v>*James K. Polk*
(1795-1849)
TN</v>
      </c>
      <c r="D12" s="13">
        <f>IFERROR(__xludf.DUMMYFUNCTION("""COMPUTED_VALUE"""),-20024.0)</f>
        <v>-20024</v>
      </c>
      <c r="E12" s="13">
        <f>IFERROR(__xludf.DUMMYFUNCTION("""COMPUTED_VALUE"""),-18563.0)</f>
        <v>-18563</v>
      </c>
      <c r="G12" t="str">
        <f>IFERROR(__xludf.DUMMYFUNCTION("""COMPUTED_VALUE"""),"Démocrate")</f>
        <v>Démocrate</v>
      </c>
      <c r="H12" t="str">
        <f>IFERROR(__xludf.DUMMYFUNCTION("""COMPUTED_VALUE"""),"[k]")</f>
        <v>[k]</v>
      </c>
    </row>
    <row r="13">
      <c r="A13">
        <f>IFERROR(__xludf.DUMMYFUNCTION("""COMPUTED_VALUE"""),12.0)</f>
        <v>12</v>
      </c>
      <c r="B13" t="str">
        <f>IFERROR(__xludf.DUMMYFUNCTION("""COMPUTED_VALUE"""),"*Zachary Taylor*
(1784-1850)
KY")</f>
        <v>*Zachary Taylor*
(1784-1850)
KY</v>
      </c>
      <c r="D13" s="13">
        <f>IFERROR(__xludf.DUMMYFUNCTION("""COMPUTED_VALUE"""),-18563.0)</f>
        <v>-18563</v>
      </c>
      <c r="E13" s="13">
        <f>IFERROR(__xludf.DUMMYFUNCTION("""COMPUTED_VALUE"""),-18071.0)</f>
        <v>-18071</v>
      </c>
      <c r="G13" t="str">
        <f>IFERROR(__xludf.DUMMYFUNCTION("""COMPUTED_VALUE"""),"Whig")</f>
        <v>Whig</v>
      </c>
      <c r="H13" t="str">
        <f>IFERROR(__xludf.DUMMYFUNCTION("""COMPUTED_VALUE"""),"[l]")</f>
        <v>[l]</v>
      </c>
    </row>
    <row r="14">
      <c r="A14">
        <f>IFERROR(__xludf.DUMMYFUNCTION("""COMPUTED_VALUE"""),13.0)</f>
        <v>13</v>
      </c>
      <c r="B14" t="str">
        <f>IFERROR(__xludf.DUMMYFUNCTION("""COMPUTED_VALUE"""),"*Millard Fillmore*
(1800-1874)
NY")</f>
        <v>*Millard Fillmore*
(1800-1874)
NY</v>
      </c>
      <c r="D14" s="13">
        <f>IFERROR(__xludf.DUMMYFUNCTION("""COMPUTED_VALUE"""),-18071.0)</f>
        <v>-18071</v>
      </c>
      <c r="E14" s="13">
        <f>IFERROR(__xludf.DUMMYFUNCTION("""COMPUTED_VALUE"""),-17102.0)</f>
        <v>-17102</v>
      </c>
      <c r="G14" t="str">
        <f>IFERROR(__xludf.DUMMYFUNCTION("""COMPUTED_VALUE"""),"Whig")</f>
        <v>Whig</v>
      </c>
      <c r="H14" t="str">
        <f>IFERROR(__xludf.DUMMYFUNCTION("""COMPUTED_VALUE"""),"[m]")</f>
        <v>[m]</v>
      </c>
    </row>
    <row r="15">
      <c r="A15">
        <f>IFERROR(__xludf.DUMMYFUNCTION("""COMPUTED_VALUE"""),14.0)</f>
        <v>14</v>
      </c>
      <c r="B15" t="str">
        <f>IFERROR(__xludf.DUMMYFUNCTION("""COMPUTED_VALUE"""),"*Franklin Pierce*
(1804-1869)
NH")</f>
        <v>*Franklin Pierce*
(1804-1869)
NH</v>
      </c>
      <c r="D15" s="13">
        <f>IFERROR(__xludf.DUMMYFUNCTION("""COMPUTED_VALUE"""),-17102.0)</f>
        <v>-17102</v>
      </c>
      <c r="E15" s="13">
        <f>IFERROR(__xludf.DUMMYFUNCTION("""COMPUTED_VALUE"""),-15641.0)</f>
        <v>-15641</v>
      </c>
      <c r="G15" t="str">
        <f>IFERROR(__xludf.DUMMYFUNCTION("""COMPUTED_VALUE"""),"Démocrate")</f>
        <v>Démocrate</v>
      </c>
      <c r="H15" t="str">
        <f>IFERROR(__xludf.DUMMYFUNCTION("""COMPUTED_VALUE"""),"[n]")</f>
        <v>[n]</v>
      </c>
    </row>
    <row r="16">
      <c r="A16">
        <f>IFERROR(__xludf.DUMMYFUNCTION("""COMPUTED_VALUE"""),15.0)</f>
        <v>15</v>
      </c>
      <c r="B16" t="str">
        <f>IFERROR(__xludf.DUMMYFUNCTION("""COMPUTED_VALUE"""),"*James Buchanan*
(1791-1868)
PA")</f>
        <v>*James Buchanan*
(1791-1868)
PA</v>
      </c>
      <c r="D16" s="13">
        <f>IFERROR(__xludf.DUMMYFUNCTION("""COMPUTED_VALUE"""),-15641.0)</f>
        <v>-15641</v>
      </c>
      <c r="E16" s="13">
        <f>IFERROR(__xludf.DUMMYFUNCTION("""COMPUTED_VALUE"""),-14180.0)</f>
        <v>-14180</v>
      </c>
      <c r="G16" t="str">
        <f>IFERROR(__xludf.DUMMYFUNCTION("""COMPUTED_VALUE"""),"Démocrate")</f>
        <v>Démocrate</v>
      </c>
      <c r="H16" t="str">
        <f>IFERROR(__xludf.DUMMYFUNCTION("""COMPUTED_VALUE"""),"[o]")</f>
        <v>[o]</v>
      </c>
    </row>
    <row r="17">
      <c r="A17">
        <f>IFERROR(__xludf.DUMMYFUNCTION("""COMPUTED_VALUE"""),16.0)</f>
        <v>16</v>
      </c>
      <c r="B17" t="str">
        <f>IFERROR(__xludf.DUMMYFUNCTION("""COMPUTED_VALUE"""),"*Abraham Lincoln*
(1809-1865)
IL")</f>
        <v>*Abraham Lincoln*
(1809-1865)
IL</v>
      </c>
      <c r="D17" s="13">
        <f>IFERROR(__xludf.DUMMYFUNCTION("""COMPUTED_VALUE"""),-14180.0)</f>
        <v>-14180</v>
      </c>
      <c r="E17" s="13">
        <f>IFERROR(__xludf.DUMMYFUNCTION("""COMPUTED_VALUE"""),-12677.0)</f>
        <v>-12677</v>
      </c>
      <c r="G17" t="str">
        <f>IFERROR(__xludf.DUMMYFUNCTION("""COMPUTED_VALUE"""),"Républicain
------------------------------
Union (en)")</f>
        <v>Républicain
------------------------------
Union (en)</v>
      </c>
      <c r="H17" t="str">
        <f>IFERROR(__xludf.DUMMYFUNCTION("""COMPUTED_VALUE"""),"[p]")</f>
        <v>[p]</v>
      </c>
    </row>
    <row r="18">
      <c r="A18">
        <f>IFERROR(__xludf.DUMMYFUNCTION("""COMPUTED_VALUE"""),17.0)</f>
        <v>17</v>
      </c>
      <c r="B18" t="str">
        <f>IFERROR(__xludf.DUMMYFUNCTION("""COMPUTED_VALUE"""),"*Andrew Johnson*
(1808-1875)
TN")</f>
        <v>*Andrew Johnson*
(1808-1875)
TN</v>
      </c>
      <c r="D18" s="13">
        <f>IFERROR(__xludf.DUMMYFUNCTION("""COMPUTED_VALUE"""),-12677.0)</f>
        <v>-12677</v>
      </c>
      <c r="E18" s="13">
        <f>IFERROR(__xludf.DUMMYFUNCTION("""COMPUTED_VALUE"""),-11258.0)</f>
        <v>-11258</v>
      </c>
      <c r="G18" t="str">
        <f>IFERROR(__xludf.DUMMYFUNCTION("""COMPUTED_VALUE"""),"Union (en)
------------------------------
Démocrate")</f>
        <v>Union (en)
------------------------------
Démocrate</v>
      </c>
      <c r="H18" t="str">
        <f>IFERROR(__xludf.DUMMYFUNCTION("""COMPUTED_VALUE"""),"[q]")</f>
        <v>[q]</v>
      </c>
    </row>
    <row r="19">
      <c r="A19">
        <f>IFERROR(__xludf.DUMMYFUNCTION("""COMPUTED_VALUE"""),18.0)</f>
        <v>18</v>
      </c>
      <c r="B19" t="str">
        <f>IFERROR(__xludf.DUMMYFUNCTION("""COMPUTED_VALUE"""),"*Ulysses S. Grant*
(1822-1885)
IL")</f>
        <v>*Ulysses S. Grant*
(1822-1885)
IL</v>
      </c>
      <c r="D19" s="13">
        <f>IFERROR(__xludf.DUMMYFUNCTION("""COMPUTED_VALUE"""),-11258.0)</f>
        <v>-11258</v>
      </c>
      <c r="E19" s="13">
        <f>IFERROR(__xludf.DUMMYFUNCTION("""COMPUTED_VALUE"""),-8336.0)</f>
        <v>-8336</v>
      </c>
      <c r="G19" t="str">
        <f>IFERROR(__xludf.DUMMYFUNCTION("""COMPUTED_VALUE"""),"Républicain")</f>
        <v>Républicain</v>
      </c>
      <c r="H19" t="str">
        <f>IFERROR(__xludf.DUMMYFUNCTION("""COMPUTED_VALUE"""),"[r]")</f>
        <v>[r]</v>
      </c>
    </row>
    <row r="20">
      <c r="A20">
        <f>IFERROR(__xludf.DUMMYFUNCTION("""COMPUTED_VALUE"""),19.0)</f>
        <v>19</v>
      </c>
      <c r="B20" t="str">
        <f>IFERROR(__xludf.DUMMYFUNCTION("""COMPUTED_VALUE"""),"*Rutherford B. Hayes*
(1822-1893)
OH")</f>
        <v>*Rutherford B. Hayes*
(1822-1893)
OH</v>
      </c>
      <c r="D20" s="13">
        <f>IFERROR(__xludf.DUMMYFUNCTION("""COMPUTED_VALUE"""),-8336.0)</f>
        <v>-8336</v>
      </c>
      <c r="E20" s="13">
        <f>IFERROR(__xludf.DUMMYFUNCTION("""COMPUTED_VALUE"""),-6875.0)</f>
        <v>-6875</v>
      </c>
      <c r="G20" t="str">
        <f>IFERROR(__xludf.DUMMYFUNCTION("""COMPUTED_VALUE"""),"Républicain")</f>
        <v>Républicain</v>
      </c>
      <c r="H20" t="str">
        <f>IFERROR(__xludf.DUMMYFUNCTION("""COMPUTED_VALUE"""),"[s]")</f>
        <v>[s]</v>
      </c>
    </row>
    <row r="21">
      <c r="A21">
        <f>IFERROR(__xludf.DUMMYFUNCTION("""COMPUTED_VALUE"""),20.0)</f>
        <v>20</v>
      </c>
      <c r="B21" t="str">
        <f>IFERROR(__xludf.DUMMYFUNCTION("""COMPUTED_VALUE"""),"*James A. Garfield*
(1831-1881)
OH")</f>
        <v>*James A. Garfield*
(1831-1881)
OH</v>
      </c>
      <c r="D21" s="13">
        <f>IFERROR(__xludf.DUMMYFUNCTION("""COMPUTED_VALUE"""),-6875.0)</f>
        <v>-6875</v>
      </c>
      <c r="E21" s="13">
        <f>IFERROR(__xludf.DUMMYFUNCTION("""COMPUTED_VALUE"""),-6676.0)</f>
        <v>-6676</v>
      </c>
      <c r="G21" t="str">
        <f>IFERROR(__xludf.DUMMYFUNCTION("""COMPUTED_VALUE"""),"Républicain")</f>
        <v>Républicain</v>
      </c>
      <c r="H21" t="str">
        <f>IFERROR(__xludf.DUMMYFUNCTION("""COMPUTED_VALUE"""),"[t]")</f>
        <v>[t]</v>
      </c>
    </row>
    <row r="22">
      <c r="A22">
        <f>IFERROR(__xludf.DUMMYFUNCTION("""COMPUTED_VALUE"""),21.0)</f>
        <v>21</v>
      </c>
      <c r="B22" t="str">
        <f>IFERROR(__xludf.DUMMYFUNCTION("""COMPUTED_VALUE"""),"*Chester A. Arthur*
(1829-1886)
NY")</f>
        <v>*Chester A. Arthur*
(1829-1886)
NY</v>
      </c>
      <c r="D22" s="13">
        <f>IFERROR(__xludf.DUMMYFUNCTION("""COMPUTED_VALUE"""),-6676.0)</f>
        <v>-6676</v>
      </c>
      <c r="E22" s="13">
        <f>IFERROR(__xludf.DUMMYFUNCTION("""COMPUTED_VALUE"""),-5414.0)</f>
        <v>-5414</v>
      </c>
      <c r="G22" t="str">
        <f>IFERROR(__xludf.DUMMYFUNCTION("""COMPUTED_VALUE"""),"Républicain")</f>
        <v>Républicain</v>
      </c>
      <c r="H22" t="str">
        <f>IFERROR(__xludf.DUMMYFUNCTION("""COMPUTED_VALUE"""),"[u]")</f>
        <v>[u]</v>
      </c>
    </row>
    <row r="23">
      <c r="A23">
        <f>IFERROR(__xludf.DUMMYFUNCTION("""COMPUTED_VALUE"""),22.0)</f>
        <v>22</v>
      </c>
      <c r="B23" t="str">
        <f>IFERROR(__xludf.DUMMYFUNCTION("""COMPUTED_VALUE"""),"*Grover Cleveland*
(1837-1908)
NY
*1re fois*")</f>
        <v>*Grover Cleveland*
(1837-1908)
NY
*1re fois*</v>
      </c>
      <c r="D23" s="13">
        <f>IFERROR(__xludf.DUMMYFUNCTION("""COMPUTED_VALUE"""),-5414.0)</f>
        <v>-5414</v>
      </c>
      <c r="E23" s="13">
        <f>IFERROR(__xludf.DUMMYFUNCTION("""COMPUTED_VALUE"""),-3953.0)</f>
        <v>-3953</v>
      </c>
      <c r="G23" t="str">
        <f>IFERROR(__xludf.DUMMYFUNCTION("""COMPUTED_VALUE"""),"Démocrate")</f>
        <v>Démocrate</v>
      </c>
      <c r="H23" t="str">
        <f>IFERROR(__xludf.DUMMYFUNCTION("""COMPUTED_VALUE"""),"[v]")</f>
        <v>[v]</v>
      </c>
    </row>
    <row r="24">
      <c r="A24">
        <f>IFERROR(__xludf.DUMMYFUNCTION("""COMPUTED_VALUE"""),23.0)</f>
        <v>23</v>
      </c>
      <c r="B24" t="str">
        <f>IFERROR(__xludf.DUMMYFUNCTION("""COMPUTED_VALUE"""),"*Benjamin Harrison*
(1833-1901)
IN")</f>
        <v>*Benjamin Harrison*
(1833-1901)
IN</v>
      </c>
      <c r="D24" s="13">
        <f>IFERROR(__xludf.DUMMYFUNCTION("""COMPUTED_VALUE"""),-3953.0)</f>
        <v>-3953</v>
      </c>
      <c r="E24" s="13">
        <f>IFERROR(__xludf.DUMMYFUNCTION("""COMPUTED_VALUE"""),-2492.0)</f>
        <v>-2492</v>
      </c>
      <c r="G24" t="str">
        <f>IFERROR(__xludf.DUMMYFUNCTION("""COMPUTED_VALUE"""),"Républicain")</f>
        <v>Républicain</v>
      </c>
      <c r="H24" t="str">
        <f>IFERROR(__xludf.DUMMYFUNCTION("""COMPUTED_VALUE"""),"[w]")</f>
        <v>[w]</v>
      </c>
    </row>
    <row r="25">
      <c r="A25">
        <f>IFERROR(__xludf.DUMMYFUNCTION("""COMPUTED_VALUE"""),24.0)</f>
        <v>24</v>
      </c>
      <c r="B25" t="str">
        <f>IFERROR(__xludf.DUMMYFUNCTION("""COMPUTED_VALUE"""),"*Grover Cleveland*
(1837-1908)
NY
*2de fois*")</f>
        <v>*Grover Cleveland*
(1837-1908)
NY
*2de fois*</v>
      </c>
      <c r="D25" s="13">
        <f>IFERROR(__xludf.DUMMYFUNCTION("""COMPUTED_VALUE"""),-2492.0)</f>
        <v>-2492</v>
      </c>
      <c r="E25" s="13">
        <f>IFERROR(__xludf.DUMMYFUNCTION("""COMPUTED_VALUE"""),-1031.0)</f>
        <v>-1031</v>
      </c>
      <c r="G25" t="str">
        <f>IFERROR(__xludf.DUMMYFUNCTION("""COMPUTED_VALUE"""),"Démocrate")</f>
        <v>Démocrate</v>
      </c>
      <c r="H25" t="str">
        <f>IFERROR(__xludf.DUMMYFUNCTION("""COMPUTED_VALUE"""),"[x]")</f>
        <v>[x]</v>
      </c>
    </row>
    <row r="26">
      <c r="A26">
        <f>IFERROR(__xludf.DUMMYFUNCTION("""COMPUTED_VALUE"""),25.0)</f>
        <v>25</v>
      </c>
      <c r="B26" t="str">
        <f>IFERROR(__xludf.DUMMYFUNCTION("""COMPUTED_VALUE"""),"*William McKinley*
(1843-1901)
OH")</f>
        <v>*William McKinley*
(1843-1901)
OH</v>
      </c>
      <c r="D26" s="13">
        <f>IFERROR(__xludf.DUMMYFUNCTION("""COMPUTED_VALUE"""),-1031.0)</f>
        <v>-1031</v>
      </c>
      <c r="E26" s="13">
        <f>IFERROR(__xludf.DUMMYFUNCTION("""COMPUTED_VALUE"""),623.0)</f>
        <v>623</v>
      </c>
      <c r="G26" t="str">
        <f>IFERROR(__xludf.DUMMYFUNCTION("""COMPUTED_VALUE"""),"Républicain")</f>
        <v>Républicain</v>
      </c>
      <c r="H26" t="str">
        <f>IFERROR(__xludf.DUMMYFUNCTION("""COMPUTED_VALUE"""),"[y]")</f>
        <v>[y]</v>
      </c>
    </row>
    <row r="27">
      <c r="A27">
        <f>IFERROR(__xludf.DUMMYFUNCTION("""COMPUTED_VALUE"""),26.0)</f>
        <v>26</v>
      </c>
      <c r="B27" t="str">
        <f>IFERROR(__xludf.DUMMYFUNCTION("""COMPUTED_VALUE"""),"*Theodore Roosevelt*
(1858-1919)
NY")</f>
        <v>*Theodore Roosevelt*
(1858-1919)
NY</v>
      </c>
      <c r="D27" s="13">
        <f>IFERROR(__xludf.DUMMYFUNCTION("""COMPUTED_VALUE"""),623.0)</f>
        <v>623</v>
      </c>
      <c r="E27" s="13">
        <f>IFERROR(__xludf.DUMMYFUNCTION("""COMPUTED_VALUE"""),3351.0)</f>
        <v>3351</v>
      </c>
      <c r="G27" t="str">
        <f>IFERROR(__xludf.DUMMYFUNCTION("""COMPUTED_VALUE"""),"Républicain")</f>
        <v>Républicain</v>
      </c>
      <c r="H27" t="str">
        <f>IFERROR(__xludf.DUMMYFUNCTION("""COMPUTED_VALUE"""),"[z]")</f>
        <v>[z]</v>
      </c>
    </row>
    <row r="28">
      <c r="A28">
        <f>IFERROR(__xludf.DUMMYFUNCTION("""COMPUTED_VALUE"""),27.0)</f>
        <v>27</v>
      </c>
      <c r="B28" t="str">
        <f>IFERROR(__xludf.DUMMYFUNCTION("""COMPUTED_VALUE"""),"*William H. Taft*
(1857-1930)
OH")</f>
        <v>*William H. Taft*
(1857-1930)
OH</v>
      </c>
      <c r="D28" s="13">
        <f>IFERROR(__xludf.DUMMYFUNCTION("""COMPUTED_VALUE"""),3351.0)</f>
        <v>3351</v>
      </c>
      <c r="E28" s="13">
        <f>IFERROR(__xludf.DUMMYFUNCTION("""COMPUTED_VALUE"""),4812.0)</f>
        <v>4812</v>
      </c>
      <c r="G28" t="str">
        <f>IFERROR(__xludf.DUMMYFUNCTION("""COMPUTED_VALUE"""),"Républicain")</f>
        <v>Républicain</v>
      </c>
      <c r="H28" t="str">
        <f>IFERROR(__xludf.DUMMYFUNCTION("""COMPUTED_VALUE"""),"[aa]")</f>
        <v>[aa]</v>
      </c>
    </row>
    <row r="29">
      <c r="A29">
        <f>IFERROR(__xludf.DUMMYFUNCTION("""COMPUTED_VALUE"""),28.0)</f>
        <v>28</v>
      </c>
      <c r="B29" t="str">
        <f>IFERROR(__xludf.DUMMYFUNCTION("""COMPUTED_VALUE"""),"*Woodrow Wilson*
(1856-1924)
NJ")</f>
        <v>*Woodrow Wilson*
(1856-1924)
NJ</v>
      </c>
      <c r="D29" s="13">
        <f>IFERROR(__xludf.DUMMYFUNCTION("""COMPUTED_VALUE"""),4812.0)</f>
        <v>4812</v>
      </c>
      <c r="E29" s="13">
        <f>IFERROR(__xludf.DUMMYFUNCTION("""COMPUTED_VALUE"""),7734.0)</f>
        <v>7734</v>
      </c>
      <c r="G29" t="str">
        <f>IFERROR(__xludf.DUMMYFUNCTION("""COMPUTED_VALUE"""),"Démocrate")</f>
        <v>Démocrate</v>
      </c>
      <c r="H29" t="str">
        <f>IFERROR(__xludf.DUMMYFUNCTION("""COMPUTED_VALUE"""),"[ab]")</f>
        <v>[ab]</v>
      </c>
    </row>
    <row r="30">
      <c r="A30">
        <f>IFERROR(__xludf.DUMMYFUNCTION("""COMPUTED_VALUE"""),29.0)</f>
        <v>29</v>
      </c>
      <c r="B30" t="str">
        <f>IFERROR(__xludf.DUMMYFUNCTION("""COMPUTED_VALUE"""),"*Warren G. Harding*
(1865-1923)
OH")</f>
        <v>*Warren G. Harding*
(1865-1923)
OH</v>
      </c>
      <c r="D30" s="13">
        <f>IFERROR(__xludf.DUMMYFUNCTION("""COMPUTED_VALUE"""),7734.0)</f>
        <v>7734</v>
      </c>
      <c r="E30" s="13">
        <f>IFERROR(__xludf.DUMMYFUNCTION("""COMPUTED_VALUE"""),8615.0)</f>
        <v>8615</v>
      </c>
      <c r="G30" t="str">
        <f>IFERROR(__xludf.DUMMYFUNCTION("""COMPUTED_VALUE"""),"Républicain")</f>
        <v>Républicain</v>
      </c>
      <c r="H30" t="str">
        <f>IFERROR(__xludf.DUMMYFUNCTION("""COMPUTED_VALUE"""),"[ac]")</f>
        <v>[ac]</v>
      </c>
    </row>
    <row r="31">
      <c r="A31">
        <f>IFERROR(__xludf.DUMMYFUNCTION("""COMPUTED_VALUE"""),30.0)</f>
        <v>30</v>
      </c>
      <c r="B31" t="str">
        <f>IFERROR(__xludf.DUMMYFUNCTION("""COMPUTED_VALUE"""),"*Calvin Coolidge*
(1872-1933)
MA")</f>
        <v>*Calvin Coolidge*
(1872-1933)
MA</v>
      </c>
      <c r="D31" s="13">
        <f>IFERROR(__xludf.DUMMYFUNCTION("""COMPUTED_VALUE"""),8615.0)</f>
        <v>8615</v>
      </c>
      <c r="E31" s="13">
        <f>IFERROR(__xludf.DUMMYFUNCTION("""COMPUTED_VALUE"""),10656.0)</f>
        <v>10656</v>
      </c>
      <c r="G31" t="str">
        <f>IFERROR(__xludf.DUMMYFUNCTION("""COMPUTED_VALUE"""),"Républicain")</f>
        <v>Républicain</v>
      </c>
      <c r="H31" t="str">
        <f>IFERROR(__xludf.DUMMYFUNCTION("""COMPUTED_VALUE"""),"[ad]")</f>
        <v>[ad]</v>
      </c>
    </row>
    <row r="32">
      <c r="A32">
        <f>IFERROR(__xludf.DUMMYFUNCTION("""COMPUTED_VALUE"""),31.0)</f>
        <v>31</v>
      </c>
      <c r="B32" t="str">
        <f>IFERROR(__xludf.DUMMYFUNCTION("""COMPUTED_VALUE"""),"*Herbert Hoover*
(1874-1964)
CA")</f>
        <v>*Herbert Hoover*
(1874-1964)
CA</v>
      </c>
      <c r="D32" s="13">
        <f>IFERROR(__xludf.DUMMYFUNCTION("""COMPUTED_VALUE"""),10656.0)</f>
        <v>10656</v>
      </c>
      <c r="E32" s="13">
        <f>IFERROR(__xludf.DUMMYFUNCTION("""COMPUTED_VALUE"""),12117.0)</f>
        <v>12117</v>
      </c>
      <c r="G32" t="str">
        <f>IFERROR(__xludf.DUMMYFUNCTION("""COMPUTED_VALUE"""),"Républicain")</f>
        <v>Républicain</v>
      </c>
      <c r="H32" t="str">
        <f>IFERROR(__xludf.DUMMYFUNCTION("""COMPUTED_VALUE"""),"[ae]")</f>
        <v>[ae]</v>
      </c>
    </row>
    <row r="33">
      <c r="A33">
        <f>IFERROR(__xludf.DUMMYFUNCTION("""COMPUTED_VALUE"""),32.0)</f>
        <v>32</v>
      </c>
      <c r="B33" t="str">
        <f>IFERROR(__xludf.DUMMYFUNCTION("""COMPUTED_VALUE"""),"*Franklin Delano Roosevelt*
(1882-1945)
NY")</f>
        <v>*Franklin Delano Roosevelt*
(1882-1945)
NY</v>
      </c>
      <c r="D33" s="13">
        <f>IFERROR(__xludf.DUMMYFUNCTION("""COMPUTED_VALUE"""),12117.0)</f>
        <v>12117</v>
      </c>
      <c r="E33" s="13">
        <f>IFERROR(__xludf.DUMMYFUNCTION("""COMPUTED_VALUE"""),16539.0)</f>
        <v>16539</v>
      </c>
      <c r="G33" t="str">
        <f>IFERROR(__xludf.DUMMYFUNCTION("""COMPUTED_VALUE"""),"Démocrate")</f>
        <v>Démocrate</v>
      </c>
      <c r="H33" t="str">
        <f>IFERROR(__xludf.DUMMYFUNCTION("""COMPUTED_VALUE"""),"[af]")</f>
        <v>[af]</v>
      </c>
    </row>
    <row r="34">
      <c r="A34">
        <f>IFERROR(__xludf.DUMMYFUNCTION("""COMPUTED_VALUE"""),33.0)</f>
        <v>33</v>
      </c>
      <c r="B34" t="str">
        <f>IFERROR(__xludf.DUMMYFUNCTION("""COMPUTED_VALUE"""),"*Harry S. Truman*
(1884-1972)
MO")</f>
        <v>*Harry S. Truman*
(1884-1972)
MO</v>
      </c>
      <c r="D34" s="13">
        <f>IFERROR(__xludf.DUMMYFUNCTION("""COMPUTED_VALUE"""),16539.0)</f>
        <v>16539</v>
      </c>
      <c r="E34" s="13">
        <f>IFERROR(__xludf.DUMMYFUNCTION("""COMPUTED_VALUE"""),19379.0)</f>
        <v>19379</v>
      </c>
      <c r="G34" t="str">
        <f>IFERROR(__xludf.DUMMYFUNCTION("""COMPUTED_VALUE"""),"Démocrate")</f>
        <v>Démocrate</v>
      </c>
      <c r="H34" t="str">
        <f>IFERROR(__xludf.DUMMYFUNCTION("""COMPUTED_VALUE"""),"[ag]")</f>
        <v>[ag]</v>
      </c>
    </row>
    <row r="35">
      <c r="A35">
        <f>IFERROR(__xludf.DUMMYFUNCTION("""COMPUTED_VALUE"""),34.0)</f>
        <v>34</v>
      </c>
      <c r="B35" t="str">
        <f>IFERROR(__xludf.DUMMYFUNCTION("""COMPUTED_VALUE"""),"*Dwight D. Eisenhower*
(1890-1969)
KS")</f>
        <v>*Dwight D. Eisenhower*
(1890-1969)
KS</v>
      </c>
      <c r="D35" s="13">
        <f>IFERROR(__xludf.DUMMYFUNCTION("""COMPUTED_VALUE"""),19379.0)</f>
        <v>19379</v>
      </c>
      <c r="E35" s="13">
        <f>IFERROR(__xludf.DUMMYFUNCTION("""COMPUTED_VALUE"""),22301.0)</f>
        <v>22301</v>
      </c>
      <c r="G35" t="str">
        <f>IFERROR(__xludf.DUMMYFUNCTION("""COMPUTED_VALUE"""),"Républicain")</f>
        <v>Républicain</v>
      </c>
      <c r="H35" t="str">
        <f>IFERROR(__xludf.DUMMYFUNCTION("""COMPUTED_VALUE"""),"[ah]")</f>
        <v>[ah]</v>
      </c>
    </row>
    <row r="36">
      <c r="A36">
        <f>IFERROR(__xludf.DUMMYFUNCTION("""COMPUTED_VALUE"""),35.0)</f>
        <v>35</v>
      </c>
      <c r="B36" t="str">
        <f>IFERROR(__xludf.DUMMYFUNCTION("""COMPUTED_VALUE"""),"*John Fitzgerald Kennedy*
(1917-1963)
MA")</f>
        <v>*John Fitzgerald Kennedy*
(1917-1963)
MA</v>
      </c>
      <c r="D36" s="13">
        <f>IFERROR(__xludf.DUMMYFUNCTION("""COMPUTED_VALUE"""),22301.0)</f>
        <v>22301</v>
      </c>
      <c r="E36" s="13">
        <f>IFERROR(__xludf.DUMMYFUNCTION("""COMPUTED_VALUE"""),23337.0)</f>
        <v>23337</v>
      </c>
      <c r="G36" t="str">
        <f>IFERROR(__xludf.DUMMYFUNCTION("""COMPUTED_VALUE"""),"Démocrate")</f>
        <v>Démocrate</v>
      </c>
      <c r="H36" t="str">
        <f>IFERROR(__xludf.DUMMYFUNCTION("""COMPUTED_VALUE"""),"[ai]")</f>
        <v>[ai]</v>
      </c>
    </row>
    <row r="37">
      <c r="A37">
        <f>IFERROR(__xludf.DUMMYFUNCTION("""COMPUTED_VALUE"""),36.0)</f>
        <v>36</v>
      </c>
      <c r="B37" t="str">
        <f>IFERROR(__xludf.DUMMYFUNCTION("""COMPUTED_VALUE"""),"*Lyndon B. Johnson*
(1908-1973)
TX")</f>
        <v>*Lyndon B. Johnson*
(1908-1973)
TX</v>
      </c>
      <c r="D37" s="13">
        <f>IFERROR(__xludf.DUMMYFUNCTION("""COMPUTED_VALUE"""),23337.0)</f>
        <v>23337</v>
      </c>
      <c r="E37" s="13">
        <f>IFERROR(__xludf.DUMMYFUNCTION("""COMPUTED_VALUE"""),25223.0)</f>
        <v>25223</v>
      </c>
      <c r="G37" t="str">
        <f>IFERROR(__xludf.DUMMYFUNCTION("""COMPUTED_VALUE"""),"Démocrate")</f>
        <v>Démocrate</v>
      </c>
      <c r="H37" t="str">
        <f>IFERROR(__xludf.DUMMYFUNCTION("""COMPUTED_VALUE"""),"[aj]")</f>
        <v>[aj]</v>
      </c>
    </row>
    <row r="38">
      <c r="A38">
        <f>IFERROR(__xludf.DUMMYFUNCTION("""COMPUTED_VALUE"""),37.0)</f>
        <v>37</v>
      </c>
      <c r="B38" t="str">
        <f>IFERROR(__xludf.DUMMYFUNCTION("""COMPUTED_VALUE"""),"*Richard Nixon*
(1913-1994)
CA")</f>
        <v>*Richard Nixon*
(1913-1994)
CA</v>
      </c>
      <c r="D38" s="13">
        <f>IFERROR(__xludf.DUMMYFUNCTION("""COMPUTED_VALUE"""),25223.0)</f>
        <v>25223</v>
      </c>
      <c r="E38" s="13">
        <f>IFERROR(__xludf.DUMMYFUNCTION("""COMPUTED_VALUE"""),27250.0)</f>
        <v>27250</v>
      </c>
      <c r="G38" t="str">
        <f>IFERROR(__xludf.DUMMYFUNCTION("""COMPUTED_VALUE"""),"Républicain")</f>
        <v>Républicain</v>
      </c>
      <c r="H38" t="str">
        <f>IFERROR(__xludf.DUMMYFUNCTION("""COMPUTED_VALUE"""),"[ak]")</f>
        <v>[ak]</v>
      </c>
    </row>
    <row r="39">
      <c r="A39">
        <f>IFERROR(__xludf.DUMMYFUNCTION("""COMPUTED_VALUE"""),38.0)</f>
        <v>38</v>
      </c>
      <c r="B39" t="str">
        <f>IFERROR(__xludf.DUMMYFUNCTION("""COMPUTED_VALUE"""),"*Gerald Ford*
(1913-2006)
MI")</f>
        <v>*Gerald Ford*
(1913-2006)
MI</v>
      </c>
      <c r="D39" s="13">
        <f>IFERROR(__xludf.DUMMYFUNCTION("""COMPUTED_VALUE"""),27250.0)</f>
        <v>27250</v>
      </c>
      <c r="E39" s="13">
        <f>IFERROR(__xludf.DUMMYFUNCTION("""COMPUTED_VALUE"""),28145.0)</f>
        <v>28145</v>
      </c>
      <c r="G39" t="str">
        <f>IFERROR(__xludf.DUMMYFUNCTION("""COMPUTED_VALUE"""),"Républicain")</f>
        <v>Républicain</v>
      </c>
      <c r="H39" t="str">
        <f>IFERROR(__xludf.DUMMYFUNCTION("""COMPUTED_VALUE"""),"[al]")</f>
        <v>[al]</v>
      </c>
    </row>
    <row r="40">
      <c r="A40">
        <f>IFERROR(__xludf.DUMMYFUNCTION("""COMPUTED_VALUE"""),39.0)</f>
        <v>39</v>
      </c>
      <c r="B40" t="str">
        <f>IFERROR(__xludf.DUMMYFUNCTION("""COMPUTED_VALUE"""),"*Jimmy Carter*
(1924-2024)
GA")</f>
        <v>*Jimmy Carter*
(1924-2024)
GA</v>
      </c>
      <c r="D40" s="13">
        <f>IFERROR(__xludf.DUMMYFUNCTION("""COMPUTED_VALUE"""),28145.0)</f>
        <v>28145</v>
      </c>
      <c r="E40" s="13">
        <f>IFERROR(__xludf.DUMMYFUNCTION("""COMPUTED_VALUE"""),29606.0)</f>
        <v>29606</v>
      </c>
      <c r="G40" t="str">
        <f>IFERROR(__xludf.DUMMYFUNCTION("""COMPUTED_VALUE"""),"Démocrate")</f>
        <v>Démocrate</v>
      </c>
      <c r="H40" t="str">
        <f>IFERROR(__xludf.DUMMYFUNCTION("""COMPUTED_VALUE"""),"[am]")</f>
        <v>[am]</v>
      </c>
    </row>
    <row r="41">
      <c r="A41">
        <f>IFERROR(__xludf.DUMMYFUNCTION("""COMPUTED_VALUE"""),40.0)</f>
        <v>40</v>
      </c>
      <c r="B41" t="str">
        <f>IFERROR(__xludf.DUMMYFUNCTION("""COMPUTED_VALUE"""),"*Ronald Reagan*
(1911-2004)
CA")</f>
        <v>*Ronald Reagan*
(1911-2004)
CA</v>
      </c>
      <c r="D41" s="13">
        <f>IFERROR(__xludf.DUMMYFUNCTION("""COMPUTED_VALUE"""),29606.0)</f>
        <v>29606</v>
      </c>
      <c r="E41" s="13">
        <f>IFERROR(__xludf.DUMMYFUNCTION("""COMPUTED_VALUE"""),32528.0)</f>
        <v>32528</v>
      </c>
      <c r="G41" t="str">
        <f>IFERROR(__xludf.DUMMYFUNCTION("""COMPUTED_VALUE"""),"Républicain")</f>
        <v>Républicain</v>
      </c>
      <c r="H41" t="str">
        <f>IFERROR(__xludf.DUMMYFUNCTION("""COMPUTED_VALUE"""),"[an]")</f>
        <v>[an]</v>
      </c>
    </row>
    <row r="42">
      <c r="A42">
        <f>IFERROR(__xludf.DUMMYFUNCTION("""COMPUTED_VALUE"""),41.0)</f>
        <v>41</v>
      </c>
      <c r="B42" t="str">
        <f>IFERROR(__xludf.DUMMYFUNCTION("""COMPUTED_VALUE"""),"*George H. W. Bush*
(1924-2018)
TX")</f>
        <v>*George H. W. Bush*
(1924-2018)
TX</v>
      </c>
      <c r="D42" s="13">
        <f>IFERROR(__xludf.DUMMYFUNCTION("""COMPUTED_VALUE"""),32528.0)</f>
        <v>32528</v>
      </c>
      <c r="E42" s="13">
        <f>IFERROR(__xludf.DUMMYFUNCTION("""COMPUTED_VALUE"""),33989.0)</f>
        <v>33989</v>
      </c>
      <c r="G42" t="str">
        <f>IFERROR(__xludf.DUMMYFUNCTION("""COMPUTED_VALUE"""),"Républicain")</f>
        <v>Républicain</v>
      </c>
      <c r="H42" t="str">
        <f>IFERROR(__xludf.DUMMYFUNCTION("""COMPUTED_VALUE"""),"[ao]")</f>
        <v>[ao]</v>
      </c>
    </row>
    <row r="43">
      <c r="A43">
        <f>IFERROR(__xludf.DUMMYFUNCTION("""COMPUTED_VALUE"""),42.0)</f>
        <v>42</v>
      </c>
      <c r="B43" t="str">
        <f>IFERROR(__xludf.DUMMYFUNCTION("""COMPUTED_VALUE"""),"*Bill Clinton*
(né en 1946)
AR")</f>
        <v>*Bill Clinton*
(né en 1946)
AR</v>
      </c>
      <c r="D43" s="13">
        <f>IFERROR(__xludf.DUMMYFUNCTION("""COMPUTED_VALUE"""),33989.0)</f>
        <v>33989</v>
      </c>
      <c r="E43" s="13">
        <f>IFERROR(__xludf.DUMMYFUNCTION("""COMPUTED_VALUE"""),36911.0)</f>
        <v>36911</v>
      </c>
      <c r="G43" t="str">
        <f>IFERROR(__xludf.DUMMYFUNCTION("""COMPUTED_VALUE"""),"Démocrate")</f>
        <v>Démocrate</v>
      </c>
      <c r="H43" t="str">
        <f>IFERROR(__xludf.DUMMYFUNCTION("""COMPUTED_VALUE"""),"[ap]")</f>
        <v>[ap]</v>
      </c>
    </row>
    <row r="44">
      <c r="A44">
        <f>IFERROR(__xludf.DUMMYFUNCTION("""COMPUTED_VALUE"""),43.0)</f>
        <v>43</v>
      </c>
      <c r="B44" t="str">
        <f>IFERROR(__xludf.DUMMYFUNCTION("""COMPUTED_VALUE"""),"*George W. Bush*
(né en 1946)
TX")</f>
        <v>*George W. Bush*
(né en 1946)
TX</v>
      </c>
      <c r="D44" s="13">
        <f>IFERROR(__xludf.DUMMYFUNCTION("""COMPUTED_VALUE"""),36911.0)</f>
        <v>36911</v>
      </c>
      <c r="E44" s="13">
        <f>IFERROR(__xludf.DUMMYFUNCTION("""COMPUTED_VALUE"""),39833.0)</f>
        <v>39833</v>
      </c>
      <c r="G44" t="str">
        <f>IFERROR(__xludf.DUMMYFUNCTION("""COMPUTED_VALUE"""),"Républicain")</f>
        <v>Républicain</v>
      </c>
      <c r="H44" t="str">
        <f>IFERROR(__xludf.DUMMYFUNCTION("""COMPUTED_VALUE"""),"[aq]")</f>
        <v>[aq]</v>
      </c>
    </row>
    <row r="45">
      <c r="A45">
        <f>IFERROR(__xludf.DUMMYFUNCTION("""COMPUTED_VALUE"""),44.0)</f>
        <v>44</v>
      </c>
      <c r="B45" t="str">
        <f>IFERROR(__xludf.DUMMYFUNCTION("""COMPUTED_VALUE"""),"*Barack Obama*
(né en 1961)
IL")</f>
        <v>*Barack Obama*
(né en 1961)
IL</v>
      </c>
      <c r="D45" s="13">
        <f>IFERROR(__xludf.DUMMYFUNCTION("""COMPUTED_VALUE"""),39833.0)</f>
        <v>39833</v>
      </c>
      <c r="E45" s="13">
        <f>IFERROR(__xludf.DUMMYFUNCTION("""COMPUTED_VALUE"""),42755.0)</f>
        <v>42755</v>
      </c>
      <c r="G45" t="str">
        <f>IFERROR(__xludf.DUMMYFUNCTION("""COMPUTED_VALUE"""),"Démocrate")</f>
        <v>Démocrate</v>
      </c>
      <c r="H45" t="str">
        <f>IFERROR(__xludf.DUMMYFUNCTION("""COMPUTED_VALUE"""),"[ar]")</f>
        <v>[ar]</v>
      </c>
    </row>
    <row r="46">
      <c r="A46">
        <f>IFERROR(__xludf.DUMMYFUNCTION("""COMPUTED_VALUE"""),45.0)</f>
        <v>45</v>
      </c>
      <c r="B46" t="str">
        <f>IFERROR(__xludf.DUMMYFUNCTION("""COMPUTED_VALUE"""),"*Donald Trump*
(né en 1946)
NY
*1re fois*")</f>
        <v>*Donald Trump*
(né en 1946)
NY
*1re fois*</v>
      </c>
      <c r="D46" s="13">
        <f>IFERROR(__xludf.DUMMYFUNCTION("""COMPUTED_VALUE"""),42755.0)</f>
        <v>42755</v>
      </c>
      <c r="E46" s="13">
        <f>IFERROR(__xludf.DUMMYFUNCTION("""COMPUTED_VALUE"""),44216.0)</f>
        <v>44216</v>
      </c>
      <c r="G46" t="str">
        <f>IFERROR(__xludf.DUMMYFUNCTION("""COMPUTED_VALUE"""),"Républicain")</f>
        <v>Républicain</v>
      </c>
      <c r="H46" t="str">
        <f>IFERROR(__xludf.DUMMYFUNCTION("""COMPUTED_VALUE"""),"[as]")</f>
        <v>[as]</v>
      </c>
    </row>
    <row r="47">
      <c r="A47">
        <f>IFERROR(__xludf.DUMMYFUNCTION("""COMPUTED_VALUE"""),46.0)</f>
        <v>46</v>
      </c>
      <c r="B47" t="str">
        <f>IFERROR(__xludf.DUMMYFUNCTION("""COMPUTED_VALUE"""),"*Joe Biden*
(né en 1942)
PA")</f>
        <v>*Joe Biden*
(né en 1942)
PA</v>
      </c>
      <c r="D47" s="13">
        <f>IFERROR(__xludf.DUMMYFUNCTION("""COMPUTED_VALUE"""),44216.0)</f>
        <v>44216</v>
      </c>
      <c r="E47" s="13">
        <f>IFERROR(__xludf.DUMMYFUNCTION("""COMPUTED_VALUE"""),45677.0)</f>
        <v>45677</v>
      </c>
      <c r="G47" t="str">
        <f>IFERROR(__xludf.DUMMYFUNCTION("""COMPUTED_VALUE"""),"Démocrate")</f>
        <v>Démocrate</v>
      </c>
      <c r="H47" t="str">
        <f>IFERROR(__xludf.DUMMYFUNCTION("""COMPUTED_VALUE"""),"[at]")</f>
        <v>[at]</v>
      </c>
    </row>
    <row r="48">
      <c r="A48">
        <f>IFERROR(__xludf.DUMMYFUNCTION("""COMPUTED_VALUE"""),47.0)</f>
        <v>47</v>
      </c>
      <c r="B48" t="str">
        <f>IFERROR(__xludf.DUMMYFUNCTION("""COMPUTED_VALUE"""),"*Donald Trump*
(né en 1946)
NY
*2de fois*")</f>
        <v>*Donald Trump*
(né en 1946)
NY
*2de fois*</v>
      </c>
      <c r="D48" s="13">
        <f>IFERROR(__xludf.DUMMYFUNCTION("""COMPUTED_VALUE"""),45677.0)</f>
        <v>45677</v>
      </c>
      <c r="E48" t="str">
        <f>IFERROR(__xludf.DUMMYFUNCTION("""COMPUTED_VALUE"""),"*En cours*")</f>
        <v>*En cours*</v>
      </c>
      <c r="G48" t="str">
        <f>IFERROR(__xludf.DUMMYFUNCTION("""COMPUTED_VALUE"""),"Républicain")</f>
        <v>Républicain</v>
      </c>
      <c r="H48" t="str">
        <f>IFERROR(__xludf.DUMMYFUNCTION("""COMPUTED_VALUE"""),"[au]")</f>
        <v>[au]</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IFERROR(__xludf.DUMMYFUNCTION("IMPORTHTML(""https://fr.m.wikipedia.org/wiki/Game_of_Thrones#Première_saison_(2011)"",""table"") "),"Acteur")</f>
        <v>Acteur</v>
      </c>
      <c r="B1" t="str">
        <f>IFERROR(__xludf.DUMMYFUNCTION("""COMPUTED_VALUE"""),"VF")</f>
        <v>VF</v>
      </c>
      <c r="C1" t="str">
        <f>IFERROR(__xludf.DUMMYFUNCTION("""COMPUTED_VALUE"""),"Personnage")</f>
        <v>Personnage</v>
      </c>
      <c r="D1" t="str">
        <f>IFERROR(__xludf.DUMMYFUNCTION("""COMPUTED_VALUE"""),"Saison 1")</f>
        <v>Saison 1</v>
      </c>
      <c r="E1" t="str">
        <f>IFERROR(__xludf.DUMMYFUNCTION("""COMPUTED_VALUE"""),"Saison 2")</f>
        <v>Saison 2</v>
      </c>
      <c r="F1" t="str">
        <f>IFERROR(__xludf.DUMMYFUNCTION("""COMPUTED_VALUE"""),"Saison 3")</f>
        <v>Saison 3</v>
      </c>
      <c r="G1" t="str">
        <f>IFERROR(__xludf.DUMMYFUNCTION("""COMPUTED_VALUE"""),"Saison 4")</f>
        <v>Saison 4</v>
      </c>
      <c r="H1" t="str">
        <f>IFERROR(__xludf.DUMMYFUNCTION("""COMPUTED_VALUE"""),"Saison 5")</f>
        <v>Saison 5</v>
      </c>
      <c r="I1" t="str">
        <f>IFERROR(__xludf.DUMMYFUNCTION("""COMPUTED_VALUE"""),"Saison 6")</f>
        <v>Saison 6</v>
      </c>
      <c r="J1" t="str">
        <f>IFERROR(__xludf.DUMMYFUNCTION("""COMPUTED_VALUE"""),"Saison 7")</f>
        <v>Saison 7</v>
      </c>
      <c r="K1" t="str">
        <f>IFERROR(__xludf.DUMMYFUNCTION("""COMPUTED_VALUE"""),"Saison 8")</f>
        <v>Saison 8</v>
      </c>
    </row>
    <row r="2">
      <c r="A2" t="str">
        <f>IFERROR(__xludf.DUMMYFUNCTION("""COMPUTED_VALUE"""),"Ian Whyte / Ross Mullan /
Tim Loane / Spencer Wilding")</f>
        <v>Ian Whyte / Ross Mullan /
Tim Loane / Spencer Wilding</v>
      </c>
      <c r="C2" t="str">
        <f>IFERROR(__xludf.DUMMYFUNCTION("""COMPUTED_VALUE"""),"Marcheurs blancs")</f>
        <v>Marcheurs blancs</v>
      </c>
      <c r="D2" t="str">
        <f>IFERROR(__xludf.DUMMYFUNCTION("""COMPUTED_VALUE"""),"Invités")</f>
        <v>Invités</v>
      </c>
      <c r="J2" t="str">
        <f>IFERROR(__xludf.DUMMYFUNCTION("""COMPUTED_VALUE"""),"Récurrents")</f>
        <v>Récurrents</v>
      </c>
    </row>
    <row r="3">
      <c r="A3" t="str">
        <f>IFERROR(__xludf.DUMMYFUNCTION("""COMPUTED_VALUE"""),"Conan Stevens / Ian Whyte / Hafþór Júlíus Björnsson1")</f>
        <v>Conan Stevens / Ian Whyte / Hafþór Júlíus Björnsson1</v>
      </c>
      <c r="B3" t="str">
        <f>IFERROR(__xludf.DUMMYFUNCTION("""COMPUTED_VALUE"""),"Gérald Maillet")</f>
        <v>Gérald Maillet</v>
      </c>
      <c r="C3" t="str">
        <f>IFERROR(__xludf.DUMMYFUNCTION("""COMPUTED_VALUE"""),"Gregor Clegane")</f>
        <v>Gregor Clegane</v>
      </c>
      <c r="D3" t="str">
        <f>IFERROR(__xludf.DUMMYFUNCTION("""COMPUTED_VALUE"""),"Récurrent")</f>
        <v>Récurrent</v>
      </c>
      <c r="G3" t="str">
        <f>IFERROR(__xludf.DUMMYFUNCTION("""COMPUTED_VALUE"""),"Récurrent")</f>
        <v>Récurrent</v>
      </c>
    </row>
    <row r="4">
      <c r="A4" t="str">
        <f>IFERROR(__xludf.DUMMYFUNCTION("""COMPUTED_VALUE"""),"Julian Glover")</f>
        <v>Julian Glover</v>
      </c>
      <c r="B4" t="str">
        <f>IFERROR(__xludf.DUMMYFUNCTION("""COMPUTED_VALUE"""),"Jean Lescot(1re voix, saisons 1 et 2)
Michel Ruhl(2e voix, saisons 3 à 6)")</f>
        <v>Jean Lescot(1re voix, saisons 1 et 2)
Michel Ruhl(2e voix, saisons 3 à 6)</v>
      </c>
      <c r="C4" t="str">
        <f>IFERROR(__xludf.DUMMYFUNCTION("""COMPUTED_VALUE"""),"Grand Maestre Pycelle")</f>
        <v>Grand Maestre Pycelle</v>
      </c>
      <c r="D4" t="str">
        <f>IFERROR(__xludf.DUMMYFUNCTION("""COMPUTED_VALUE"""),"Récurrent")</f>
        <v>Récurrent</v>
      </c>
    </row>
    <row r="5">
      <c r="A5" t="str">
        <f>IFERROR(__xludf.DUMMYFUNCTION("""COMPUTED_VALUE"""),"Finn Jones")</f>
        <v>Finn Jones</v>
      </c>
      <c r="B5" t="str">
        <f>IFERROR(__xludf.DUMMYFUNCTION("""COMPUTED_VALUE"""),"Paolo Domingo")</f>
        <v>Paolo Domingo</v>
      </c>
      <c r="C5" t="str">
        <f>IFERROR(__xludf.DUMMYFUNCTION("""COMPUTED_VALUE"""),"Loras Tyrell")</f>
        <v>Loras Tyrell</v>
      </c>
      <c r="D5" t="str">
        <f>IFERROR(__xludf.DUMMYFUNCTION("""COMPUTED_VALUE"""),"Invité")</f>
        <v>Invité</v>
      </c>
      <c r="E5" t="str">
        <f>IFERROR(__xludf.DUMMYFUNCTION("""COMPUTED_VALUE"""),"Récurrent")</f>
        <v>Récurrent</v>
      </c>
    </row>
    <row r="6">
      <c r="A6" t="str">
        <f>IFERROR(__xludf.DUMMYFUNCTION("""COMPUTED_VALUE"""),"Kristian Nairn5")</f>
        <v>Kristian Nairn5</v>
      </c>
      <c r="B6" t="str">
        <f>IFERROR(__xludf.DUMMYFUNCTION("""COMPUTED_VALUE"""),"Julien Meunier")</f>
        <v>Julien Meunier</v>
      </c>
      <c r="C6" t="str">
        <f>IFERROR(__xludf.DUMMYFUNCTION("""COMPUTED_VALUE"""),"Hodor")</f>
        <v>Hodor</v>
      </c>
      <c r="D6" t="str">
        <f>IFERROR(__xludf.DUMMYFUNCTION("""COMPUTED_VALUE"""),"Récurrent")</f>
        <v>Récurrent</v>
      </c>
      <c r="I6" t="str">
        <f>IFERROR(__xludf.DUMMYFUNCTION("""COMPUTED_VALUE"""),"Récurrent")</f>
        <v>Récurrent</v>
      </c>
    </row>
    <row r="7">
      <c r="A7" t="str">
        <f>IFERROR(__xludf.DUMMYFUNCTION("""COMPUTED_VALUE"""),"Owen Teale")</f>
        <v>Owen Teale</v>
      </c>
      <c r="B7" t="str">
        <f>IFERROR(__xludf.DUMMYFUNCTION("""COMPUTED_VALUE"""),"Paul Borne")</f>
        <v>Paul Borne</v>
      </c>
      <c r="C7" t="str">
        <f>IFERROR(__xludf.DUMMYFUNCTION("""COMPUTED_VALUE"""),"Alliser Thorne")</f>
        <v>Alliser Thorne</v>
      </c>
      <c r="D7" t="str">
        <f>IFERROR(__xludf.DUMMYFUNCTION("""COMPUTED_VALUE"""),"Récurrent")</f>
        <v>Récurrent</v>
      </c>
      <c r="G7" t="str">
        <f>IFERROR(__xludf.DUMMYFUNCTION("""COMPUTED_VALUE"""),"Récurrent")</f>
        <v>Récurrent</v>
      </c>
    </row>
    <row r="8">
      <c r="A8" t="str">
        <f>IFERROR(__xludf.DUMMYFUNCTION("""COMPUTED_VALUE"""),"Brian Fortune")</f>
        <v>Brian Fortune</v>
      </c>
      <c r="B8" t="str">
        <f>IFERROR(__xludf.DUMMYFUNCTION("""COMPUTED_VALUE"""),"Jean-Alain Velardo")</f>
        <v>Jean-Alain Velardo</v>
      </c>
      <c r="C8" t="str">
        <f>IFERROR(__xludf.DUMMYFUNCTION("""COMPUTED_VALUE"""),"Othell Yarwyck")</f>
        <v>Othell Yarwyck</v>
      </c>
      <c r="D8" t="str">
        <f>IFERROR(__xludf.DUMMYFUNCTION("""COMPUTED_VALUE"""),"Récurrent")</f>
        <v>Récurrent</v>
      </c>
      <c r="G8" t="str">
        <f>IFERROR(__xludf.DUMMYFUNCTION("""COMPUTED_VALUE"""),"Récurrent")</f>
        <v>Récurrent</v>
      </c>
    </row>
    <row r="9">
      <c r="A9" t="str">
        <f>IFERROR(__xludf.DUMMYFUNCTION("""COMPUTED_VALUE"""),"Nell Tiger Free2")</f>
        <v>Nell Tiger Free2</v>
      </c>
      <c r="B9" t="str">
        <f>IFERROR(__xludf.DUMMYFUNCTION("""COMPUTED_VALUE"""),"Bénédicte Bosc (1re voix, saisons 1 et 2)
Leslie Lipskins (2e voix, saisons 4 et 5)")</f>
        <v>Bénédicte Bosc (1re voix, saisons 1 et 2)
Leslie Lipskins (2e voix, saisons 4 et 5)</v>
      </c>
      <c r="C9" t="str">
        <f>IFERROR(__xludf.DUMMYFUNCTION("""COMPUTED_VALUE"""),"Myrcella Baratheon")</f>
        <v>Myrcella Baratheon</v>
      </c>
      <c r="D9" t="str">
        <f>IFERROR(__xludf.DUMMYFUNCTION("""COMPUTED_VALUE"""),"Récurrente")</f>
        <v>Récurrente</v>
      </c>
      <c r="H9" t="str">
        <f>IFERROR(__xludf.DUMMYFUNCTION("""COMPUTED_VALUE"""),"Récurrent")</f>
        <v>Récurrent</v>
      </c>
      <c r="I9" t="str">
        <f>IFERROR(__xludf.DUMMYFUNCTION("""COMPUTED_VALUE"""),"Invitée")</f>
        <v>Invitée</v>
      </c>
    </row>
    <row r="10">
      <c r="A10" t="str">
        <f>IFERROR(__xludf.DUMMYFUNCTION("""COMPUTED_VALUE"""),"Ian Gelder")</f>
        <v>Ian Gelder</v>
      </c>
      <c r="B10" t="str">
        <f>IFERROR(__xludf.DUMMYFUNCTION("""COMPUTED_VALUE"""),"Gérard Sergue (1re voix, saisons 1 à 5)
Jean-Pierre Leroux(2e voix, saison 6)")</f>
        <v>Gérard Sergue (1re voix, saisons 1 à 5)
Jean-Pierre Leroux(2e voix, saison 6)</v>
      </c>
      <c r="C10" t="str">
        <f>IFERROR(__xludf.DUMMYFUNCTION("""COMPUTED_VALUE"""),"Kevan Lannister")</f>
        <v>Kevan Lannister</v>
      </c>
      <c r="D10" t="str">
        <f>IFERROR(__xludf.DUMMYFUNCTION("""COMPUTED_VALUE"""),"Récurrent")</f>
        <v>Récurrent</v>
      </c>
      <c r="E10" t="str">
        <f>IFERROR(__xludf.DUMMYFUNCTION("""COMPUTED_VALUE"""),"Invité")</f>
        <v>Invité</v>
      </c>
      <c r="H10" t="str">
        <f>IFERROR(__xludf.DUMMYFUNCTION("""COMPUTED_VALUE"""),"Récurrent")</f>
        <v>Récurrent</v>
      </c>
    </row>
    <row r="11">
      <c r="A11" t="str">
        <f>IFERROR(__xludf.DUMMYFUNCTION("""COMPUTED_VALUE"""),"Eugene Simon")</f>
        <v>Eugene Simon</v>
      </c>
      <c r="B11" t="str">
        <f>IFERROR(__xludf.DUMMYFUNCTION("""COMPUTED_VALUE"""),"Nathanel Alimi")</f>
        <v>Nathanel Alimi</v>
      </c>
      <c r="C11" t="str">
        <f>IFERROR(__xludf.DUMMYFUNCTION("""COMPUTED_VALUE"""),"Lancel Lannister")</f>
        <v>Lancel Lannister</v>
      </c>
      <c r="D11" t="str">
        <f>IFERROR(__xludf.DUMMYFUNCTION("""COMPUTED_VALUE"""),"Récurrent")</f>
        <v>Récurrent</v>
      </c>
      <c r="H11" t="str">
        <f>IFERROR(__xludf.DUMMYFUNCTION("""COMPUTED_VALUE"""),"Récurrent")</f>
        <v>Récurrent</v>
      </c>
    </row>
    <row r="12">
      <c r="A12" t="str">
        <f>IFERROR(__xludf.DUMMYFUNCTION("""COMPUTED_VALUE"""),"Natalia Tena")</f>
        <v>Natalia Tena</v>
      </c>
      <c r="B12" t="str">
        <f>IFERROR(__xludf.DUMMYFUNCTION("""COMPUTED_VALUE"""),"Céline Ronté")</f>
        <v>Céline Ronté</v>
      </c>
      <c r="C12" t="str">
        <f>IFERROR(__xludf.DUMMYFUNCTION("""COMPUTED_VALUE"""),"Osha")</f>
        <v>Osha</v>
      </c>
      <c r="D12" t="str">
        <f>IFERROR(__xludf.DUMMYFUNCTION("""COMPUTED_VALUE"""),"Récurrente")</f>
        <v>Récurrente</v>
      </c>
      <c r="I12" t="str">
        <f>IFERROR(__xludf.DUMMYFUNCTION("""COMPUTED_VALUE"""),"Récurrente")</f>
        <v>Récurrente</v>
      </c>
    </row>
    <row r="13">
      <c r="A13" t="str">
        <f>IFERROR(__xludf.DUMMYFUNCTION("""COMPUTED_VALUE"""),"Art Parkinson")</f>
        <v>Art Parkinson</v>
      </c>
      <c r="B13" t="str">
        <f>IFERROR(__xludf.DUMMYFUNCTION("""COMPUTED_VALUE"""),"Antoine Fonck (1re voix, saisons 1 et 2)
Victor Quilichini (2e voix, saison 4)")</f>
        <v>Antoine Fonck (1re voix, saisons 1 et 2)
Victor Quilichini (2e voix, saison 4)</v>
      </c>
      <c r="C13" t="str">
        <f>IFERROR(__xludf.DUMMYFUNCTION("""COMPUTED_VALUE"""),"Rickon Stark")</f>
        <v>Rickon Stark</v>
      </c>
      <c r="D13" t="str">
        <f>IFERROR(__xludf.DUMMYFUNCTION("""COMPUTED_VALUE"""),"Récurrent")</f>
        <v>Récurrent</v>
      </c>
      <c r="I13" t="str">
        <f>IFERROR(__xludf.DUMMYFUNCTION("""COMPUTED_VALUE"""),"Récurrent")</f>
        <v>Récurrent</v>
      </c>
    </row>
    <row r="14">
      <c r="A14" t="str">
        <f>IFERROR(__xludf.DUMMYFUNCTION("""COMPUTED_VALUE"""),"Ron Donachie6")</f>
        <v>Ron Donachie6</v>
      </c>
      <c r="B14" t="str">
        <f>IFERROR(__xludf.DUMMYFUNCTION("""COMPUTED_VALUE"""),"Sylvain Lemarié")</f>
        <v>Sylvain Lemarié</v>
      </c>
      <c r="C14" t="str">
        <f>IFERROR(__xludf.DUMMYFUNCTION("""COMPUTED_VALUE"""),"Rodrik Cassel")</f>
        <v>Rodrik Cassel</v>
      </c>
      <c r="D14" t="str">
        <f>IFERROR(__xludf.DUMMYFUNCTION("""COMPUTED_VALUE"""),"Récurrent")</f>
        <v>Récurrent</v>
      </c>
      <c r="I14" t="str">
        <f>IFERROR(__xludf.DUMMYFUNCTION("""COMPUTED_VALUE"""),"Récurrent")</f>
        <v>Récurrent</v>
      </c>
    </row>
    <row r="15">
      <c r="A15" t="str">
        <f>IFERROR(__xludf.DUMMYFUNCTION("""COMPUTED_VALUE"""),"Lino Facioli")</f>
        <v>Lino Facioli</v>
      </c>
      <c r="B15" t="str">
        <f>IFERROR(__xludf.DUMMYFUNCTION("""COMPUTED_VALUE"""),"Max Renaudin (1re voix, saison 1)
Victor Quilichini (2e voix, saison 4)
Martin Faliu (3e voix, saison 6)")</f>
        <v>Max Renaudin (1re voix, saison 1)
Victor Quilichini (2e voix, saison 4)
Martin Faliu (3e voix, saison 6)</v>
      </c>
      <c r="C15" t="str">
        <f>IFERROR(__xludf.DUMMYFUNCTION("""COMPUTED_VALUE"""),"Robin Arryn")</f>
        <v>Robin Arryn</v>
      </c>
      <c r="D15" t="str">
        <f>IFERROR(__xludf.DUMMYFUNCTION("""COMPUTED_VALUE"""),"Récurrent")</f>
        <v>Récurrent</v>
      </c>
      <c r="G15" t="str">
        <f>IFERROR(__xludf.DUMMYFUNCTION("""COMPUTED_VALUE"""),"Récurrent")</f>
        <v>Récurrent</v>
      </c>
      <c r="H15" t="str">
        <f>IFERROR(__xludf.DUMMYFUNCTION("""COMPUTED_VALUE"""),"Invité")</f>
        <v>Invité</v>
      </c>
      <c r="K15" t="str">
        <f>IFERROR(__xludf.DUMMYFUNCTION("""COMPUTED_VALUE"""),"Invité")</f>
        <v>Invité</v>
      </c>
    </row>
    <row r="16">
      <c r="A16" t="str">
        <f>IFERROR(__xludf.DUMMYFUNCTION("""COMPUTED_VALUE"""),"Ian Beattie")</f>
        <v>Ian Beattie</v>
      </c>
      <c r="B16" t="str">
        <f>IFERROR(__xludf.DUMMYFUNCTION("""COMPUTED_VALUE"""),"Michel Voletti (1re voix)
Bertrand Dingé (2e voix)")</f>
        <v>Michel Voletti (1re voix)
Bertrand Dingé (2e voix)</v>
      </c>
      <c r="C16" t="str">
        <f>IFERROR(__xludf.DUMMYFUNCTION("""COMPUTED_VALUE"""),"Meryn Trant")</f>
        <v>Meryn Trant</v>
      </c>
      <c r="D16" t="str">
        <f>IFERROR(__xludf.DUMMYFUNCTION("""COMPUTED_VALUE"""),"Récurrent")</f>
        <v>Récurrent</v>
      </c>
    </row>
    <row r="17">
      <c r="A17" t="str">
        <f>IFERROR(__xludf.DUMMYFUNCTION("""COMPUTED_VALUE"""),"Peter Vaughan")</f>
        <v>Peter Vaughan</v>
      </c>
      <c r="B17" t="str">
        <f>IFERROR(__xludf.DUMMYFUNCTION("""COMPUTED_VALUE"""),"Frédéric Cerdal")</f>
        <v>Frédéric Cerdal</v>
      </c>
      <c r="C17" t="str">
        <f>IFERROR(__xludf.DUMMYFUNCTION("""COMPUTED_VALUE"""),"Maestre Aemon")</f>
        <v>Maestre Aemon</v>
      </c>
      <c r="D17" t="str">
        <f>IFERROR(__xludf.DUMMYFUNCTION("""COMPUTED_VALUE"""),"Récurrent")</f>
        <v>Récurrent</v>
      </c>
      <c r="F17" t="str">
        <f>IFERROR(__xludf.DUMMYFUNCTION("""COMPUTED_VALUE"""),"Invité")</f>
        <v>Invité</v>
      </c>
      <c r="G17" t="str">
        <f>IFERROR(__xludf.DUMMYFUNCTION("""COMPUTED_VALUE"""),"Récurrent")</f>
        <v>Récurrent</v>
      </c>
    </row>
    <row r="18">
      <c r="A18" t="str">
        <f>IFERROR(__xludf.DUMMYFUNCTION("""COMPUTED_VALUE"""),"Ian McElhinney")</f>
        <v>Ian McElhinney</v>
      </c>
      <c r="B18" t="str">
        <f>IFERROR(__xludf.DUMMYFUNCTION("""COMPUTED_VALUE"""),"Olivier Rodier (1re voix, saison 1)
Frédéric Cerdal(2e voix, saisons 3 à 5)")</f>
        <v>Olivier Rodier (1re voix, saison 1)
Frédéric Cerdal(2e voix, saisons 3 à 5)</v>
      </c>
      <c r="C18" t="str">
        <f>IFERROR(__xludf.DUMMYFUNCTION("""COMPUTED_VALUE"""),"Barristan Selmy")</f>
        <v>Barristan Selmy</v>
      </c>
      <c r="D18" t="str">
        <f>IFERROR(__xludf.DUMMYFUNCTION("""COMPUTED_VALUE"""),"Récurrent")</f>
        <v>Récurrent</v>
      </c>
      <c r="F18" t="str">
        <f>IFERROR(__xludf.DUMMYFUNCTION("""COMPUTED_VALUE"""),"Récurrent")</f>
        <v>Récurrent</v>
      </c>
    </row>
    <row r="19">
      <c r="A19" t="str">
        <f>IFERROR(__xludf.DUMMYFUNCTION("""COMPUTED_VALUE"""),"Dominic Carter")</f>
        <v>Dominic Carter</v>
      </c>
      <c r="B19" t="str">
        <f>IFERROR(__xludf.DUMMYFUNCTION("""COMPUTED_VALUE"""),"Michel Prud'homme")</f>
        <v>Michel Prud'homme</v>
      </c>
      <c r="C19" t="str">
        <f>IFERROR(__xludf.DUMMYFUNCTION("""COMPUTED_VALUE"""),"Janos Slynt")</f>
        <v>Janos Slynt</v>
      </c>
      <c r="D19" t="str">
        <f>IFERROR(__xludf.DUMMYFUNCTION("""COMPUTED_VALUE"""),"Récurrent")</f>
        <v>Récurrent</v>
      </c>
      <c r="G19" t="str">
        <f>IFERROR(__xludf.DUMMYFUNCTION("""COMPUTED_VALUE"""),"Récurrent")</f>
        <v>Récurrent</v>
      </c>
    </row>
    <row r="20">
      <c r="A20" t="str">
        <f>IFERROR(__xludf.DUMMYFUNCTION("""COMPUTED_VALUE"""),"Mark Stanley")</f>
        <v>Mark Stanley</v>
      </c>
      <c r="B20" t="str">
        <f>IFERROR(__xludf.DUMMYFUNCTION("""COMPUTED_VALUE"""),"Julien Meunier")</f>
        <v>Julien Meunier</v>
      </c>
      <c r="C20" t="str">
        <f>IFERROR(__xludf.DUMMYFUNCTION("""COMPUTED_VALUE"""),"Grenn")</f>
        <v>Grenn</v>
      </c>
      <c r="D20" t="str">
        <f>IFERROR(__xludf.DUMMYFUNCTION("""COMPUTED_VALUE"""),"Récurrent")</f>
        <v>Récurrent</v>
      </c>
    </row>
    <row r="21">
      <c r="A21" t="str">
        <f>IFERROR(__xludf.DUMMYFUNCTION("""COMPUTED_VALUE"""),"Ben Hawkey")</f>
        <v>Ben Hawkey</v>
      </c>
      <c r="B21" t="str">
        <f>IFERROR(__xludf.DUMMYFUNCTION("""COMPUTED_VALUE"""),"Jean-Philippe Pertuit")</f>
        <v>Jean-Philippe Pertuit</v>
      </c>
      <c r="C21" t="str">
        <f>IFERROR(__xludf.DUMMYFUNCTION("""COMPUTED_VALUE"""),"Tourte Chaude")</f>
        <v>Tourte Chaude</v>
      </c>
      <c r="D21" t="str">
        <f>IFERROR(__xludf.DUMMYFUNCTION("""COMPUTED_VALUE"""),"Invité")</f>
        <v>Invité</v>
      </c>
      <c r="E21" t="str">
        <f>IFERROR(__xludf.DUMMYFUNCTION("""COMPUTED_VALUE"""),"Récurrent")</f>
        <v>Récurrent</v>
      </c>
      <c r="G21" t="str">
        <f>IFERROR(__xludf.DUMMYFUNCTION("""COMPUTED_VALUE"""),"Invité")</f>
        <v>Invité</v>
      </c>
      <c r="J21" t="str">
        <f>IFERROR(__xludf.DUMMYFUNCTION("""COMPUTED_VALUE"""),"Invité")</f>
        <v>Invité</v>
      </c>
    </row>
    <row r="22">
      <c r="A22" t="str">
        <f>IFERROR(__xludf.DUMMYFUNCTION("""COMPUTED_VALUE"""),"Richard Dormer3")</f>
        <v>Richard Dormer3</v>
      </c>
      <c r="B22" t="str">
        <f>IFERROR(__xludf.DUMMYFUNCTION("""COMPUTED_VALUE"""),"Bruno Dubernat")</f>
        <v>Bruno Dubernat</v>
      </c>
      <c r="C22" t="str">
        <f>IFERROR(__xludf.DUMMYFUNCTION("""COMPUTED_VALUE"""),"Béric Dondarrion")</f>
        <v>Béric Dondarrion</v>
      </c>
      <c r="D22" t="str">
        <f>IFERROR(__xludf.DUMMYFUNCTION("""COMPUTED_VALUE"""),"Invité")</f>
        <v>Invité</v>
      </c>
      <c r="F22" t="str">
        <f>IFERROR(__xludf.DUMMYFUNCTION("""COMPUTED_VALUE"""),"Récurrent")</f>
        <v>Récurrent</v>
      </c>
      <c r="I22" t="str">
        <f>IFERROR(__xludf.DUMMYFUNCTION("""COMPUTED_VALUE"""),"Invité")</f>
        <v>Invité</v>
      </c>
      <c r="J22" t="str">
        <f>IFERROR(__xludf.DUMMYFUNCTION("""COMPUTED_VALUE"""),"Récurrent")</f>
        <v>Récurrent</v>
      </c>
    </row>
    <row r="23">
      <c r="A23" t="str">
        <f>IFERROR(__xludf.DUMMYFUNCTION("""COMPUTED_VALUE"""),"Josef Altin")</f>
        <v>Josef Altin</v>
      </c>
      <c r="B23" t="str">
        <f>IFERROR(__xludf.DUMMYFUNCTION("""COMPUTED_VALUE"""),"Philippe Bozo")</f>
        <v>Philippe Bozo</v>
      </c>
      <c r="C23" t="str">
        <f>IFERROR(__xludf.DUMMYFUNCTION("""COMPUTED_VALUE"""),"Pypar")</f>
        <v>Pypar</v>
      </c>
      <c r="D23" t="str">
        <f>IFERROR(__xludf.DUMMYFUNCTION("""COMPUTED_VALUE"""),"Récurrent")</f>
        <v>Récurrent</v>
      </c>
      <c r="F23" t="str">
        <f>IFERROR(__xludf.DUMMYFUNCTION("""COMPUTED_VALUE"""),"Invité")</f>
        <v>Invité</v>
      </c>
      <c r="G23" t="str">
        <f>IFERROR(__xludf.DUMMYFUNCTION("""COMPUTED_VALUE"""),"Récurrent")</f>
        <v>Récurrent</v>
      </c>
    </row>
    <row r="24">
      <c r="A24" t="str">
        <f>IFERROR(__xludf.DUMMYFUNCTION("""COMPUTED_VALUE"""),"Luke Barnes")</f>
        <v>Luke Barnes</v>
      </c>
      <c r="B24" t="str">
        <f>IFERROR(__xludf.DUMMYFUNCTION("""COMPUTED_VALUE"""),"Olivier Granier(1re voix, saison 1)
Pascal Casanova (2e voix, saisons 3 à 4)")</f>
        <v>Olivier Granier(1re voix, saison 1)
Pascal Casanova (2e voix, saisons 3 à 4)</v>
      </c>
      <c r="C24" t="str">
        <f>IFERROR(__xludf.DUMMYFUNCTION("""COMPUTED_VALUE"""),"Rast")</f>
        <v>Rast</v>
      </c>
      <c r="D24" t="str">
        <f>IFERROR(__xludf.DUMMYFUNCTION("""COMPUTED_VALUE"""),"Récurrent")</f>
        <v>Récurrent</v>
      </c>
      <c r="F24" t="str">
        <f>IFERROR(__xludf.DUMMYFUNCTION("""COMPUTED_VALUE"""),"Récurrent")</f>
        <v>Récurrent</v>
      </c>
    </row>
    <row r="25">
      <c r="A25" t="str">
        <f>IFERROR(__xludf.DUMMYFUNCTION("""COMPUTED_VALUE"""),"Esmé Bianco")</f>
        <v>Esmé Bianco</v>
      </c>
      <c r="B25" t="str">
        <f>IFERROR(__xludf.DUMMYFUNCTION("""COMPUTED_VALUE"""),"Marie Diot")</f>
        <v>Marie Diot</v>
      </c>
      <c r="C25" t="str">
        <f>IFERROR(__xludf.DUMMYFUNCTION("""COMPUTED_VALUE"""),"Ros")</f>
        <v>Ros</v>
      </c>
      <c r="D25" t="str">
        <f>IFERROR(__xludf.DUMMYFUNCTION("""COMPUTED_VALUE"""),"Récurrente")</f>
        <v>Récurrente</v>
      </c>
    </row>
    <row r="26">
      <c r="A26" t="str">
        <f>IFERROR(__xludf.DUMMYFUNCTION("""COMPUTED_VALUE"""),"Roxanne McKee")</f>
        <v>Roxanne McKee</v>
      </c>
      <c r="B26" t="str">
        <f>IFERROR(__xludf.DUMMYFUNCTION("""COMPUTED_VALUE"""),"Sandra Valentin (1re voix, saison 1)
Bénédicte Bosc (2e voix, saison 2)")</f>
        <v>Sandra Valentin (1re voix, saison 1)
Bénédicte Bosc (2e voix, saison 2)</v>
      </c>
      <c r="C26" t="str">
        <f>IFERROR(__xludf.DUMMYFUNCTION("""COMPUTED_VALUE"""),"Doreah")</f>
        <v>Doreah</v>
      </c>
      <c r="D26" t="str">
        <f>IFERROR(__xludf.DUMMYFUNCTION("""COMPUTED_VALUE"""),"Récurrente")</f>
        <v>Récurrente</v>
      </c>
    </row>
    <row r="27">
      <c r="A27" t="str">
        <f>IFERROR(__xludf.DUMMYFUNCTION("""COMPUTED_VALUE"""),"Amrita Acharia")</f>
        <v>Amrita Acharia</v>
      </c>
      <c r="B27" t="str">
        <f>IFERROR(__xludf.DUMMYFUNCTION("""COMPUTED_VALUE"""),"Olivia Nicosia")</f>
        <v>Olivia Nicosia</v>
      </c>
      <c r="C27" t="str">
        <f>IFERROR(__xludf.DUMMYFUNCTION("""COMPUTED_VALUE"""),"Irri")</f>
        <v>Irri</v>
      </c>
      <c r="D27" t="str">
        <f>IFERROR(__xludf.DUMMYFUNCTION("""COMPUTED_VALUE"""),"Récurrente")</f>
        <v>Récurrente</v>
      </c>
    </row>
    <row r="28">
      <c r="A28" t="str">
        <f>IFERROR(__xludf.DUMMYFUNCTION("""COMPUTED_VALUE"""),"Donald Sumpter")</f>
        <v>Donald Sumpter</v>
      </c>
      <c r="B28" t="str">
        <f>IFERROR(__xludf.DUMMYFUNCTION("""COMPUTED_VALUE"""),"Jean-Claude Donda")</f>
        <v>Jean-Claude Donda</v>
      </c>
      <c r="C28" t="str">
        <f>IFERROR(__xludf.DUMMYFUNCTION("""COMPUTED_VALUE"""),"Maestre Luwin")</f>
        <v>Maestre Luwin</v>
      </c>
      <c r="D28" t="str">
        <f>IFERROR(__xludf.DUMMYFUNCTION("""COMPUTED_VALUE"""),"Récurrent")</f>
        <v>Récurrent</v>
      </c>
    </row>
    <row r="29">
      <c r="A29" t="str">
        <f>IFERROR(__xludf.DUMMYFUNCTION("""COMPUTED_VALUE"""),"Gethin Anthony")</f>
        <v>Gethin Anthony</v>
      </c>
      <c r="B29" t="str">
        <f>IFERROR(__xludf.DUMMYFUNCTION("""COMPUTED_VALUE"""),"Stéphane Pouplard")</f>
        <v>Stéphane Pouplard</v>
      </c>
      <c r="C29" t="str">
        <f>IFERROR(__xludf.DUMMYFUNCTION("""COMPUTED_VALUE"""),"Renly Baratheon")</f>
        <v>Renly Baratheon</v>
      </c>
      <c r="D29" t="str">
        <f>IFERROR(__xludf.DUMMYFUNCTION("""COMPUTED_VALUE"""),"Récurrent")</f>
        <v>Récurrent</v>
      </c>
    </row>
    <row r="30">
      <c r="A30" t="str">
        <f>IFERROR(__xludf.DUMMYFUNCTION("""COMPUTED_VALUE"""),"Daniel Portman")</f>
        <v>Daniel Portman</v>
      </c>
      <c r="B30" t="str">
        <f>IFERROR(__xludf.DUMMYFUNCTION("""COMPUTED_VALUE"""),"Benjamin Gasquet")</f>
        <v>Benjamin Gasquet</v>
      </c>
      <c r="C30" t="str">
        <f>IFERROR(__xludf.DUMMYFUNCTION("""COMPUTED_VALUE"""),"Podrick Payne")</f>
        <v>Podrick Payne</v>
      </c>
      <c r="E30" t="str">
        <f>IFERROR(__xludf.DUMMYFUNCTION("""COMPUTED_VALUE"""),"Récurrent")</f>
        <v>Récurrent</v>
      </c>
    </row>
    <row r="31">
      <c r="A31" t="str">
        <f>IFERROR(__xludf.DUMMYFUNCTION("""COMPUTED_VALUE"""),"Ben Crompton")</f>
        <v>Ben Crompton</v>
      </c>
      <c r="B31" t="str">
        <f>IFERROR(__xludf.DUMMYFUNCTION("""COMPUTED_VALUE"""),"Mathieu Uhl")</f>
        <v>Mathieu Uhl</v>
      </c>
      <c r="C31" t="str">
        <f>IFERROR(__xludf.DUMMYFUNCTION("""COMPUTED_VALUE"""),"Eddison Tollett")</f>
        <v>Eddison Tollett</v>
      </c>
      <c r="E31" t="str">
        <f>IFERROR(__xludf.DUMMYFUNCTION("""COMPUTED_VALUE"""),"Récurrent[16]")</f>
        <v>Récurrent[16]</v>
      </c>
      <c r="J31" t="str">
        <f>IFERROR(__xludf.DUMMYFUNCTION("""COMPUTED_VALUE"""),"Invité")</f>
        <v>Invité</v>
      </c>
      <c r="K31" t="str">
        <f>IFERROR(__xludf.DUMMYFUNCTION("""COMPUTED_VALUE"""),"Récurrent")</f>
        <v>Récurrent</v>
      </c>
    </row>
    <row r="32">
      <c r="A32" t="str">
        <f>IFERROR(__xludf.DUMMYFUNCTION("""COMPUTED_VALUE"""),"Gemma Whelan")</f>
        <v>Gemma Whelan</v>
      </c>
      <c r="B32" t="str">
        <f>IFERROR(__xludf.DUMMYFUNCTION("""COMPUTED_VALUE"""),"Chantal Baroin")</f>
        <v>Chantal Baroin</v>
      </c>
      <c r="C32" t="str">
        <f>IFERROR(__xludf.DUMMYFUNCTION("""COMPUTED_VALUE"""),"Yara Greyjoy")</f>
        <v>Yara Greyjoy</v>
      </c>
      <c r="E32" t="str">
        <f>IFERROR(__xludf.DUMMYFUNCTION("""COMPUTED_VALUE"""),"Récurrente")</f>
        <v>Récurrente</v>
      </c>
      <c r="F32" t="str">
        <f>IFERROR(__xludf.DUMMYFUNCTION("""COMPUTED_VALUE"""),"Invitée")</f>
        <v>Invitée</v>
      </c>
      <c r="I32" t="str">
        <f>IFERROR(__xludf.DUMMYFUNCTION("""COMPUTED_VALUE"""),"Récurrente[17]")</f>
        <v>Récurrente[17]</v>
      </c>
      <c r="J32" t="str">
        <f>IFERROR(__xludf.DUMMYFUNCTION("""COMPUTED_VALUE"""),"Invitée")</f>
        <v>Invitée</v>
      </c>
      <c r="K32" t="str">
        <f>IFERROR(__xludf.DUMMYFUNCTION("""COMPUTED_VALUE"""),"Récurrent")</f>
        <v>Récurrent</v>
      </c>
    </row>
    <row r="33">
      <c r="A33" t="str">
        <f>IFERROR(__xludf.DUMMYFUNCTION("""COMPUTED_VALUE"""),"Tara Fitzgerald4")</f>
        <v>Tara Fitzgerald4</v>
      </c>
      <c r="B33" t="str">
        <f>IFERROR(__xludf.DUMMYFUNCTION("""COMPUTED_VALUE"""),"Ivana Coppola")</f>
        <v>Ivana Coppola</v>
      </c>
      <c r="C33" t="str">
        <f>IFERROR(__xludf.DUMMYFUNCTION("""COMPUTED_VALUE"""),"Selyse Baratheon")</f>
        <v>Selyse Baratheon</v>
      </c>
      <c r="E33" t="str">
        <f>IFERROR(__xludf.DUMMYFUNCTION("""COMPUTED_VALUE"""),"Invitée")</f>
        <v>Invitée</v>
      </c>
      <c r="G33" t="str">
        <f>IFERROR(__xludf.DUMMYFUNCTION("""COMPUTED_VALUE"""),"Récurrente")</f>
        <v>Récurrente</v>
      </c>
    </row>
    <row r="34">
      <c r="A34" t="str">
        <f>IFERROR(__xludf.DUMMYFUNCTION("""COMPUTED_VALUE"""),"Steven Cole")</f>
        <v>Steven Cole</v>
      </c>
      <c r="C34" t="str">
        <f>IFERROR(__xludf.DUMMYFUNCTION("""COMPUTED_VALUE"""),"Kovarro")</f>
        <v>Kovarro</v>
      </c>
      <c r="E34" t="str">
        <f>IFERROR(__xludf.DUMMYFUNCTION("""COMPUTED_VALUE"""),"Récurrent")</f>
        <v>Récurrent</v>
      </c>
    </row>
    <row r="35">
      <c r="A35" t="str">
        <f>IFERROR(__xludf.DUMMYFUNCTION("""COMPUTED_VALUE"""),"Anton Lesser")</f>
        <v>Anton Lesser</v>
      </c>
      <c r="B35" t="str">
        <f>IFERROR(__xludf.DUMMYFUNCTION("""COMPUTED_VALUE"""),"Mario Pecqueur")</f>
        <v>Mario Pecqueur</v>
      </c>
      <c r="C35" t="str">
        <f>IFERROR(__xludf.DUMMYFUNCTION("""COMPUTED_VALUE"""),"Maestre Qyburn")</f>
        <v>Maestre Qyburn</v>
      </c>
      <c r="F35" t="str">
        <f>IFERROR(__xludf.DUMMYFUNCTION("""COMPUTED_VALUE"""),"Récurrent[18]")</f>
        <v>Récurrent[18]</v>
      </c>
    </row>
    <row r="36">
      <c r="A36" t="str">
        <f>IFERROR(__xludf.DUMMYFUNCTION("""COMPUTED_VALUE"""),"Diana Rigg")</f>
        <v>Diana Rigg</v>
      </c>
      <c r="B36" t="str">
        <f>IFERROR(__xludf.DUMMYFUNCTION("""COMPUTED_VALUE"""),"Cathy Cerda")</f>
        <v>Cathy Cerda</v>
      </c>
      <c r="C36" t="str">
        <f>IFERROR(__xludf.DUMMYFUNCTION("""COMPUTED_VALUE"""),"Olenna Tyrell")</f>
        <v>Olenna Tyrell</v>
      </c>
      <c r="F36" t="str">
        <f>IFERROR(__xludf.DUMMYFUNCTION("""COMPUTED_VALUE"""),"Récurrente[19]")</f>
        <v>Récurrente[19]</v>
      </c>
    </row>
    <row r="37">
      <c r="A37" t="str">
        <f>IFERROR(__xludf.DUMMYFUNCTION("""COMPUTED_VALUE"""),"Ellie Kendrick")</f>
        <v>Ellie Kendrick</v>
      </c>
      <c r="B37" t="str">
        <f>IFERROR(__xludf.DUMMYFUNCTION("""COMPUTED_VALUE"""),"Céline Rotard")</f>
        <v>Céline Rotard</v>
      </c>
      <c r="C37" t="str">
        <f>IFERROR(__xludf.DUMMYFUNCTION("""COMPUTED_VALUE"""),"Meera Reed")</f>
        <v>Meera Reed</v>
      </c>
      <c r="F37" t="str">
        <f>IFERROR(__xludf.DUMMYFUNCTION("""COMPUTED_VALUE"""),"Récurrente")</f>
        <v>Récurrente</v>
      </c>
      <c r="I37" t="str">
        <f>IFERROR(__xludf.DUMMYFUNCTION("""COMPUTED_VALUE"""),"Récurrente[20]")</f>
        <v>Récurrente[20]</v>
      </c>
    </row>
    <row r="38">
      <c r="A38" t="str">
        <f>IFERROR(__xludf.DUMMYFUNCTION("""COMPUTED_VALUE"""),"Paul Kaye")</f>
        <v>Paul Kaye</v>
      </c>
      <c r="B38" t="str">
        <f>IFERROR(__xludf.DUMMYFUNCTION("""COMPUTED_VALUE"""),"Mathieu Buscatto")</f>
        <v>Mathieu Buscatto</v>
      </c>
      <c r="C38" t="str">
        <f>IFERROR(__xludf.DUMMYFUNCTION("""COMPUTED_VALUE"""),"Thoros de Myr")</f>
        <v>Thoros de Myr</v>
      </c>
      <c r="F38" t="str">
        <f>IFERROR(__xludf.DUMMYFUNCTION("""COMPUTED_VALUE"""),"Récurrent")</f>
        <v>Récurrent</v>
      </c>
      <c r="I38" t="str">
        <f>IFERROR(__xludf.DUMMYFUNCTION("""COMPUTED_VALUE"""),"Invité")</f>
        <v>Invité</v>
      </c>
      <c r="J38" t="str">
        <f>IFERROR(__xludf.DUMMYFUNCTION("""COMPUTED_VALUE"""),"Récurrent")</f>
        <v>Récurrent</v>
      </c>
    </row>
    <row r="39">
      <c r="A39" t="str">
        <f>IFERROR(__xludf.DUMMYFUNCTION("""COMPUTED_VALUE"""),"Tobias Menzies")</f>
        <v>Tobias Menzies</v>
      </c>
      <c r="B39" t="str">
        <f>IFERROR(__xludf.DUMMYFUNCTION("""COMPUTED_VALUE"""),"Frédéric Popovic")</f>
        <v>Frédéric Popovic</v>
      </c>
      <c r="C39" t="str">
        <f>IFERROR(__xludf.DUMMYFUNCTION("""COMPUTED_VALUE"""),"Edmure Tully")</f>
        <v>Edmure Tully</v>
      </c>
      <c r="F39" t="str">
        <f>IFERROR(__xludf.DUMMYFUNCTION("""COMPUTED_VALUE"""),"Récurrent")</f>
        <v>Récurrent</v>
      </c>
      <c r="I39" t="str">
        <f>IFERROR(__xludf.DUMMYFUNCTION("""COMPUTED_VALUE"""),"Invité")</f>
        <v>Invité</v>
      </c>
      <c r="K39" t="str">
        <f>IFERROR(__xludf.DUMMYFUNCTION("""COMPUTED_VALUE"""),"Invité")</f>
        <v>Invité</v>
      </c>
    </row>
    <row r="40">
      <c r="A40" t="str">
        <f>IFERROR(__xludf.DUMMYFUNCTION("""COMPUTED_VALUE"""),"Charlotte Hope")</f>
        <v>Charlotte Hope</v>
      </c>
      <c r="B40" t="str">
        <f>IFERROR(__xludf.DUMMYFUNCTION("""COMPUTED_VALUE"""),"Flora Kaprielan")</f>
        <v>Flora Kaprielan</v>
      </c>
      <c r="C40" t="str">
        <f>IFERROR(__xludf.DUMMYFUNCTION("""COMPUTED_VALUE"""),"Myranda")</f>
        <v>Myranda</v>
      </c>
      <c r="F40" t="str">
        <f>IFERROR(__xludf.DUMMYFUNCTION("""COMPUTED_VALUE"""),"Invitée")</f>
        <v>Invitée</v>
      </c>
      <c r="H40" t="str">
        <f>IFERROR(__xludf.DUMMYFUNCTION("""COMPUTED_VALUE"""),"Récurrente")</f>
        <v>Récurrente</v>
      </c>
      <c r="I40" t="str">
        <f>IFERROR(__xludf.DUMMYFUNCTION("""COMPUTED_VALUE"""),"Invitée")</f>
        <v>Invitée</v>
      </c>
    </row>
    <row r="41">
      <c r="A41" t="str">
        <f>IFERROR(__xludf.DUMMYFUNCTION("""COMPUTED_VALUE"""),"Kerry Ingram")</f>
        <v>Kerry Ingram</v>
      </c>
      <c r="B41" t="str">
        <f>IFERROR(__xludf.DUMMYFUNCTION("""COMPUTED_VALUE"""),"Lisa Caruso")</f>
        <v>Lisa Caruso</v>
      </c>
      <c r="C41" t="str">
        <f>IFERROR(__xludf.DUMMYFUNCTION("""COMPUTED_VALUE"""),"Shireen Baratheon")</f>
        <v>Shireen Baratheon</v>
      </c>
      <c r="F41" t="str">
        <f>IFERROR(__xludf.DUMMYFUNCTION("""COMPUTED_VALUE"""),"Récurrente")</f>
        <v>Récurrente</v>
      </c>
    </row>
    <row r="42">
      <c r="A42" t="str">
        <f>IFERROR(__xludf.DUMMYFUNCTION("""COMPUTED_VALUE"""),"Thomas Brodie-Sangster")</f>
        <v>Thomas Brodie-Sangster</v>
      </c>
      <c r="B42" t="str">
        <f>IFERROR(__xludf.DUMMYFUNCTION("""COMPUTED_VALUE"""),"Gabriel Bismuth-Bienaimé")</f>
        <v>Gabriel Bismuth-Bienaimé</v>
      </c>
      <c r="C42" t="str">
        <f>IFERROR(__xludf.DUMMYFUNCTION("""COMPUTED_VALUE"""),"Jojen Reed")</f>
        <v>Jojen Reed</v>
      </c>
      <c r="F42" t="str">
        <f>IFERROR(__xludf.DUMMYFUNCTION("""COMPUTED_VALUE"""),"Récurrent")</f>
        <v>Récurrent</v>
      </c>
    </row>
    <row r="43">
      <c r="A43" t="str">
        <f>IFERROR(__xludf.DUMMYFUNCTION("""COMPUTED_VALUE"""),"Noah Taylor")</f>
        <v>Noah Taylor</v>
      </c>
      <c r="B43" t="str">
        <f>IFERROR(__xludf.DUMMYFUNCTION("""COMPUTED_VALUE"""),"Gérard Sergue")</f>
        <v>Gérard Sergue</v>
      </c>
      <c r="C43" t="str">
        <f>IFERROR(__xludf.DUMMYFUNCTION("""COMPUTED_VALUE"""),"Locke")</f>
        <v>Locke</v>
      </c>
      <c r="F43" t="str">
        <f>IFERROR(__xludf.DUMMYFUNCTION("""COMPUTED_VALUE"""),"Récurrent")</f>
        <v>Récurrent</v>
      </c>
    </row>
    <row r="44">
      <c r="A44" t="str">
        <f>IFERROR(__xludf.DUMMYFUNCTION("""COMPUTED_VALUE"""),"Brenock O'Connor")</f>
        <v>Brenock O'Connor</v>
      </c>
      <c r="B44" t="str">
        <f>IFERROR(__xludf.DUMMYFUNCTION("""COMPUTED_VALUE"""),"Max Renaudin")</f>
        <v>Max Renaudin</v>
      </c>
      <c r="C44" t="str">
        <f>IFERROR(__xludf.DUMMYFUNCTION("""COMPUTED_VALUE"""),"Olly")</f>
        <v>Olly</v>
      </c>
      <c r="G44" t="str">
        <f>IFERROR(__xludf.DUMMYFUNCTION("""COMPUTED_VALUE"""),"Récurrent")</f>
        <v>Récurrent</v>
      </c>
    </row>
    <row r="45">
      <c r="A45" t="str">
        <f>IFERROR(__xludf.DUMMYFUNCTION("""COMPUTED_VALUE"""),"Roger Ashton-Griffiths")</f>
        <v>Roger Ashton-Griffiths</v>
      </c>
      <c r="B45" t="str">
        <f>IFERROR(__xludf.DUMMYFUNCTION("""COMPUTED_VALUE"""),"Michel Voletti")</f>
        <v>Michel Voletti</v>
      </c>
      <c r="C45" t="str">
        <f>IFERROR(__xludf.DUMMYFUNCTION("""COMPUTED_VALUE"""),"Mace Tyrell")</f>
        <v>Mace Tyrell</v>
      </c>
      <c r="G45" t="str">
        <f>IFERROR(__xludf.DUMMYFUNCTION("""COMPUTED_VALUE"""),"Récurrent")</f>
        <v>Récurrent</v>
      </c>
    </row>
    <row r="46">
      <c r="A46" t="str">
        <f>IFERROR(__xludf.DUMMYFUNCTION("""COMPUTED_VALUE"""),"Joel Frye")</f>
        <v>Joel Frye</v>
      </c>
      <c r="B46" t="str">
        <f>IFERROR(__xludf.DUMMYFUNCTION("""COMPUTED_VALUE"""),"Jean-Alain Velardo")</f>
        <v>Jean-Alain Velardo</v>
      </c>
      <c r="C46" t="str">
        <f>IFERROR(__xludf.DUMMYFUNCTION("""COMPUTED_VALUE"""),"Hizdahr zo Loraq")</f>
        <v>Hizdahr zo Loraq</v>
      </c>
      <c r="G46" t="str">
        <f>IFERROR(__xludf.DUMMYFUNCTION("""COMPUTED_VALUE"""),"Invité")</f>
        <v>Invité</v>
      </c>
      <c r="H46" t="str">
        <f>IFERROR(__xludf.DUMMYFUNCTION("""COMPUTED_VALUE"""),"Récurrent")</f>
        <v>Récurrent</v>
      </c>
    </row>
    <row r="47">
      <c r="A47" t="str">
        <f>IFERROR(__xludf.DUMMYFUNCTION("""COMPUTED_VALUE"""),"Rupert Vansittart")</f>
        <v>Rupert Vansittart</v>
      </c>
      <c r="B47" t="str">
        <f>IFERROR(__xludf.DUMMYFUNCTION("""COMPUTED_VALUE"""),"Pierre Forest")</f>
        <v>Pierre Forest</v>
      </c>
      <c r="C47" t="str">
        <f>IFERROR(__xludf.DUMMYFUNCTION("""COMPUTED_VALUE"""),"Yohn Royce")</f>
        <v>Yohn Royce</v>
      </c>
      <c r="G47" t="str">
        <f>IFERROR(__xludf.DUMMYFUNCTION("""COMPUTED_VALUE"""),"Invité")</f>
        <v>Invité</v>
      </c>
      <c r="J47" t="str">
        <f>IFERROR(__xludf.DUMMYFUNCTION("""COMPUTED_VALUE"""),"Récurrent")</f>
        <v>Récurrent</v>
      </c>
    </row>
    <row r="48">
      <c r="A48" t="str">
        <f>IFERROR(__xludf.DUMMYFUNCTION("""COMPUTED_VALUE"""),"Michael Condron")</f>
        <v>Michael Condron</v>
      </c>
      <c r="C48" t="str">
        <f>IFERROR(__xludf.DUMMYFUNCTION("""COMPUTED_VALUE"""),"Bowen Marsh")</f>
        <v>Bowen Marsh</v>
      </c>
      <c r="H48" t="str">
        <f>IFERROR(__xludf.DUMMYFUNCTION("""COMPUTED_VALUE"""),"Récurrent")</f>
        <v>Récurrent</v>
      </c>
    </row>
    <row r="49">
      <c r="A49" t="str">
        <f>IFERROR(__xludf.DUMMYFUNCTION("""COMPUTED_VALUE"""),"Faye Marsay")</f>
        <v>Faye Marsay</v>
      </c>
      <c r="B49" t="str">
        <f>IFERROR(__xludf.DUMMYFUNCTION("""COMPUTED_VALUE"""),"Lucile Boudonnat")</f>
        <v>Lucile Boudonnat</v>
      </c>
      <c r="C49" t="str">
        <f>IFERROR(__xludf.DUMMYFUNCTION("""COMPUTED_VALUE"""),"l'orpheline")</f>
        <v>l'orpheline</v>
      </c>
      <c r="H49" t="str">
        <f>IFERROR(__xludf.DUMMYFUNCTION("""COMPUTED_VALUE"""),"Récurrente")</f>
        <v>Récurrente</v>
      </c>
    </row>
    <row r="50">
      <c r="A50" t="str">
        <f>IFERROR(__xludf.DUMMYFUNCTION("""COMPUTED_VALUE"""),"Rosabell Laurenti Sellers")</f>
        <v>Rosabell Laurenti Sellers</v>
      </c>
      <c r="B50" t="str">
        <f>IFERROR(__xludf.DUMMYFUNCTION("""COMPUTED_VALUE"""),"Nastassja Girard")</f>
        <v>Nastassja Girard</v>
      </c>
      <c r="C50" t="str">
        <f>IFERROR(__xludf.DUMMYFUNCTION("""COMPUTED_VALUE"""),"Tyene Sand")</f>
        <v>Tyene Sand</v>
      </c>
      <c r="H50" t="str">
        <f>IFERROR(__xludf.DUMMYFUNCTION("""COMPUTED_VALUE"""),"Récurrente")</f>
        <v>Récurrente</v>
      </c>
      <c r="I50" t="str">
        <f>IFERROR(__xludf.DUMMYFUNCTION("""COMPUTED_VALUE"""),"Invitée")</f>
        <v>Invitée</v>
      </c>
    </row>
    <row r="51">
      <c r="A51" t="str">
        <f>IFERROR(__xludf.DUMMYFUNCTION("""COMPUTED_VALUE"""),"Keisha Castle-Hughes")</f>
        <v>Keisha Castle-Hughes</v>
      </c>
      <c r="B51" t="str">
        <f>IFERROR(__xludf.DUMMYFUNCTION("""COMPUTED_VALUE"""),"Valérie Decobert")</f>
        <v>Valérie Decobert</v>
      </c>
      <c r="C51" t="str">
        <f>IFERROR(__xludf.DUMMYFUNCTION("""COMPUTED_VALUE"""),"Obara Sand")</f>
        <v>Obara Sand</v>
      </c>
      <c r="H51" t="str">
        <f>IFERROR(__xludf.DUMMYFUNCTION("""COMPUTED_VALUE"""),"Récurrente")</f>
        <v>Récurrente</v>
      </c>
      <c r="I51" t="str">
        <f>IFERROR(__xludf.DUMMYFUNCTION("""COMPUTED_VALUE"""),"Invitée")</f>
        <v>Invitée</v>
      </c>
    </row>
    <row r="52">
      <c r="A52" t="str">
        <f>IFERROR(__xludf.DUMMYFUNCTION("""COMPUTED_VALUE"""),"Jessica Henwick")</f>
        <v>Jessica Henwick</v>
      </c>
      <c r="B52" t="str">
        <f>IFERROR(__xludf.DUMMYFUNCTION("""COMPUTED_VALUE"""),"Cindy Tempez")</f>
        <v>Cindy Tempez</v>
      </c>
      <c r="C52" t="str">
        <f>IFERROR(__xludf.DUMMYFUNCTION("""COMPUTED_VALUE"""),"Nymeria Sand")</f>
        <v>Nymeria Sand</v>
      </c>
      <c r="H52" t="str">
        <f>IFERROR(__xludf.DUMMYFUNCTION("""COMPUTED_VALUE"""),"Récurrente")</f>
        <v>Récurrente</v>
      </c>
      <c r="I52" t="str">
        <f>IFERROR(__xludf.DUMMYFUNCTION("""COMPUTED_VALUE"""),"Invitée")</f>
        <v>Invitée</v>
      </c>
    </row>
    <row r="53">
      <c r="A53" t="str">
        <f>IFERROR(__xludf.DUMMYFUNCTION("""COMPUTED_VALUE"""),"Hannah Waddingham")</f>
        <v>Hannah Waddingham</v>
      </c>
      <c r="B53" t="str">
        <f>IFERROR(__xludf.DUMMYFUNCTION("""COMPUTED_VALUE"""),"Sandy Boizard")</f>
        <v>Sandy Boizard</v>
      </c>
      <c r="C53" t="str">
        <f>IFERROR(__xludf.DUMMYFUNCTION("""COMPUTED_VALUE"""),"Septa Unella")</f>
        <v>Septa Unella</v>
      </c>
      <c r="H53" t="str">
        <f>IFERROR(__xludf.DUMMYFUNCTION("""COMPUTED_VALUE"""),"Récurrente")</f>
        <v>Récurrente</v>
      </c>
    </row>
    <row r="54">
      <c r="A54" t="str">
        <f>IFERROR(__xludf.DUMMYFUNCTION("""COMPUTED_VALUE"""),"Richard Rycroft")</f>
        <v>Richard Rycroft</v>
      </c>
      <c r="C54" t="str">
        <f>IFERROR(__xludf.DUMMYFUNCTION("""COMPUTED_VALUE"""),"Maestre Wolkan")</f>
        <v>Maestre Wolkan</v>
      </c>
      <c r="I54" t="str">
        <f>IFERROR(__xludf.DUMMYFUNCTION("""COMPUTED_VALUE"""),"Récurrent")</f>
        <v>Récurrent</v>
      </c>
    </row>
    <row r="55">
      <c r="A55" t="str">
        <f>IFERROR(__xludf.DUMMYFUNCTION("""COMPUTED_VALUE"""),"Pilou Asbæk")</f>
        <v>Pilou Asbæk</v>
      </c>
      <c r="B55" t="str">
        <f>IFERROR(__xludf.DUMMYFUNCTION("""COMPUTED_VALUE"""),"Frédéric Souterelle")</f>
        <v>Frédéric Souterelle</v>
      </c>
      <c r="C55" t="str">
        <f>IFERROR(__xludf.DUMMYFUNCTION("""COMPUTED_VALUE"""),"Euron Greyjoy")</f>
        <v>Euron Greyjoy</v>
      </c>
      <c r="I55" t="str">
        <f>IFERROR(__xludf.DUMMYFUNCTION("""COMPUTED_VALUE"""),"Invité")</f>
        <v>Invité</v>
      </c>
      <c r="J55" t="str">
        <f>IFERROR(__xludf.DUMMYFUNCTION("""COMPUTED_VALUE"""),"Récurrent")</f>
        <v>Récurrent</v>
      </c>
    </row>
    <row r="56">
      <c r="A56" t="str">
        <f>IFERROR(__xludf.DUMMYFUNCTION("""COMPUTED_VALUE"""),"Bella Ramsey")</f>
        <v>Bella Ramsey</v>
      </c>
      <c r="B56" t="str">
        <f>IFERROR(__xludf.DUMMYFUNCTION("""COMPUTED_VALUE"""),"Emmylou Homs (saisons 6 et 8)
Angéla Mit (saison 7)")</f>
        <v>Emmylou Homs (saisons 6 et 8)
Angéla Mit (saison 7)</v>
      </c>
      <c r="C56" t="str">
        <f>IFERROR(__xludf.DUMMYFUNCTION("""COMPUTED_VALUE"""),"Lyanna Mormont")</f>
        <v>Lyanna Mormont</v>
      </c>
      <c r="I56" t="str">
        <f>IFERROR(__xludf.DUMMYFUNCTION("""COMPUTED_VALUE"""),"Récurrente")</f>
        <v>Récurrente</v>
      </c>
    </row>
    <row r="57">
      <c r="A57" t="str">
        <f>IFERROR(__xludf.DUMMYFUNCTION("""COMPUTED_VALUE"""),"Staz Nair")</f>
        <v>Staz Nair</v>
      </c>
      <c r="C57" t="str">
        <f>IFERROR(__xludf.DUMMYFUNCTION("""COMPUTED_VALUE"""),"Qhono")</f>
        <v>Qhono</v>
      </c>
      <c r="I57" t="str">
        <f>IFERROR(__xludf.DUMMYFUNCTION("""COMPUTED_VALUE"""),"Récurrent")</f>
        <v>Récurrent</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IFERROR(__xludf.DUMMYFUNCTION("IMPORTHTML(""https://fr.wikipedia.org/wiki/Liste_des_pr%C3%A9sidents_des_%C3%89tats-Unis"", ""table"", ""1"")"),"N°")</f>
        <v>N°</v>
      </c>
      <c r="B1" t="str">
        <f>IFERROR(__xludf.DUMMYFUNCTION("""COMPUTED_VALUE"""),"Titulaire
(Naissance-Mort)
État d'origine")</f>
        <v>Titulaire
(Naissance-Mort)
État d'origine</v>
      </c>
      <c r="D1" t="str">
        <f>IFERROR(__xludf.DUMMYFUNCTION("""COMPUTED_VALUE"""),"Début de mandat")</f>
        <v>Début de mandat</v>
      </c>
      <c r="E1" t="str">
        <f>IFERROR(__xludf.DUMMYFUNCTION("""COMPUTED_VALUE"""),"Fin de mandat")</f>
        <v>Fin de mandat</v>
      </c>
      <c r="F1" t="str">
        <f>IFERROR(__xludf.DUMMYFUNCTION("""COMPUTED_VALUE"""),"Parti")</f>
        <v>Parti</v>
      </c>
      <c r="H1" t="str">
        <f>IFERROR(__xludf.DUMMYFUNCTION("""COMPUTED_VALUE"""),"Notes")</f>
        <v>Notes</v>
      </c>
    </row>
    <row r="2">
      <c r="A2">
        <f>IFERROR(__xludf.DUMMYFUNCTION("""COMPUTED_VALUE"""),1.0)</f>
        <v>1</v>
      </c>
      <c r="B2" t="str">
        <f>IFERROR(__xludf.DUMMYFUNCTION("""COMPUTED_VALUE"""),"*George Washington*
(1732-1799)
VA")</f>
        <v>*George Washington*
(1732-1799)
VA</v>
      </c>
      <c r="D2" s="13">
        <f>IFERROR(__xludf.DUMMYFUNCTION("""COMPUTED_VALUE"""),-40420.0)</f>
        <v>-40420</v>
      </c>
      <c r="E2" s="13">
        <f>IFERROR(__xludf.DUMMYFUNCTION("""COMPUTED_VALUE"""),-37555.0)</f>
        <v>-37555</v>
      </c>
      <c r="G2" t="str">
        <f>IFERROR(__xludf.DUMMYFUNCTION("""COMPUTED_VALUE"""),"Indépendant")</f>
        <v>Indépendant</v>
      </c>
      <c r="H2" t="str">
        <f>IFERROR(__xludf.DUMMYFUNCTION("""COMPUTED_VALUE"""),"[a]")</f>
        <v>[a]</v>
      </c>
    </row>
    <row r="3">
      <c r="A3">
        <f>IFERROR(__xludf.DUMMYFUNCTION("""COMPUTED_VALUE"""),2.0)</f>
        <v>2</v>
      </c>
      <c r="B3" t="str">
        <f>IFERROR(__xludf.DUMMYFUNCTION("""COMPUTED_VALUE"""),"*John Adams*
(1735-1826)
MA")</f>
        <v>*John Adams*
(1735-1826)
MA</v>
      </c>
      <c r="D3" s="13">
        <f>IFERROR(__xludf.DUMMYFUNCTION("""COMPUTED_VALUE"""),-37555.0)</f>
        <v>-37555</v>
      </c>
      <c r="E3" s="13">
        <f>IFERROR(__xludf.DUMMYFUNCTION("""COMPUTED_VALUE"""),-36095.0)</f>
        <v>-36095</v>
      </c>
      <c r="G3" t="str">
        <f>IFERROR(__xludf.DUMMYFUNCTION("""COMPUTED_VALUE"""),"Fédéraliste")</f>
        <v>Fédéraliste</v>
      </c>
      <c r="H3" t="str">
        <f>IFERROR(__xludf.DUMMYFUNCTION("""COMPUTED_VALUE"""),"[b]")</f>
        <v>[b]</v>
      </c>
    </row>
    <row r="4">
      <c r="A4">
        <f>IFERROR(__xludf.DUMMYFUNCTION("""COMPUTED_VALUE"""),3.0)</f>
        <v>3</v>
      </c>
      <c r="B4" t="str">
        <f>IFERROR(__xludf.DUMMYFUNCTION("""COMPUTED_VALUE"""),"*Thomas Jefferson*
(1743-1826)
VA")</f>
        <v>*Thomas Jefferson*
(1743-1826)
VA</v>
      </c>
      <c r="D4" s="13">
        <f>IFERROR(__xludf.DUMMYFUNCTION("""COMPUTED_VALUE"""),-36095.0)</f>
        <v>-36095</v>
      </c>
      <c r="E4" s="13">
        <f>IFERROR(__xludf.DUMMYFUNCTION("""COMPUTED_VALUE"""),-33173.0)</f>
        <v>-33173</v>
      </c>
      <c r="G4" t="str">
        <f>IFERROR(__xludf.DUMMYFUNCTION("""COMPUTED_VALUE"""),"Républicain-
démocrate")</f>
        <v>Républicain-
démocrate</v>
      </c>
      <c r="H4" t="str">
        <f>IFERROR(__xludf.DUMMYFUNCTION("""COMPUTED_VALUE"""),"[c]")</f>
        <v>[c]</v>
      </c>
    </row>
    <row r="5">
      <c r="A5">
        <f>IFERROR(__xludf.DUMMYFUNCTION("""COMPUTED_VALUE"""),4.0)</f>
        <v>4</v>
      </c>
      <c r="B5" t="str">
        <f>IFERROR(__xludf.DUMMYFUNCTION("""COMPUTED_VALUE"""),"*James Madison*
(1751-1836)
VA")</f>
        <v>*James Madison*
(1751-1836)
VA</v>
      </c>
      <c r="D5" s="13">
        <f>IFERROR(__xludf.DUMMYFUNCTION("""COMPUTED_VALUE"""),-33173.0)</f>
        <v>-33173</v>
      </c>
      <c r="E5" s="13">
        <f>IFERROR(__xludf.DUMMYFUNCTION("""COMPUTED_VALUE"""),-30251.0)</f>
        <v>-30251</v>
      </c>
      <c r="G5" t="str">
        <f>IFERROR(__xludf.DUMMYFUNCTION("""COMPUTED_VALUE"""),"Républicain-
démocrate")</f>
        <v>Républicain-
démocrate</v>
      </c>
      <c r="H5" t="str">
        <f>IFERROR(__xludf.DUMMYFUNCTION("""COMPUTED_VALUE"""),"[d]")</f>
        <v>[d]</v>
      </c>
    </row>
    <row r="6">
      <c r="A6">
        <f>IFERROR(__xludf.DUMMYFUNCTION("""COMPUTED_VALUE"""),5.0)</f>
        <v>5</v>
      </c>
      <c r="B6" t="str">
        <f>IFERROR(__xludf.DUMMYFUNCTION("""COMPUTED_VALUE"""),"*James Monroe*
(1758-1831)
VA")</f>
        <v>*James Monroe*
(1758-1831)
VA</v>
      </c>
      <c r="D6" s="13">
        <f>IFERROR(__xludf.DUMMYFUNCTION("""COMPUTED_VALUE"""),-30251.0)</f>
        <v>-30251</v>
      </c>
      <c r="E6" s="13">
        <f>IFERROR(__xludf.DUMMYFUNCTION("""COMPUTED_VALUE"""),-27329.0)</f>
        <v>-27329</v>
      </c>
      <c r="G6" t="str">
        <f>IFERROR(__xludf.DUMMYFUNCTION("""COMPUTED_VALUE"""),"Républicain-
démocrate")</f>
        <v>Républicain-
démocrate</v>
      </c>
      <c r="H6" t="str">
        <f>IFERROR(__xludf.DUMMYFUNCTION("""COMPUTED_VALUE"""),"[e]")</f>
        <v>[e]</v>
      </c>
    </row>
    <row r="7">
      <c r="A7">
        <f>IFERROR(__xludf.DUMMYFUNCTION("""COMPUTED_VALUE"""),6.0)</f>
        <v>6</v>
      </c>
      <c r="B7" t="str">
        <f>IFERROR(__xludf.DUMMYFUNCTION("""COMPUTED_VALUE"""),"*John Quincy Adams*
(1767-1848)
MA")</f>
        <v>*John Quincy Adams*
(1767-1848)
MA</v>
      </c>
      <c r="D7" s="13">
        <f>IFERROR(__xludf.DUMMYFUNCTION("""COMPUTED_VALUE"""),-27329.0)</f>
        <v>-27329</v>
      </c>
      <c r="E7" s="13">
        <f>IFERROR(__xludf.DUMMYFUNCTION("""COMPUTED_VALUE"""),-25868.0)</f>
        <v>-25868</v>
      </c>
      <c r="G7" t="str">
        <f>IFERROR(__xludf.DUMMYFUNCTION("""COMPUTED_VALUE"""),"Républicain-
démocrate
------------------------------
National-républicain")</f>
        <v>Républicain-
démocrate
------------------------------
National-républicain</v>
      </c>
      <c r="H7" t="str">
        <f>IFERROR(__xludf.DUMMYFUNCTION("""COMPUTED_VALUE"""),"[f]")</f>
        <v>[f]</v>
      </c>
    </row>
    <row r="8">
      <c r="A8">
        <f>IFERROR(__xludf.DUMMYFUNCTION("""COMPUTED_VALUE"""),7.0)</f>
        <v>7</v>
      </c>
      <c r="B8" t="str">
        <f>IFERROR(__xludf.DUMMYFUNCTION("""COMPUTED_VALUE"""),"*Andrew Jackson*
(1767-1845)
TN")</f>
        <v>*Andrew Jackson*
(1767-1845)
TN</v>
      </c>
      <c r="D8" s="13">
        <f>IFERROR(__xludf.DUMMYFUNCTION("""COMPUTED_VALUE"""),-25868.0)</f>
        <v>-25868</v>
      </c>
      <c r="E8" s="13">
        <f>IFERROR(__xludf.DUMMYFUNCTION("""COMPUTED_VALUE"""),-22946.0)</f>
        <v>-22946</v>
      </c>
      <c r="G8" t="str">
        <f>IFERROR(__xludf.DUMMYFUNCTION("""COMPUTED_VALUE"""),"Démocrate")</f>
        <v>Démocrate</v>
      </c>
      <c r="H8" t="str">
        <f>IFERROR(__xludf.DUMMYFUNCTION("""COMPUTED_VALUE"""),"[g]")</f>
        <v>[g]</v>
      </c>
    </row>
    <row r="9">
      <c r="A9">
        <f>IFERROR(__xludf.DUMMYFUNCTION("""COMPUTED_VALUE"""),8.0)</f>
        <v>8</v>
      </c>
      <c r="B9" t="str">
        <f>IFERROR(__xludf.DUMMYFUNCTION("""COMPUTED_VALUE"""),"*Martin Van Buren*
(1782-1862)
NY")</f>
        <v>*Martin Van Buren*
(1782-1862)
NY</v>
      </c>
      <c r="D9" s="13">
        <f>IFERROR(__xludf.DUMMYFUNCTION("""COMPUTED_VALUE"""),-22946.0)</f>
        <v>-22946</v>
      </c>
      <c r="E9" s="13">
        <f>IFERROR(__xludf.DUMMYFUNCTION("""COMPUTED_VALUE"""),-21485.0)</f>
        <v>-21485</v>
      </c>
      <c r="G9" t="str">
        <f>IFERROR(__xludf.DUMMYFUNCTION("""COMPUTED_VALUE"""),"Démocrate")</f>
        <v>Démocrate</v>
      </c>
      <c r="H9" t="str">
        <f>IFERROR(__xludf.DUMMYFUNCTION("""COMPUTED_VALUE"""),"[h]")</f>
        <v>[h]</v>
      </c>
    </row>
    <row r="10">
      <c r="A10">
        <f>IFERROR(__xludf.DUMMYFUNCTION("""COMPUTED_VALUE"""),9.0)</f>
        <v>9</v>
      </c>
      <c r="B10" t="str">
        <f>IFERROR(__xludf.DUMMYFUNCTION("""COMPUTED_VALUE"""),"*William Henry Harrison*
(1773-1841)
OH")</f>
        <v>*William Henry Harrison*
(1773-1841)
OH</v>
      </c>
      <c r="D10" s="13">
        <f>IFERROR(__xludf.DUMMYFUNCTION("""COMPUTED_VALUE"""),-21485.0)</f>
        <v>-21485</v>
      </c>
      <c r="E10" s="13">
        <f>IFERROR(__xludf.DUMMYFUNCTION("""COMPUTED_VALUE"""),-21454.0)</f>
        <v>-21454</v>
      </c>
      <c r="G10" t="str">
        <f>IFERROR(__xludf.DUMMYFUNCTION("""COMPUTED_VALUE"""),"Whig")</f>
        <v>Whig</v>
      </c>
      <c r="H10" t="str">
        <f>IFERROR(__xludf.DUMMYFUNCTION("""COMPUTED_VALUE"""),"[i]")</f>
        <v>[i]</v>
      </c>
    </row>
    <row r="11">
      <c r="A11">
        <f>IFERROR(__xludf.DUMMYFUNCTION("""COMPUTED_VALUE"""),10.0)</f>
        <v>10</v>
      </c>
      <c r="B11" t="str">
        <f>IFERROR(__xludf.DUMMYFUNCTION("""COMPUTED_VALUE"""),"*John Tyler*
(1790-1862)
VA")</f>
        <v>*John Tyler*
(1790-1862)
VA</v>
      </c>
      <c r="D11" s="13">
        <f>IFERROR(__xludf.DUMMYFUNCTION("""COMPUTED_VALUE"""),-21454.0)</f>
        <v>-21454</v>
      </c>
      <c r="E11" s="13">
        <f>IFERROR(__xludf.DUMMYFUNCTION("""COMPUTED_VALUE"""),-20024.0)</f>
        <v>-20024</v>
      </c>
      <c r="G11" t="str">
        <f>IFERROR(__xludf.DUMMYFUNCTION("""COMPUTED_VALUE"""),"Indépendant")</f>
        <v>Indépendant</v>
      </c>
      <c r="H11" t="str">
        <f>IFERROR(__xludf.DUMMYFUNCTION("""COMPUTED_VALUE"""),"[j]")</f>
        <v>[j]</v>
      </c>
    </row>
    <row r="12">
      <c r="A12">
        <f>IFERROR(__xludf.DUMMYFUNCTION("""COMPUTED_VALUE"""),11.0)</f>
        <v>11</v>
      </c>
      <c r="B12" t="str">
        <f>IFERROR(__xludf.DUMMYFUNCTION("""COMPUTED_VALUE"""),"*James K. Polk*
(1795-1849)
TN")</f>
        <v>*James K. Polk*
(1795-1849)
TN</v>
      </c>
      <c r="D12" s="13">
        <f>IFERROR(__xludf.DUMMYFUNCTION("""COMPUTED_VALUE"""),-20024.0)</f>
        <v>-20024</v>
      </c>
      <c r="E12" s="13">
        <f>IFERROR(__xludf.DUMMYFUNCTION("""COMPUTED_VALUE"""),-18563.0)</f>
        <v>-18563</v>
      </c>
      <c r="G12" t="str">
        <f>IFERROR(__xludf.DUMMYFUNCTION("""COMPUTED_VALUE"""),"Démocrate")</f>
        <v>Démocrate</v>
      </c>
      <c r="H12" t="str">
        <f>IFERROR(__xludf.DUMMYFUNCTION("""COMPUTED_VALUE"""),"[k]")</f>
        <v>[k]</v>
      </c>
    </row>
    <row r="13">
      <c r="A13">
        <f>IFERROR(__xludf.DUMMYFUNCTION("""COMPUTED_VALUE"""),12.0)</f>
        <v>12</v>
      </c>
      <c r="B13" t="str">
        <f>IFERROR(__xludf.DUMMYFUNCTION("""COMPUTED_VALUE"""),"*Zachary Taylor*
(1784-1850)
KY")</f>
        <v>*Zachary Taylor*
(1784-1850)
KY</v>
      </c>
      <c r="D13" s="13">
        <f>IFERROR(__xludf.DUMMYFUNCTION("""COMPUTED_VALUE"""),-18563.0)</f>
        <v>-18563</v>
      </c>
      <c r="E13" s="13">
        <f>IFERROR(__xludf.DUMMYFUNCTION("""COMPUTED_VALUE"""),-18071.0)</f>
        <v>-18071</v>
      </c>
      <c r="G13" t="str">
        <f>IFERROR(__xludf.DUMMYFUNCTION("""COMPUTED_VALUE"""),"Whig")</f>
        <v>Whig</v>
      </c>
      <c r="H13" t="str">
        <f>IFERROR(__xludf.DUMMYFUNCTION("""COMPUTED_VALUE"""),"[l]")</f>
        <v>[l]</v>
      </c>
    </row>
    <row r="14">
      <c r="A14">
        <f>IFERROR(__xludf.DUMMYFUNCTION("""COMPUTED_VALUE"""),13.0)</f>
        <v>13</v>
      </c>
      <c r="B14" t="str">
        <f>IFERROR(__xludf.DUMMYFUNCTION("""COMPUTED_VALUE"""),"*Millard Fillmore*
(1800-1874)
NY")</f>
        <v>*Millard Fillmore*
(1800-1874)
NY</v>
      </c>
      <c r="D14" s="13">
        <f>IFERROR(__xludf.DUMMYFUNCTION("""COMPUTED_VALUE"""),-18071.0)</f>
        <v>-18071</v>
      </c>
      <c r="E14" s="13">
        <f>IFERROR(__xludf.DUMMYFUNCTION("""COMPUTED_VALUE"""),-17102.0)</f>
        <v>-17102</v>
      </c>
      <c r="G14" t="str">
        <f>IFERROR(__xludf.DUMMYFUNCTION("""COMPUTED_VALUE"""),"Whig")</f>
        <v>Whig</v>
      </c>
      <c r="H14" t="str">
        <f>IFERROR(__xludf.DUMMYFUNCTION("""COMPUTED_VALUE"""),"[m]")</f>
        <v>[m]</v>
      </c>
    </row>
    <row r="15">
      <c r="A15">
        <f>IFERROR(__xludf.DUMMYFUNCTION("""COMPUTED_VALUE"""),14.0)</f>
        <v>14</v>
      </c>
      <c r="B15" t="str">
        <f>IFERROR(__xludf.DUMMYFUNCTION("""COMPUTED_VALUE"""),"*Franklin Pierce*
(1804-1869)
NH")</f>
        <v>*Franklin Pierce*
(1804-1869)
NH</v>
      </c>
      <c r="D15" s="13">
        <f>IFERROR(__xludf.DUMMYFUNCTION("""COMPUTED_VALUE"""),-17102.0)</f>
        <v>-17102</v>
      </c>
      <c r="E15" s="13">
        <f>IFERROR(__xludf.DUMMYFUNCTION("""COMPUTED_VALUE"""),-15641.0)</f>
        <v>-15641</v>
      </c>
      <c r="G15" t="str">
        <f>IFERROR(__xludf.DUMMYFUNCTION("""COMPUTED_VALUE"""),"Démocrate")</f>
        <v>Démocrate</v>
      </c>
      <c r="H15" t="str">
        <f>IFERROR(__xludf.DUMMYFUNCTION("""COMPUTED_VALUE"""),"[n]")</f>
        <v>[n]</v>
      </c>
    </row>
    <row r="16">
      <c r="A16">
        <f>IFERROR(__xludf.DUMMYFUNCTION("""COMPUTED_VALUE"""),15.0)</f>
        <v>15</v>
      </c>
      <c r="B16" t="str">
        <f>IFERROR(__xludf.DUMMYFUNCTION("""COMPUTED_VALUE"""),"*James Buchanan*
(1791-1868)
PA")</f>
        <v>*James Buchanan*
(1791-1868)
PA</v>
      </c>
      <c r="D16" s="13">
        <f>IFERROR(__xludf.DUMMYFUNCTION("""COMPUTED_VALUE"""),-15641.0)</f>
        <v>-15641</v>
      </c>
      <c r="E16" s="13">
        <f>IFERROR(__xludf.DUMMYFUNCTION("""COMPUTED_VALUE"""),-14180.0)</f>
        <v>-14180</v>
      </c>
      <c r="G16" t="str">
        <f>IFERROR(__xludf.DUMMYFUNCTION("""COMPUTED_VALUE"""),"Démocrate")</f>
        <v>Démocrate</v>
      </c>
      <c r="H16" t="str">
        <f>IFERROR(__xludf.DUMMYFUNCTION("""COMPUTED_VALUE"""),"[o]")</f>
        <v>[o]</v>
      </c>
    </row>
    <row r="17">
      <c r="A17">
        <f>IFERROR(__xludf.DUMMYFUNCTION("""COMPUTED_VALUE"""),16.0)</f>
        <v>16</v>
      </c>
      <c r="B17" t="str">
        <f>IFERROR(__xludf.DUMMYFUNCTION("""COMPUTED_VALUE"""),"*Abraham Lincoln*
(1809-1865)
IL")</f>
        <v>*Abraham Lincoln*
(1809-1865)
IL</v>
      </c>
      <c r="D17" s="13">
        <f>IFERROR(__xludf.DUMMYFUNCTION("""COMPUTED_VALUE"""),-14180.0)</f>
        <v>-14180</v>
      </c>
      <c r="E17" s="13">
        <f>IFERROR(__xludf.DUMMYFUNCTION("""COMPUTED_VALUE"""),-12677.0)</f>
        <v>-12677</v>
      </c>
      <c r="G17" t="str">
        <f>IFERROR(__xludf.DUMMYFUNCTION("""COMPUTED_VALUE"""),"Républicain
------------------------------
Union (en)")</f>
        <v>Républicain
------------------------------
Union (en)</v>
      </c>
      <c r="H17" t="str">
        <f>IFERROR(__xludf.DUMMYFUNCTION("""COMPUTED_VALUE"""),"[p]")</f>
        <v>[p]</v>
      </c>
    </row>
    <row r="18">
      <c r="A18">
        <f>IFERROR(__xludf.DUMMYFUNCTION("""COMPUTED_VALUE"""),17.0)</f>
        <v>17</v>
      </c>
      <c r="B18" t="str">
        <f>IFERROR(__xludf.DUMMYFUNCTION("""COMPUTED_VALUE"""),"*Andrew Johnson*
(1808-1875)
TN")</f>
        <v>*Andrew Johnson*
(1808-1875)
TN</v>
      </c>
      <c r="D18" s="13">
        <f>IFERROR(__xludf.DUMMYFUNCTION("""COMPUTED_VALUE"""),-12677.0)</f>
        <v>-12677</v>
      </c>
      <c r="E18" s="13">
        <f>IFERROR(__xludf.DUMMYFUNCTION("""COMPUTED_VALUE"""),-11258.0)</f>
        <v>-11258</v>
      </c>
      <c r="G18" t="str">
        <f>IFERROR(__xludf.DUMMYFUNCTION("""COMPUTED_VALUE"""),"Union (en)
------------------------------
Démocrate")</f>
        <v>Union (en)
------------------------------
Démocrate</v>
      </c>
      <c r="H18" t="str">
        <f>IFERROR(__xludf.DUMMYFUNCTION("""COMPUTED_VALUE"""),"[q]")</f>
        <v>[q]</v>
      </c>
    </row>
    <row r="19">
      <c r="A19">
        <f>IFERROR(__xludf.DUMMYFUNCTION("""COMPUTED_VALUE"""),18.0)</f>
        <v>18</v>
      </c>
      <c r="B19" t="str">
        <f>IFERROR(__xludf.DUMMYFUNCTION("""COMPUTED_VALUE"""),"*Ulysses S. Grant*
(1822-1885)
IL")</f>
        <v>*Ulysses S. Grant*
(1822-1885)
IL</v>
      </c>
      <c r="D19" s="13">
        <f>IFERROR(__xludf.DUMMYFUNCTION("""COMPUTED_VALUE"""),-11258.0)</f>
        <v>-11258</v>
      </c>
      <c r="E19" s="13">
        <f>IFERROR(__xludf.DUMMYFUNCTION("""COMPUTED_VALUE"""),-8336.0)</f>
        <v>-8336</v>
      </c>
      <c r="G19" t="str">
        <f>IFERROR(__xludf.DUMMYFUNCTION("""COMPUTED_VALUE"""),"Républicain")</f>
        <v>Républicain</v>
      </c>
      <c r="H19" t="str">
        <f>IFERROR(__xludf.DUMMYFUNCTION("""COMPUTED_VALUE"""),"[r]")</f>
        <v>[r]</v>
      </c>
    </row>
    <row r="20">
      <c r="A20">
        <f>IFERROR(__xludf.DUMMYFUNCTION("""COMPUTED_VALUE"""),19.0)</f>
        <v>19</v>
      </c>
      <c r="B20" t="str">
        <f>IFERROR(__xludf.DUMMYFUNCTION("""COMPUTED_VALUE"""),"*Rutherford B. Hayes*
(1822-1893)
OH")</f>
        <v>*Rutherford B. Hayes*
(1822-1893)
OH</v>
      </c>
      <c r="D20" s="13">
        <f>IFERROR(__xludf.DUMMYFUNCTION("""COMPUTED_VALUE"""),-8336.0)</f>
        <v>-8336</v>
      </c>
      <c r="E20" s="13">
        <f>IFERROR(__xludf.DUMMYFUNCTION("""COMPUTED_VALUE"""),-6875.0)</f>
        <v>-6875</v>
      </c>
      <c r="G20" t="str">
        <f>IFERROR(__xludf.DUMMYFUNCTION("""COMPUTED_VALUE"""),"Républicain")</f>
        <v>Républicain</v>
      </c>
      <c r="H20" t="str">
        <f>IFERROR(__xludf.DUMMYFUNCTION("""COMPUTED_VALUE"""),"[s]")</f>
        <v>[s]</v>
      </c>
    </row>
    <row r="21">
      <c r="A21">
        <f>IFERROR(__xludf.DUMMYFUNCTION("""COMPUTED_VALUE"""),20.0)</f>
        <v>20</v>
      </c>
      <c r="B21" t="str">
        <f>IFERROR(__xludf.DUMMYFUNCTION("""COMPUTED_VALUE"""),"*James A. Garfield*
(1831-1881)
OH")</f>
        <v>*James A. Garfield*
(1831-1881)
OH</v>
      </c>
      <c r="D21" s="13">
        <f>IFERROR(__xludf.DUMMYFUNCTION("""COMPUTED_VALUE"""),-6875.0)</f>
        <v>-6875</v>
      </c>
      <c r="E21" s="13">
        <f>IFERROR(__xludf.DUMMYFUNCTION("""COMPUTED_VALUE"""),-6676.0)</f>
        <v>-6676</v>
      </c>
      <c r="G21" t="str">
        <f>IFERROR(__xludf.DUMMYFUNCTION("""COMPUTED_VALUE"""),"Républicain")</f>
        <v>Républicain</v>
      </c>
      <c r="H21" t="str">
        <f>IFERROR(__xludf.DUMMYFUNCTION("""COMPUTED_VALUE"""),"[t]")</f>
        <v>[t]</v>
      </c>
    </row>
    <row r="22">
      <c r="A22">
        <f>IFERROR(__xludf.DUMMYFUNCTION("""COMPUTED_VALUE"""),21.0)</f>
        <v>21</v>
      </c>
      <c r="B22" t="str">
        <f>IFERROR(__xludf.DUMMYFUNCTION("""COMPUTED_VALUE"""),"*Chester A. Arthur*
(1829-1886)
NY")</f>
        <v>*Chester A. Arthur*
(1829-1886)
NY</v>
      </c>
      <c r="D22" s="13">
        <f>IFERROR(__xludf.DUMMYFUNCTION("""COMPUTED_VALUE"""),-6676.0)</f>
        <v>-6676</v>
      </c>
      <c r="E22" s="13">
        <f>IFERROR(__xludf.DUMMYFUNCTION("""COMPUTED_VALUE"""),-5414.0)</f>
        <v>-5414</v>
      </c>
      <c r="G22" t="str">
        <f>IFERROR(__xludf.DUMMYFUNCTION("""COMPUTED_VALUE"""),"Républicain")</f>
        <v>Républicain</v>
      </c>
      <c r="H22" t="str">
        <f>IFERROR(__xludf.DUMMYFUNCTION("""COMPUTED_VALUE"""),"[u]")</f>
        <v>[u]</v>
      </c>
    </row>
    <row r="23">
      <c r="A23">
        <f>IFERROR(__xludf.DUMMYFUNCTION("""COMPUTED_VALUE"""),22.0)</f>
        <v>22</v>
      </c>
      <c r="B23" t="str">
        <f>IFERROR(__xludf.DUMMYFUNCTION("""COMPUTED_VALUE"""),"*Grover Cleveland*
(1837-1908)
NY
*1re fois*")</f>
        <v>*Grover Cleveland*
(1837-1908)
NY
*1re fois*</v>
      </c>
      <c r="D23" s="13">
        <f>IFERROR(__xludf.DUMMYFUNCTION("""COMPUTED_VALUE"""),-5414.0)</f>
        <v>-5414</v>
      </c>
      <c r="E23" s="13">
        <f>IFERROR(__xludf.DUMMYFUNCTION("""COMPUTED_VALUE"""),-3953.0)</f>
        <v>-3953</v>
      </c>
      <c r="G23" t="str">
        <f>IFERROR(__xludf.DUMMYFUNCTION("""COMPUTED_VALUE"""),"Démocrate")</f>
        <v>Démocrate</v>
      </c>
      <c r="H23" t="str">
        <f>IFERROR(__xludf.DUMMYFUNCTION("""COMPUTED_VALUE"""),"[v]")</f>
        <v>[v]</v>
      </c>
    </row>
    <row r="24">
      <c r="A24">
        <f>IFERROR(__xludf.DUMMYFUNCTION("""COMPUTED_VALUE"""),23.0)</f>
        <v>23</v>
      </c>
      <c r="B24" t="str">
        <f>IFERROR(__xludf.DUMMYFUNCTION("""COMPUTED_VALUE"""),"*Benjamin Harrison*
(1833-1901)
IN")</f>
        <v>*Benjamin Harrison*
(1833-1901)
IN</v>
      </c>
      <c r="D24" s="13">
        <f>IFERROR(__xludf.DUMMYFUNCTION("""COMPUTED_VALUE"""),-3953.0)</f>
        <v>-3953</v>
      </c>
      <c r="E24" s="13">
        <f>IFERROR(__xludf.DUMMYFUNCTION("""COMPUTED_VALUE"""),-2492.0)</f>
        <v>-2492</v>
      </c>
      <c r="G24" t="str">
        <f>IFERROR(__xludf.DUMMYFUNCTION("""COMPUTED_VALUE"""),"Républicain")</f>
        <v>Républicain</v>
      </c>
      <c r="H24" t="str">
        <f>IFERROR(__xludf.DUMMYFUNCTION("""COMPUTED_VALUE"""),"[w]")</f>
        <v>[w]</v>
      </c>
    </row>
    <row r="25">
      <c r="A25">
        <f>IFERROR(__xludf.DUMMYFUNCTION("""COMPUTED_VALUE"""),24.0)</f>
        <v>24</v>
      </c>
      <c r="B25" t="str">
        <f>IFERROR(__xludf.DUMMYFUNCTION("""COMPUTED_VALUE"""),"*Grover Cleveland*
(1837-1908)
NY
*2de fois*")</f>
        <v>*Grover Cleveland*
(1837-1908)
NY
*2de fois*</v>
      </c>
      <c r="D25" s="13">
        <f>IFERROR(__xludf.DUMMYFUNCTION("""COMPUTED_VALUE"""),-2492.0)</f>
        <v>-2492</v>
      </c>
      <c r="E25" s="13">
        <f>IFERROR(__xludf.DUMMYFUNCTION("""COMPUTED_VALUE"""),-1031.0)</f>
        <v>-1031</v>
      </c>
      <c r="G25" t="str">
        <f>IFERROR(__xludf.DUMMYFUNCTION("""COMPUTED_VALUE"""),"Démocrate")</f>
        <v>Démocrate</v>
      </c>
      <c r="H25" t="str">
        <f>IFERROR(__xludf.DUMMYFUNCTION("""COMPUTED_VALUE"""),"[x]")</f>
        <v>[x]</v>
      </c>
    </row>
    <row r="26">
      <c r="A26">
        <f>IFERROR(__xludf.DUMMYFUNCTION("""COMPUTED_VALUE"""),25.0)</f>
        <v>25</v>
      </c>
      <c r="B26" t="str">
        <f>IFERROR(__xludf.DUMMYFUNCTION("""COMPUTED_VALUE"""),"*William McKinley*
(1843-1901)
OH")</f>
        <v>*William McKinley*
(1843-1901)
OH</v>
      </c>
      <c r="D26" s="13">
        <f>IFERROR(__xludf.DUMMYFUNCTION("""COMPUTED_VALUE"""),-1031.0)</f>
        <v>-1031</v>
      </c>
      <c r="E26" s="13">
        <f>IFERROR(__xludf.DUMMYFUNCTION("""COMPUTED_VALUE"""),623.0)</f>
        <v>623</v>
      </c>
      <c r="G26" t="str">
        <f>IFERROR(__xludf.DUMMYFUNCTION("""COMPUTED_VALUE"""),"Républicain")</f>
        <v>Républicain</v>
      </c>
      <c r="H26" t="str">
        <f>IFERROR(__xludf.DUMMYFUNCTION("""COMPUTED_VALUE"""),"[y]")</f>
        <v>[y]</v>
      </c>
    </row>
    <row r="27">
      <c r="A27">
        <f>IFERROR(__xludf.DUMMYFUNCTION("""COMPUTED_VALUE"""),26.0)</f>
        <v>26</v>
      </c>
      <c r="B27" t="str">
        <f>IFERROR(__xludf.DUMMYFUNCTION("""COMPUTED_VALUE"""),"*Theodore Roosevelt*
(1858-1919)
NY")</f>
        <v>*Theodore Roosevelt*
(1858-1919)
NY</v>
      </c>
      <c r="D27" s="13">
        <f>IFERROR(__xludf.DUMMYFUNCTION("""COMPUTED_VALUE"""),623.0)</f>
        <v>623</v>
      </c>
      <c r="E27" s="13">
        <f>IFERROR(__xludf.DUMMYFUNCTION("""COMPUTED_VALUE"""),3351.0)</f>
        <v>3351</v>
      </c>
      <c r="G27" t="str">
        <f>IFERROR(__xludf.DUMMYFUNCTION("""COMPUTED_VALUE"""),"Républicain")</f>
        <v>Républicain</v>
      </c>
      <c r="H27" t="str">
        <f>IFERROR(__xludf.DUMMYFUNCTION("""COMPUTED_VALUE"""),"[z]")</f>
        <v>[z]</v>
      </c>
    </row>
    <row r="28">
      <c r="A28">
        <f>IFERROR(__xludf.DUMMYFUNCTION("""COMPUTED_VALUE"""),27.0)</f>
        <v>27</v>
      </c>
      <c r="B28" t="str">
        <f>IFERROR(__xludf.DUMMYFUNCTION("""COMPUTED_VALUE"""),"*William H. Taft*
(1857-1930)
OH")</f>
        <v>*William H. Taft*
(1857-1930)
OH</v>
      </c>
      <c r="D28" s="13">
        <f>IFERROR(__xludf.DUMMYFUNCTION("""COMPUTED_VALUE"""),3351.0)</f>
        <v>3351</v>
      </c>
      <c r="E28" s="13">
        <f>IFERROR(__xludf.DUMMYFUNCTION("""COMPUTED_VALUE"""),4812.0)</f>
        <v>4812</v>
      </c>
      <c r="G28" t="str">
        <f>IFERROR(__xludf.DUMMYFUNCTION("""COMPUTED_VALUE"""),"Républicain")</f>
        <v>Républicain</v>
      </c>
      <c r="H28" t="str">
        <f>IFERROR(__xludf.DUMMYFUNCTION("""COMPUTED_VALUE"""),"[aa]")</f>
        <v>[aa]</v>
      </c>
    </row>
    <row r="29">
      <c r="A29">
        <f>IFERROR(__xludf.DUMMYFUNCTION("""COMPUTED_VALUE"""),28.0)</f>
        <v>28</v>
      </c>
      <c r="B29" t="str">
        <f>IFERROR(__xludf.DUMMYFUNCTION("""COMPUTED_VALUE"""),"*Woodrow Wilson*
(1856-1924)
NJ")</f>
        <v>*Woodrow Wilson*
(1856-1924)
NJ</v>
      </c>
      <c r="D29" s="13">
        <f>IFERROR(__xludf.DUMMYFUNCTION("""COMPUTED_VALUE"""),4812.0)</f>
        <v>4812</v>
      </c>
      <c r="E29" s="13">
        <f>IFERROR(__xludf.DUMMYFUNCTION("""COMPUTED_VALUE"""),7734.0)</f>
        <v>7734</v>
      </c>
      <c r="G29" t="str">
        <f>IFERROR(__xludf.DUMMYFUNCTION("""COMPUTED_VALUE"""),"Démocrate")</f>
        <v>Démocrate</v>
      </c>
      <c r="H29" t="str">
        <f>IFERROR(__xludf.DUMMYFUNCTION("""COMPUTED_VALUE"""),"[ab]")</f>
        <v>[ab]</v>
      </c>
    </row>
    <row r="30">
      <c r="A30">
        <f>IFERROR(__xludf.DUMMYFUNCTION("""COMPUTED_VALUE"""),29.0)</f>
        <v>29</v>
      </c>
      <c r="B30" t="str">
        <f>IFERROR(__xludf.DUMMYFUNCTION("""COMPUTED_VALUE"""),"*Warren G. Harding*
(1865-1923)
OH")</f>
        <v>*Warren G. Harding*
(1865-1923)
OH</v>
      </c>
      <c r="D30" s="13">
        <f>IFERROR(__xludf.DUMMYFUNCTION("""COMPUTED_VALUE"""),7734.0)</f>
        <v>7734</v>
      </c>
      <c r="E30" s="13">
        <f>IFERROR(__xludf.DUMMYFUNCTION("""COMPUTED_VALUE"""),8615.0)</f>
        <v>8615</v>
      </c>
      <c r="G30" t="str">
        <f>IFERROR(__xludf.DUMMYFUNCTION("""COMPUTED_VALUE"""),"Républicain")</f>
        <v>Républicain</v>
      </c>
      <c r="H30" t="str">
        <f>IFERROR(__xludf.DUMMYFUNCTION("""COMPUTED_VALUE"""),"[ac]")</f>
        <v>[ac]</v>
      </c>
    </row>
    <row r="31">
      <c r="A31">
        <f>IFERROR(__xludf.DUMMYFUNCTION("""COMPUTED_VALUE"""),30.0)</f>
        <v>30</v>
      </c>
      <c r="B31" t="str">
        <f>IFERROR(__xludf.DUMMYFUNCTION("""COMPUTED_VALUE"""),"*Calvin Coolidge*
(1872-1933)
MA")</f>
        <v>*Calvin Coolidge*
(1872-1933)
MA</v>
      </c>
      <c r="D31" s="13">
        <f>IFERROR(__xludf.DUMMYFUNCTION("""COMPUTED_VALUE"""),8615.0)</f>
        <v>8615</v>
      </c>
      <c r="E31" s="13">
        <f>IFERROR(__xludf.DUMMYFUNCTION("""COMPUTED_VALUE"""),10656.0)</f>
        <v>10656</v>
      </c>
      <c r="G31" t="str">
        <f>IFERROR(__xludf.DUMMYFUNCTION("""COMPUTED_VALUE"""),"Républicain")</f>
        <v>Républicain</v>
      </c>
      <c r="H31" t="str">
        <f>IFERROR(__xludf.DUMMYFUNCTION("""COMPUTED_VALUE"""),"[ad]")</f>
        <v>[ad]</v>
      </c>
    </row>
    <row r="32">
      <c r="A32">
        <f>IFERROR(__xludf.DUMMYFUNCTION("""COMPUTED_VALUE"""),31.0)</f>
        <v>31</v>
      </c>
      <c r="B32" t="str">
        <f>IFERROR(__xludf.DUMMYFUNCTION("""COMPUTED_VALUE"""),"*Herbert Hoover*
(1874-1964)
CA")</f>
        <v>*Herbert Hoover*
(1874-1964)
CA</v>
      </c>
      <c r="D32" s="13">
        <f>IFERROR(__xludf.DUMMYFUNCTION("""COMPUTED_VALUE"""),10656.0)</f>
        <v>10656</v>
      </c>
      <c r="E32" s="13">
        <f>IFERROR(__xludf.DUMMYFUNCTION("""COMPUTED_VALUE"""),12117.0)</f>
        <v>12117</v>
      </c>
      <c r="G32" t="str">
        <f>IFERROR(__xludf.DUMMYFUNCTION("""COMPUTED_VALUE"""),"Républicain")</f>
        <v>Républicain</v>
      </c>
      <c r="H32" t="str">
        <f>IFERROR(__xludf.DUMMYFUNCTION("""COMPUTED_VALUE"""),"[ae]")</f>
        <v>[ae]</v>
      </c>
    </row>
    <row r="33">
      <c r="A33">
        <f>IFERROR(__xludf.DUMMYFUNCTION("""COMPUTED_VALUE"""),32.0)</f>
        <v>32</v>
      </c>
      <c r="B33" t="str">
        <f>IFERROR(__xludf.DUMMYFUNCTION("""COMPUTED_VALUE"""),"*Franklin Delano Roosevelt*
(1882-1945)
NY")</f>
        <v>*Franklin Delano Roosevelt*
(1882-1945)
NY</v>
      </c>
      <c r="D33" s="13">
        <f>IFERROR(__xludf.DUMMYFUNCTION("""COMPUTED_VALUE"""),12117.0)</f>
        <v>12117</v>
      </c>
      <c r="E33" s="13">
        <f>IFERROR(__xludf.DUMMYFUNCTION("""COMPUTED_VALUE"""),16539.0)</f>
        <v>16539</v>
      </c>
      <c r="G33" t="str">
        <f>IFERROR(__xludf.DUMMYFUNCTION("""COMPUTED_VALUE"""),"Démocrate")</f>
        <v>Démocrate</v>
      </c>
      <c r="H33" t="str">
        <f>IFERROR(__xludf.DUMMYFUNCTION("""COMPUTED_VALUE"""),"[af]")</f>
        <v>[af]</v>
      </c>
    </row>
    <row r="34">
      <c r="A34">
        <f>IFERROR(__xludf.DUMMYFUNCTION("""COMPUTED_VALUE"""),33.0)</f>
        <v>33</v>
      </c>
      <c r="B34" t="str">
        <f>IFERROR(__xludf.DUMMYFUNCTION("""COMPUTED_VALUE"""),"*Harry S. Truman*
(1884-1972)
MO")</f>
        <v>*Harry S. Truman*
(1884-1972)
MO</v>
      </c>
      <c r="D34" s="13">
        <f>IFERROR(__xludf.DUMMYFUNCTION("""COMPUTED_VALUE"""),16539.0)</f>
        <v>16539</v>
      </c>
      <c r="E34" s="13">
        <f>IFERROR(__xludf.DUMMYFUNCTION("""COMPUTED_VALUE"""),19379.0)</f>
        <v>19379</v>
      </c>
      <c r="G34" t="str">
        <f>IFERROR(__xludf.DUMMYFUNCTION("""COMPUTED_VALUE"""),"Démocrate")</f>
        <v>Démocrate</v>
      </c>
      <c r="H34" t="str">
        <f>IFERROR(__xludf.DUMMYFUNCTION("""COMPUTED_VALUE"""),"[ag]")</f>
        <v>[ag]</v>
      </c>
    </row>
    <row r="35">
      <c r="A35">
        <f>IFERROR(__xludf.DUMMYFUNCTION("""COMPUTED_VALUE"""),34.0)</f>
        <v>34</v>
      </c>
      <c r="B35" t="str">
        <f>IFERROR(__xludf.DUMMYFUNCTION("""COMPUTED_VALUE"""),"*Dwight D. Eisenhower*
(1890-1969)
KS")</f>
        <v>*Dwight D. Eisenhower*
(1890-1969)
KS</v>
      </c>
      <c r="D35" s="13">
        <f>IFERROR(__xludf.DUMMYFUNCTION("""COMPUTED_VALUE"""),19379.0)</f>
        <v>19379</v>
      </c>
      <c r="E35" s="13">
        <f>IFERROR(__xludf.DUMMYFUNCTION("""COMPUTED_VALUE"""),22301.0)</f>
        <v>22301</v>
      </c>
      <c r="G35" t="str">
        <f>IFERROR(__xludf.DUMMYFUNCTION("""COMPUTED_VALUE"""),"Républicain")</f>
        <v>Républicain</v>
      </c>
      <c r="H35" t="str">
        <f>IFERROR(__xludf.DUMMYFUNCTION("""COMPUTED_VALUE"""),"[ah]")</f>
        <v>[ah]</v>
      </c>
    </row>
    <row r="36">
      <c r="A36">
        <f>IFERROR(__xludf.DUMMYFUNCTION("""COMPUTED_VALUE"""),35.0)</f>
        <v>35</v>
      </c>
      <c r="B36" t="str">
        <f>IFERROR(__xludf.DUMMYFUNCTION("""COMPUTED_VALUE"""),"*John Fitzgerald Kennedy*
(1917-1963)
MA")</f>
        <v>*John Fitzgerald Kennedy*
(1917-1963)
MA</v>
      </c>
      <c r="D36" s="13">
        <f>IFERROR(__xludf.DUMMYFUNCTION("""COMPUTED_VALUE"""),22301.0)</f>
        <v>22301</v>
      </c>
      <c r="E36" s="13">
        <f>IFERROR(__xludf.DUMMYFUNCTION("""COMPUTED_VALUE"""),23337.0)</f>
        <v>23337</v>
      </c>
      <c r="G36" t="str">
        <f>IFERROR(__xludf.DUMMYFUNCTION("""COMPUTED_VALUE"""),"Démocrate")</f>
        <v>Démocrate</v>
      </c>
      <c r="H36" t="str">
        <f>IFERROR(__xludf.DUMMYFUNCTION("""COMPUTED_VALUE"""),"[ai]")</f>
        <v>[ai]</v>
      </c>
    </row>
    <row r="37">
      <c r="A37">
        <f>IFERROR(__xludf.DUMMYFUNCTION("""COMPUTED_VALUE"""),36.0)</f>
        <v>36</v>
      </c>
      <c r="B37" t="str">
        <f>IFERROR(__xludf.DUMMYFUNCTION("""COMPUTED_VALUE"""),"*Lyndon B. Johnson*
(1908-1973)
TX")</f>
        <v>*Lyndon B. Johnson*
(1908-1973)
TX</v>
      </c>
      <c r="D37" s="13">
        <f>IFERROR(__xludf.DUMMYFUNCTION("""COMPUTED_VALUE"""),23337.0)</f>
        <v>23337</v>
      </c>
      <c r="E37" s="13">
        <f>IFERROR(__xludf.DUMMYFUNCTION("""COMPUTED_VALUE"""),25223.0)</f>
        <v>25223</v>
      </c>
      <c r="G37" t="str">
        <f>IFERROR(__xludf.DUMMYFUNCTION("""COMPUTED_VALUE"""),"Démocrate")</f>
        <v>Démocrate</v>
      </c>
      <c r="H37" t="str">
        <f>IFERROR(__xludf.DUMMYFUNCTION("""COMPUTED_VALUE"""),"[aj]")</f>
        <v>[aj]</v>
      </c>
    </row>
    <row r="38">
      <c r="A38">
        <f>IFERROR(__xludf.DUMMYFUNCTION("""COMPUTED_VALUE"""),37.0)</f>
        <v>37</v>
      </c>
      <c r="B38" t="str">
        <f>IFERROR(__xludf.DUMMYFUNCTION("""COMPUTED_VALUE"""),"*Richard Nixon*
(1913-1994)
CA")</f>
        <v>*Richard Nixon*
(1913-1994)
CA</v>
      </c>
      <c r="D38" s="13">
        <f>IFERROR(__xludf.DUMMYFUNCTION("""COMPUTED_VALUE"""),25223.0)</f>
        <v>25223</v>
      </c>
      <c r="E38" s="13">
        <f>IFERROR(__xludf.DUMMYFUNCTION("""COMPUTED_VALUE"""),27250.0)</f>
        <v>27250</v>
      </c>
      <c r="G38" t="str">
        <f>IFERROR(__xludf.DUMMYFUNCTION("""COMPUTED_VALUE"""),"Républicain")</f>
        <v>Républicain</v>
      </c>
      <c r="H38" t="str">
        <f>IFERROR(__xludf.DUMMYFUNCTION("""COMPUTED_VALUE"""),"[ak]")</f>
        <v>[ak]</v>
      </c>
    </row>
    <row r="39">
      <c r="A39">
        <f>IFERROR(__xludf.DUMMYFUNCTION("""COMPUTED_VALUE"""),38.0)</f>
        <v>38</v>
      </c>
      <c r="B39" t="str">
        <f>IFERROR(__xludf.DUMMYFUNCTION("""COMPUTED_VALUE"""),"*Gerald Ford*
(1913-2006)
MI")</f>
        <v>*Gerald Ford*
(1913-2006)
MI</v>
      </c>
      <c r="D39" s="13">
        <f>IFERROR(__xludf.DUMMYFUNCTION("""COMPUTED_VALUE"""),27250.0)</f>
        <v>27250</v>
      </c>
      <c r="E39" s="13">
        <f>IFERROR(__xludf.DUMMYFUNCTION("""COMPUTED_VALUE"""),28145.0)</f>
        <v>28145</v>
      </c>
      <c r="G39" t="str">
        <f>IFERROR(__xludf.DUMMYFUNCTION("""COMPUTED_VALUE"""),"Républicain")</f>
        <v>Républicain</v>
      </c>
      <c r="H39" t="str">
        <f>IFERROR(__xludf.DUMMYFUNCTION("""COMPUTED_VALUE"""),"[al]")</f>
        <v>[al]</v>
      </c>
    </row>
    <row r="40">
      <c r="A40">
        <f>IFERROR(__xludf.DUMMYFUNCTION("""COMPUTED_VALUE"""),39.0)</f>
        <v>39</v>
      </c>
      <c r="B40" t="str">
        <f>IFERROR(__xludf.DUMMYFUNCTION("""COMPUTED_VALUE"""),"*Jimmy Carter*
(1924-2024)
GA")</f>
        <v>*Jimmy Carter*
(1924-2024)
GA</v>
      </c>
      <c r="D40" s="13">
        <f>IFERROR(__xludf.DUMMYFUNCTION("""COMPUTED_VALUE"""),28145.0)</f>
        <v>28145</v>
      </c>
      <c r="E40" s="13">
        <f>IFERROR(__xludf.DUMMYFUNCTION("""COMPUTED_VALUE"""),29606.0)</f>
        <v>29606</v>
      </c>
      <c r="G40" t="str">
        <f>IFERROR(__xludf.DUMMYFUNCTION("""COMPUTED_VALUE"""),"Démocrate")</f>
        <v>Démocrate</v>
      </c>
      <c r="H40" t="str">
        <f>IFERROR(__xludf.DUMMYFUNCTION("""COMPUTED_VALUE"""),"[am]")</f>
        <v>[am]</v>
      </c>
    </row>
    <row r="41">
      <c r="A41">
        <f>IFERROR(__xludf.DUMMYFUNCTION("""COMPUTED_VALUE"""),40.0)</f>
        <v>40</v>
      </c>
      <c r="B41" t="str">
        <f>IFERROR(__xludf.DUMMYFUNCTION("""COMPUTED_VALUE"""),"*Ronald Reagan*
(1911-2004)
CA")</f>
        <v>*Ronald Reagan*
(1911-2004)
CA</v>
      </c>
      <c r="D41" s="13">
        <f>IFERROR(__xludf.DUMMYFUNCTION("""COMPUTED_VALUE"""),29606.0)</f>
        <v>29606</v>
      </c>
      <c r="E41" s="13">
        <f>IFERROR(__xludf.DUMMYFUNCTION("""COMPUTED_VALUE"""),32528.0)</f>
        <v>32528</v>
      </c>
      <c r="G41" t="str">
        <f>IFERROR(__xludf.DUMMYFUNCTION("""COMPUTED_VALUE"""),"Républicain")</f>
        <v>Républicain</v>
      </c>
      <c r="H41" t="str">
        <f>IFERROR(__xludf.DUMMYFUNCTION("""COMPUTED_VALUE"""),"[an]")</f>
        <v>[an]</v>
      </c>
    </row>
    <row r="42">
      <c r="A42">
        <f>IFERROR(__xludf.DUMMYFUNCTION("""COMPUTED_VALUE"""),41.0)</f>
        <v>41</v>
      </c>
      <c r="B42" t="str">
        <f>IFERROR(__xludf.DUMMYFUNCTION("""COMPUTED_VALUE"""),"*George H. W. Bush*
(1924-2018)
TX")</f>
        <v>*George H. W. Bush*
(1924-2018)
TX</v>
      </c>
      <c r="D42" s="13">
        <f>IFERROR(__xludf.DUMMYFUNCTION("""COMPUTED_VALUE"""),32528.0)</f>
        <v>32528</v>
      </c>
      <c r="E42" s="13">
        <f>IFERROR(__xludf.DUMMYFUNCTION("""COMPUTED_VALUE"""),33989.0)</f>
        <v>33989</v>
      </c>
      <c r="G42" t="str">
        <f>IFERROR(__xludf.DUMMYFUNCTION("""COMPUTED_VALUE"""),"Républicain")</f>
        <v>Républicain</v>
      </c>
      <c r="H42" t="str">
        <f>IFERROR(__xludf.DUMMYFUNCTION("""COMPUTED_VALUE"""),"[ao]")</f>
        <v>[ao]</v>
      </c>
    </row>
    <row r="43">
      <c r="A43">
        <f>IFERROR(__xludf.DUMMYFUNCTION("""COMPUTED_VALUE"""),42.0)</f>
        <v>42</v>
      </c>
      <c r="B43" t="str">
        <f>IFERROR(__xludf.DUMMYFUNCTION("""COMPUTED_VALUE"""),"*Bill Clinton*
(né en 1946)
AR")</f>
        <v>*Bill Clinton*
(né en 1946)
AR</v>
      </c>
      <c r="D43" s="13">
        <f>IFERROR(__xludf.DUMMYFUNCTION("""COMPUTED_VALUE"""),33989.0)</f>
        <v>33989</v>
      </c>
      <c r="E43" s="13">
        <f>IFERROR(__xludf.DUMMYFUNCTION("""COMPUTED_VALUE"""),36911.0)</f>
        <v>36911</v>
      </c>
      <c r="G43" t="str">
        <f>IFERROR(__xludf.DUMMYFUNCTION("""COMPUTED_VALUE"""),"Démocrate")</f>
        <v>Démocrate</v>
      </c>
      <c r="H43" t="str">
        <f>IFERROR(__xludf.DUMMYFUNCTION("""COMPUTED_VALUE"""),"[ap]")</f>
        <v>[ap]</v>
      </c>
    </row>
    <row r="44">
      <c r="A44">
        <f>IFERROR(__xludf.DUMMYFUNCTION("""COMPUTED_VALUE"""),43.0)</f>
        <v>43</v>
      </c>
      <c r="B44" t="str">
        <f>IFERROR(__xludf.DUMMYFUNCTION("""COMPUTED_VALUE"""),"*George W. Bush*
(né en 1946)
TX")</f>
        <v>*George W. Bush*
(né en 1946)
TX</v>
      </c>
      <c r="D44" s="13">
        <f>IFERROR(__xludf.DUMMYFUNCTION("""COMPUTED_VALUE"""),36911.0)</f>
        <v>36911</v>
      </c>
      <c r="E44" s="13">
        <f>IFERROR(__xludf.DUMMYFUNCTION("""COMPUTED_VALUE"""),39833.0)</f>
        <v>39833</v>
      </c>
      <c r="G44" t="str">
        <f>IFERROR(__xludf.DUMMYFUNCTION("""COMPUTED_VALUE"""),"Républicain")</f>
        <v>Républicain</v>
      </c>
      <c r="H44" t="str">
        <f>IFERROR(__xludf.DUMMYFUNCTION("""COMPUTED_VALUE"""),"[aq]")</f>
        <v>[aq]</v>
      </c>
    </row>
    <row r="45">
      <c r="A45">
        <f>IFERROR(__xludf.DUMMYFUNCTION("""COMPUTED_VALUE"""),44.0)</f>
        <v>44</v>
      </c>
      <c r="B45" t="str">
        <f>IFERROR(__xludf.DUMMYFUNCTION("""COMPUTED_VALUE"""),"*Barack Obama*
(né en 1961)
IL")</f>
        <v>*Barack Obama*
(né en 1961)
IL</v>
      </c>
      <c r="D45" s="13">
        <f>IFERROR(__xludf.DUMMYFUNCTION("""COMPUTED_VALUE"""),39833.0)</f>
        <v>39833</v>
      </c>
      <c r="E45" s="13">
        <f>IFERROR(__xludf.DUMMYFUNCTION("""COMPUTED_VALUE"""),42755.0)</f>
        <v>42755</v>
      </c>
      <c r="G45" t="str">
        <f>IFERROR(__xludf.DUMMYFUNCTION("""COMPUTED_VALUE"""),"Démocrate")</f>
        <v>Démocrate</v>
      </c>
      <c r="H45" t="str">
        <f>IFERROR(__xludf.DUMMYFUNCTION("""COMPUTED_VALUE"""),"[ar]")</f>
        <v>[ar]</v>
      </c>
    </row>
    <row r="46">
      <c r="A46">
        <f>IFERROR(__xludf.DUMMYFUNCTION("""COMPUTED_VALUE"""),45.0)</f>
        <v>45</v>
      </c>
      <c r="B46" t="str">
        <f>IFERROR(__xludf.DUMMYFUNCTION("""COMPUTED_VALUE"""),"*Donald Trump*
(né en 1946)
NY
*1re fois*")</f>
        <v>*Donald Trump*
(né en 1946)
NY
*1re fois*</v>
      </c>
      <c r="D46" s="13">
        <f>IFERROR(__xludf.DUMMYFUNCTION("""COMPUTED_VALUE"""),42755.0)</f>
        <v>42755</v>
      </c>
      <c r="E46" s="13">
        <f>IFERROR(__xludf.DUMMYFUNCTION("""COMPUTED_VALUE"""),44216.0)</f>
        <v>44216</v>
      </c>
      <c r="G46" t="str">
        <f>IFERROR(__xludf.DUMMYFUNCTION("""COMPUTED_VALUE"""),"Républicain")</f>
        <v>Républicain</v>
      </c>
      <c r="H46" t="str">
        <f>IFERROR(__xludf.DUMMYFUNCTION("""COMPUTED_VALUE"""),"[as]")</f>
        <v>[as]</v>
      </c>
    </row>
    <row r="47">
      <c r="A47">
        <f>IFERROR(__xludf.DUMMYFUNCTION("""COMPUTED_VALUE"""),46.0)</f>
        <v>46</v>
      </c>
      <c r="B47" t="str">
        <f>IFERROR(__xludf.DUMMYFUNCTION("""COMPUTED_VALUE"""),"*Joe Biden*
(né en 1942)
PA")</f>
        <v>*Joe Biden*
(né en 1942)
PA</v>
      </c>
      <c r="D47" s="13">
        <f>IFERROR(__xludf.DUMMYFUNCTION("""COMPUTED_VALUE"""),44216.0)</f>
        <v>44216</v>
      </c>
      <c r="E47" s="13">
        <f>IFERROR(__xludf.DUMMYFUNCTION("""COMPUTED_VALUE"""),45677.0)</f>
        <v>45677</v>
      </c>
      <c r="G47" t="str">
        <f>IFERROR(__xludf.DUMMYFUNCTION("""COMPUTED_VALUE"""),"Démocrate")</f>
        <v>Démocrate</v>
      </c>
      <c r="H47" t="str">
        <f>IFERROR(__xludf.DUMMYFUNCTION("""COMPUTED_VALUE"""),"[at]")</f>
        <v>[at]</v>
      </c>
    </row>
    <row r="48">
      <c r="A48">
        <f>IFERROR(__xludf.DUMMYFUNCTION("""COMPUTED_VALUE"""),47.0)</f>
        <v>47</v>
      </c>
      <c r="B48" t="str">
        <f>IFERROR(__xludf.DUMMYFUNCTION("""COMPUTED_VALUE"""),"*Donald Trump*
(né en 1946)
NY
*2de fois*")</f>
        <v>*Donald Trump*
(né en 1946)
NY
*2de fois*</v>
      </c>
      <c r="D48" s="13">
        <f>IFERROR(__xludf.DUMMYFUNCTION("""COMPUTED_VALUE"""),45677.0)</f>
        <v>45677</v>
      </c>
      <c r="E48" t="str">
        <f>IFERROR(__xludf.DUMMYFUNCTION("""COMPUTED_VALUE"""),"*En cours*")</f>
        <v>*En cours*</v>
      </c>
      <c r="G48" t="str">
        <f>IFERROR(__xludf.DUMMYFUNCTION("""COMPUTED_VALUE"""),"Républicain")</f>
        <v>Républicain</v>
      </c>
      <c r="H48" t="str">
        <f>IFERROR(__xludf.DUMMYFUNCTION("""COMPUTED_VALUE"""),"[au]")</f>
        <v>[au]</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IFERROR(__xludf.DUMMYFUNCTION("IMPORTHTML(""https://fr.wikipedia.org/wiki/Liste_des_présidents_des_États-Unis"",""table"")"),"N°")</f>
        <v>N°</v>
      </c>
      <c r="B1" t="str">
        <f>IFERROR(__xludf.DUMMYFUNCTION("""COMPUTED_VALUE"""),"Titulaire
(Naissance-Mort)
État d'origine")</f>
        <v>Titulaire
(Naissance-Mort)
État d'origine</v>
      </c>
      <c r="D1" t="str">
        <f>IFERROR(__xludf.DUMMYFUNCTION("""COMPUTED_VALUE"""),"Début de mandat")</f>
        <v>Début de mandat</v>
      </c>
      <c r="E1" t="str">
        <f>IFERROR(__xludf.DUMMYFUNCTION("""COMPUTED_VALUE"""),"Fin de mandat")</f>
        <v>Fin de mandat</v>
      </c>
      <c r="F1" t="str">
        <f>IFERROR(__xludf.DUMMYFUNCTION("""COMPUTED_VALUE"""),"Parti")</f>
        <v>Parti</v>
      </c>
      <c r="H1" t="str">
        <f>IFERROR(__xludf.DUMMYFUNCTION("""COMPUTED_VALUE"""),"Notes")</f>
        <v>Notes</v>
      </c>
    </row>
    <row r="2">
      <c r="A2" s="1">
        <f>IFERROR(__xludf.DUMMYFUNCTION("""COMPUTED_VALUE"""),1.0)</f>
        <v>1</v>
      </c>
      <c r="B2" t="str">
        <f>IFERROR(__xludf.DUMMYFUNCTION("""COMPUTED_VALUE"""),"*George Washington*
(1732-1799)
VA")</f>
        <v>*George Washington*
(1732-1799)
VA</v>
      </c>
      <c r="D2" s="13">
        <f>IFERROR(__xludf.DUMMYFUNCTION("""COMPUTED_VALUE"""),-40420.0)</f>
        <v>-40420</v>
      </c>
      <c r="E2" s="13">
        <f>IFERROR(__xludf.DUMMYFUNCTION("""COMPUTED_VALUE"""),-37555.0)</f>
        <v>-37555</v>
      </c>
      <c r="G2" t="str">
        <f>IFERROR(__xludf.DUMMYFUNCTION("""COMPUTED_VALUE"""),"Indépendant")</f>
        <v>Indépendant</v>
      </c>
      <c r="H2" t="str">
        <f>IFERROR(__xludf.DUMMYFUNCTION("""COMPUTED_VALUE"""),"[a]")</f>
        <v>[a]</v>
      </c>
    </row>
    <row r="3">
      <c r="A3">
        <f>IFERROR(__xludf.DUMMYFUNCTION("""COMPUTED_VALUE"""),2.0)</f>
        <v>2</v>
      </c>
      <c r="B3" t="str">
        <f>IFERROR(__xludf.DUMMYFUNCTION("""COMPUTED_VALUE"""),"*John Adams*
(1735-1826)
MA")</f>
        <v>*John Adams*
(1735-1826)
MA</v>
      </c>
      <c r="D3" s="13">
        <f>IFERROR(__xludf.DUMMYFUNCTION("""COMPUTED_VALUE"""),-37555.0)</f>
        <v>-37555</v>
      </c>
      <c r="E3" s="13">
        <f>IFERROR(__xludf.DUMMYFUNCTION("""COMPUTED_VALUE"""),-36095.0)</f>
        <v>-36095</v>
      </c>
      <c r="G3" t="str">
        <f>IFERROR(__xludf.DUMMYFUNCTION("""COMPUTED_VALUE"""),"Fédéraliste")</f>
        <v>Fédéraliste</v>
      </c>
      <c r="H3" t="str">
        <f>IFERROR(__xludf.DUMMYFUNCTION("""COMPUTED_VALUE"""),"[b]")</f>
        <v>[b]</v>
      </c>
    </row>
    <row r="4">
      <c r="A4">
        <f>IFERROR(__xludf.DUMMYFUNCTION("""COMPUTED_VALUE"""),3.0)</f>
        <v>3</v>
      </c>
      <c r="B4" t="str">
        <f>IFERROR(__xludf.DUMMYFUNCTION("""COMPUTED_VALUE"""),"*Thomas Jefferson*
(1743-1826)
VA")</f>
        <v>*Thomas Jefferson*
(1743-1826)
VA</v>
      </c>
      <c r="D4" s="13">
        <f>IFERROR(__xludf.DUMMYFUNCTION("""COMPUTED_VALUE"""),-36095.0)</f>
        <v>-36095</v>
      </c>
      <c r="E4" s="13">
        <f>IFERROR(__xludf.DUMMYFUNCTION("""COMPUTED_VALUE"""),-33173.0)</f>
        <v>-33173</v>
      </c>
      <c r="G4" t="str">
        <f>IFERROR(__xludf.DUMMYFUNCTION("""COMPUTED_VALUE"""),"Républicain-
démocrate")</f>
        <v>Républicain-
démocrate</v>
      </c>
      <c r="H4" t="str">
        <f>IFERROR(__xludf.DUMMYFUNCTION("""COMPUTED_VALUE"""),"[c]")</f>
        <v>[c]</v>
      </c>
    </row>
    <row r="5">
      <c r="A5">
        <f>IFERROR(__xludf.DUMMYFUNCTION("""COMPUTED_VALUE"""),4.0)</f>
        <v>4</v>
      </c>
      <c r="B5" t="str">
        <f>IFERROR(__xludf.DUMMYFUNCTION("""COMPUTED_VALUE"""),"*James Madison*
(1751-1836)
VA")</f>
        <v>*James Madison*
(1751-1836)
VA</v>
      </c>
      <c r="D5" s="13">
        <f>IFERROR(__xludf.DUMMYFUNCTION("""COMPUTED_VALUE"""),-33173.0)</f>
        <v>-33173</v>
      </c>
      <c r="E5" s="13">
        <f>IFERROR(__xludf.DUMMYFUNCTION("""COMPUTED_VALUE"""),-30251.0)</f>
        <v>-30251</v>
      </c>
      <c r="G5" t="str">
        <f>IFERROR(__xludf.DUMMYFUNCTION("""COMPUTED_VALUE"""),"Républicain-
démocrate")</f>
        <v>Républicain-
démocrate</v>
      </c>
      <c r="H5" t="str">
        <f>IFERROR(__xludf.DUMMYFUNCTION("""COMPUTED_VALUE"""),"[d]")</f>
        <v>[d]</v>
      </c>
    </row>
    <row r="6">
      <c r="A6">
        <f>IFERROR(__xludf.DUMMYFUNCTION("""COMPUTED_VALUE"""),5.0)</f>
        <v>5</v>
      </c>
      <c r="B6" t="str">
        <f>IFERROR(__xludf.DUMMYFUNCTION("""COMPUTED_VALUE"""),"*James Monroe*
(1758-1831)
VA")</f>
        <v>*James Monroe*
(1758-1831)
VA</v>
      </c>
      <c r="D6" s="13">
        <f>IFERROR(__xludf.DUMMYFUNCTION("""COMPUTED_VALUE"""),-30251.0)</f>
        <v>-30251</v>
      </c>
      <c r="E6" s="13">
        <f>IFERROR(__xludf.DUMMYFUNCTION("""COMPUTED_VALUE"""),-27329.0)</f>
        <v>-27329</v>
      </c>
      <c r="G6" t="str">
        <f>IFERROR(__xludf.DUMMYFUNCTION("""COMPUTED_VALUE"""),"Républicain-
démocrate")</f>
        <v>Républicain-
démocrate</v>
      </c>
      <c r="H6" t="str">
        <f>IFERROR(__xludf.DUMMYFUNCTION("""COMPUTED_VALUE"""),"[e]")</f>
        <v>[e]</v>
      </c>
    </row>
    <row r="7">
      <c r="A7">
        <f>IFERROR(__xludf.DUMMYFUNCTION("""COMPUTED_VALUE"""),6.0)</f>
        <v>6</v>
      </c>
      <c r="B7" t="str">
        <f>IFERROR(__xludf.DUMMYFUNCTION("""COMPUTED_VALUE"""),"*John Quincy Adams*
(1767-1848)
MA")</f>
        <v>*John Quincy Adams*
(1767-1848)
MA</v>
      </c>
      <c r="D7" s="13">
        <f>IFERROR(__xludf.DUMMYFUNCTION("""COMPUTED_VALUE"""),-27329.0)</f>
        <v>-27329</v>
      </c>
      <c r="E7" s="13">
        <f>IFERROR(__xludf.DUMMYFUNCTION("""COMPUTED_VALUE"""),-25868.0)</f>
        <v>-25868</v>
      </c>
      <c r="F7" s="1"/>
      <c r="G7" t="str">
        <f>IFERROR(__xludf.DUMMYFUNCTION("""COMPUTED_VALUE"""),"Républicain-
démocrate
------------------------------
National-républicain")</f>
        <v>Républicain-
démocrate
------------------------------
National-républicain</v>
      </c>
      <c r="H7" t="str">
        <f>IFERROR(__xludf.DUMMYFUNCTION("""COMPUTED_VALUE"""),"[f]")</f>
        <v>[f]</v>
      </c>
    </row>
    <row r="8">
      <c r="A8">
        <f>IFERROR(__xludf.DUMMYFUNCTION("""COMPUTED_VALUE"""),7.0)</f>
        <v>7</v>
      </c>
      <c r="B8" t="str">
        <f>IFERROR(__xludf.DUMMYFUNCTION("""COMPUTED_VALUE"""),"*Andrew Jackson*
(1767-1845)
TN")</f>
        <v>*Andrew Jackson*
(1767-1845)
TN</v>
      </c>
      <c r="D8" s="13">
        <f>IFERROR(__xludf.DUMMYFUNCTION("""COMPUTED_VALUE"""),-25868.0)</f>
        <v>-25868</v>
      </c>
      <c r="E8" s="13">
        <f>IFERROR(__xludf.DUMMYFUNCTION("""COMPUTED_VALUE"""),-22946.0)</f>
        <v>-22946</v>
      </c>
      <c r="G8" t="str">
        <f>IFERROR(__xludf.DUMMYFUNCTION("""COMPUTED_VALUE"""),"Démocrate")</f>
        <v>Démocrate</v>
      </c>
      <c r="H8" t="str">
        <f>IFERROR(__xludf.DUMMYFUNCTION("""COMPUTED_VALUE"""),"[g]")</f>
        <v>[g]</v>
      </c>
    </row>
    <row r="9">
      <c r="A9">
        <f>IFERROR(__xludf.DUMMYFUNCTION("""COMPUTED_VALUE"""),8.0)</f>
        <v>8</v>
      </c>
      <c r="B9" t="str">
        <f>IFERROR(__xludf.DUMMYFUNCTION("""COMPUTED_VALUE"""),"*Martin Van Buren*
(1782-1862)
NY")</f>
        <v>*Martin Van Buren*
(1782-1862)
NY</v>
      </c>
      <c r="D9" s="13">
        <f>IFERROR(__xludf.DUMMYFUNCTION("""COMPUTED_VALUE"""),-22946.0)</f>
        <v>-22946</v>
      </c>
      <c r="E9" s="13">
        <f>IFERROR(__xludf.DUMMYFUNCTION("""COMPUTED_VALUE"""),-21485.0)</f>
        <v>-21485</v>
      </c>
      <c r="G9" t="str">
        <f>IFERROR(__xludf.DUMMYFUNCTION("""COMPUTED_VALUE"""),"Démocrate")</f>
        <v>Démocrate</v>
      </c>
      <c r="H9" t="str">
        <f>IFERROR(__xludf.DUMMYFUNCTION("""COMPUTED_VALUE"""),"[h]")</f>
        <v>[h]</v>
      </c>
    </row>
    <row r="10">
      <c r="A10">
        <f>IFERROR(__xludf.DUMMYFUNCTION("""COMPUTED_VALUE"""),9.0)</f>
        <v>9</v>
      </c>
      <c r="B10" t="str">
        <f>IFERROR(__xludf.DUMMYFUNCTION("""COMPUTED_VALUE"""),"*William Henry Harrison*
(1773-1841)
OH")</f>
        <v>*William Henry Harrison*
(1773-1841)
OH</v>
      </c>
      <c r="D10" s="13">
        <f>IFERROR(__xludf.DUMMYFUNCTION("""COMPUTED_VALUE"""),-21485.0)</f>
        <v>-21485</v>
      </c>
      <c r="E10" s="13">
        <f>IFERROR(__xludf.DUMMYFUNCTION("""COMPUTED_VALUE"""),-21454.0)</f>
        <v>-21454</v>
      </c>
      <c r="G10" t="str">
        <f>IFERROR(__xludf.DUMMYFUNCTION("""COMPUTED_VALUE"""),"Whig")</f>
        <v>Whig</v>
      </c>
      <c r="H10" t="str">
        <f>IFERROR(__xludf.DUMMYFUNCTION("""COMPUTED_VALUE"""),"[i]")</f>
        <v>[i]</v>
      </c>
    </row>
    <row r="11">
      <c r="A11">
        <f>IFERROR(__xludf.DUMMYFUNCTION("""COMPUTED_VALUE"""),10.0)</f>
        <v>10</v>
      </c>
      <c r="B11" t="str">
        <f>IFERROR(__xludf.DUMMYFUNCTION("""COMPUTED_VALUE"""),"*John Tyler*
(1790-1862)
VA")</f>
        <v>*John Tyler*
(1790-1862)
VA</v>
      </c>
      <c r="D11" s="13">
        <f>IFERROR(__xludf.DUMMYFUNCTION("""COMPUTED_VALUE"""),-21454.0)</f>
        <v>-21454</v>
      </c>
      <c r="E11" s="13">
        <f>IFERROR(__xludf.DUMMYFUNCTION("""COMPUTED_VALUE"""),-20024.0)</f>
        <v>-20024</v>
      </c>
      <c r="G11" t="str">
        <f>IFERROR(__xludf.DUMMYFUNCTION("""COMPUTED_VALUE"""),"Indépendant")</f>
        <v>Indépendant</v>
      </c>
      <c r="H11" t="str">
        <f>IFERROR(__xludf.DUMMYFUNCTION("""COMPUTED_VALUE"""),"[j]")</f>
        <v>[j]</v>
      </c>
    </row>
    <row r="12">
      <c r="A12">
        <f>IFERROR(__xludf.DUMMYFUNCTION("""COMPUTED_VALUE"""),11.0)</f>
        <v>11</v>
      </c>
      <c r="B12" t="str">
        <f>IFERROR(__xludf.DUMMYFUNCTION("""COMPUTED_VALUE"""),"*James K. Polk*
(1795-1849)
TN")</f>
        <v>*James K. Polk*
(1795-1849)
TN</v>
      </c>
      <c r="D12" s="13">
        <f>IFERROR(__xludf.DUMMYFUNCTION("""COMPUTED_VALUE"""),-20024.0)</f>
        <v>-20024</v>
      </c>
      <c r="E12" s="13">
        <f>IFERROR(__xludf.DUMMYFUNCTION("""COMPUTED_VALUE"""),-18563.0)</f>
        <v>-18563</v>
      </c>
      <c r="G12" t="str">
        <f>IFERROR(__xludf.DUMMYFUNCTION("""COMPUTED_VALUE"""),"Démocrate")</f>
        <v>Démocrate</v>
      </c>
      <c r="H12" t="str">
        <f>IFERROR(__xludf.DUMMYFUNCTION("""COMPUTED_VALUE"""),"[k]")</f>
        <v>[k]</v>
      </c>
    </row>
    <row r="13">
      <c r="A13">
        <f>IFERROR(__xludf.DUMMYFUNCTION("""COMPUTED_VALUE"""),12.0)</f>
        <v>12</v>
      </c>
      <c r="B13" t="str">
        <f>IFERROR(__xludf.DUMMYFUNCTION("""COMPUTED_VALUE"""),"*Zachary Taylor*
(1784-1850)
KY")</f>
        <v>*Zachary Taylor*
(1784-1850)
KY</v>
      </c>
      <c r="D13" s="13">
        <f>IFERROR(__xludf.DUMMYFUNCTION("""COMPUTED_VALUE"""),-18563.0)</f>
        <v>-18563</v>
      </c>
      <c r="E13" s="13">
        <f>IFERROR(__xludf.DUMMYFUNCTION("""COMPUTED_VALUE"""),-18071.0)</f>
        <v>-18071</v>
      </c>
      <c r="G13" t="str">
        <f>IFERROR(__xludf.DUMMYFUNCTION("""COMPUTED_VALUE"""),"Whig")</f>
        <v>Whig</v>
      </c>
      <c r="H13" t="str">
        <f>IFERROR(__xludf.DUMMYFUNCTION("""COMPUTED_VALUE"""),"[l]")</f>
        <v>[l]</v>
      </c>
    </row>
    <row r="14">
      <c r="A14">
        <f>IFERROR(__xludf.DUMMYFUNCTION("""COMPUTED_VALUE"""),13.0)</f>
        <v>13</v>
      </c>
      <c r="B14" t="str">
        <f>IFERROR(__xludf.DUMMYFUNCTION("""COMPUTED_VALUE"""),"*Millard Fillmore*
(1800-1874)
NY")</f>
        <v>*Millard Fillmore*
(1800-1874)
NY</v>
      </c>
      <c r="D14" s="13">
        <f>IFERROR(__xludf.DUMMYFUNCTION("""COMPUTED_VALUE"""),-18071.0)</f>
        <v>-18071</v>
      </c>
      <c r="E14" s="13">
        <f>IFERROR(__xludf.DUMMYFUNCTION("""COMPUTED_VALUE"""),-17102.0)</f>
        <v>-17102</v>
      </c>
      <c r="G14" t="str">
        <f>IFERROR(__xludf.DUMMYFUNCTION("""COMPUTED_VALUE"""),"Whig")</f>
        <v>Whig</v>
      </c>
      <c r="H14" t="str">
        <f>IFERROR(__xludf.DUMMYFUNCTION("""COMPUTED_VALUE"""),"[m]")</f>
        <v>[m]</v>
      </c>
    </row>
    <row r="15">
      <c r="A15">
        <f>IFERROR(__xludf.DUMMYFUNCTION("""COMPUTED_VALUE"""),14.0)</f>
        <v>14</v>
      </c>
      <c r="B15" t="str">
        <f>IFERROR(__xludf.DUMMYFUNCTION("""COMPUTED_VALUE"""),"*Franklin Pierce*
(1804-1869)
NH")</f>
        <v>*Franklin Pierce*
(1804-1869)
NH</v>
      </c>
      <c r="D15" s="13">
        <f>IFERROR(__xludf.DUMMYFUNCTION("""COMPUTED_VALUE"""),-17102.0)</f>
        <v>-17102</v>
      </c>
      <c r="E15" s="13">
        <f>IFERROR(__xludf.DUMMYFUNCTION("""COMPUTED_VALUE"""),-15641.0)</f>
        <v>-15641</v>
      </c>
      <c r="G15" t="str">
        <f>IFERROR(__xludf.DUMMYFUNCTION("""COMPUTED_VALUE"""),"Démocrate")</f>
        <v>Démocrate</v>
      </c>
      <c r="H15" t="str">
        <f>IFERROR(__xludf.DUMMYFUNCTION("""COMPUTED_VALUE"""),"[n]")</f>
        <v>[n]</v>
      </c>
    </row>
    <row r="16">
      <c r="A16">
        <f>IFERROR(__xludf.DUMMYFUNCTION("""COMPUTED_VALUE"""),15.0)</f>
        <v>15</v>
      </c>
      <c r="B16" t="str">
        <f>IFERROR(__xludf.DUMMYFUNCTION("""COMPUTED_VALUE"""),"*James Buchanan*
(1791-1868)
PA")</f>
        <v>*James Buchanan*
(1791-1868)
PA</v>
      </c>
      <c r="D16" s="13">
        <f>IFERROR(__xludf.DUMMYFUNCTION("""COMPUTED_VALUE"""),-15641.0)</f>
        <v>-15641</v>
      </c>
      <c r="E16" s="13">
        <f>IFERROR(__xludf.DUMMYFUNCTION("""COMPUTED_VALUE"""),-14180.0)</f>
        <v>-14180</v>
      </c>
      <c r="G16" t="str">
        <f>IFERROR(__xludf.DUMMYFUNCTION("""COMPUTED_VALUE"""),"Démocrate")</f>
        <v>Démocrate</v>
      </c>
      <c r="H16" t="str">
        <f>IFERROR(__xludf.DUMMYFUNCTION("""COMPUTED_VALUE"""),"[o]")</f>
        <v>[o]</v>
      </c>
    </row>
    <row r="17">
      <c r="A17">
        <f>IFERROR(__xludf.DUMMYFUNCTION("""COMPUTED_VALUE"""),16.0)</f>
        <v>16</v>
      </c>
      <c r="B17" t="str">
        <f>IFERROR(__xludf.DUMMYFUNCTION("""COMPUTED_VALUE"""),"*Abraham Lincoln*
(1809-1865)
IL")</f>
        <v>*Abraham Lincoln*
(1809-1865)
IL</v>
      </c>
      <c r="D17" s="13">
        <f>IFERROR(__xludf.DUMMYFUNCTION("""COMPUTED_VALUE"""),-14180.0)</f>
        <v>-14180</v>
      </c>
      <c r="E17" s="13">
        <f>IFERROR(__xludf.DUMMYFUNCTION("""COMPUTED_VALUE"""),-12677.0)</f>
        <v>-12677</v>
      </c>
      <c r="G17" t="str">
        <f>IFERROR(__xludf.DUMMYFUNCTION("""COMPUTED_VALUE"""),"Républicain
------------------------------
Union (en)")</f>
        <v>Républicain
------------------------------
Union (en)</v>
      </c>
      <c r="H17" t="str">
        <f>IFERROR(__xludf.DUMMYFUNCTION("""COMPUTED_VALUE"""),"[p]")</f>
        <v>[p]</v>
      </c>
    </row>
    <row r="18">
      <c r="A18">
        <f>IFERROR(__xludf.DUMMYFUNCTION("""COMPUTED_VALUE"""),17.0)</f>
        <v>17</v>
      </c>
      <c r="B18" t="str">
        <f>IFERROR(__xludf.DUMMYFUNCTION("""COMPUTED_VALUE"""),"*Andrew Johnson*
(1808-1875)
TN")</f>
        <v>*Andrew Johnson*
(1808-1875)
TN</v>
      </c>
      <c r="D18" s="13">
        <f>IFERROR(__xludf.DUMMYFUNCTION("""COMPUTED_VALUE"""),-12677.0)</f>
        <v>-12677</v>
      </c>
      <c r="E18" s="13">
        <f>IFERROR(__xludf.DUMMYFUNCTION("""COMPUTED_VALUE"""),-11258.0)</f>
        <v>-11258</v>
      </c>
      <c r="G18" t="str">
        <f>IFERROR(__xludf.DUMMYFUNCTION("""COMPUTED_VALUE"""),"Union (en)
------------------------------
Démocrate")</f>
        <v>Union (en)
------------------------------
Démocrate</v>
      </c>
      <c r="H18" t="str">
        <f>IFERROR(__xludf.DUMMYFUNCTION("""COMPUTED_VALUE"""),"[q]")</f>
        <v>[q]</v>
      </c>
    </row>
    <row r="19">
      <c r="A19">
        <f>IFERROR(__xludf.DUMMYFUNCTION("""COMPUTED_VALUE"""),18.0)</f>
        <v>18</v>
      </c>
      <c r="B19" t="str">
        <f>IFERROR(__xludf.DUMMYFUNCTION("""COMPUTED_VALUE"""),"*Ulysses S. Grant*
(1822-1885)
IL")</f>
        <v>*Ulysses S. Grant*
(1822-1885)
IL</v>
      </c>
      <c r="D19" s="13">
        <f>IFERROR(__xludf.DUMMYFUNCTION("""COMPUTED_VALUE"""),-11258.0)</f>
        <v>-11258</v>
      </c>
      <c r="E19" s="13">
        <f>IFERROR(__xludf.DUMMYFUNCTION("""COMPUTED_VALUE"""),-8336.0)</f>
        <v>-8336</v>
      </c>
      <c r="G19" t="str">
        <f>IFERROR(__xludf.DUMMYFUNCTION("""COMPUTED_VALUE"""),"Républicain")</f>
        <v>Républicain</v>
      </c>
      <c r="H19" t="str">
        <f>IFERROR(__xludf.DUMMYFUNCTION("""COMPUTED_VALUE"""),"[r]")</f>
        <v>[r]</v>
      </c>
    </row>
    <row r="20">
      <c r="A20">
        <f>IFERROR(__xludf.DUMMYFUNCTION("""COMPUTED_VALUE"""),19.0)</f>
        <v>19</v>
      </c>
      <c r="B20" t="str">
        <f>IFERROR(__xludf.DUMMYFUNCTION("""COMPUTED_VALUE"""),"*Rutherford B. Hayes*
(1822-1893)
OH")</f>
        <v>*Rutherford B. Hayes*
(1822-1893)
OH</v>
      </c>
      <c r="D20" s="13">
        <f>IFERROR(__xludf.DUMMYFUNCTION("""COMPUTED_VALUE"""),-8336.0)</f>
        <v>-8336</v>
      </c>
      <c r="E20" s="13">
        <f>IFERROR(__xludf.DUMMYFUNCTION("""COMPUTED_VALUE"""),-6875.0)</f>
        <v>-6875</v>
      </c>
      <c r="G20" t="str">
        <f>IFERROR(__xludf.DUMMYFUNCTION("""COMPUTED_VALUE"""),"Républicain")</f>
        <v>Républicain</v>
      </c>
      <c r="H20" t="str">
        <f>IFERROR(__xludf.DUMMYFUNCTION("""COMPUTED_VALUE"""),"[s]")</f>
        <v>[s]</v>
      </c>
    </row>
    <row r="21">
      <c r="A21">
        <f>IFERROR(__xludf.DUMMYFUNCTION("""COMPUTED_VALUE"""),20.0)</f>
        <v>20</v>
      </c>
      <c r="B21" t="str">
        <f>IFERROR(__xludf.DUMMYFUNCTION("""COMPUTED_VALUE"""),"*James A. Garfield*
(1831-1881)
OH")</f>
        <v>*James A. Garfield*
(1831-1881)
OH</v>
      </c>
      <c r="D21" s="13">
        <f>IFERROR(__xludf.DUMMYFUNCTION("""COMPUTED_VALUE"""),-6875.0)</f>
        <v>-6875</v>
      </c>
      <c r="E21" s="13">
        <f>IFERROR(__xludf.DUMMYFUNCTION("""COMPUTED_VALUE"""),-6676.0)</f>
        <v>-6676</v>
      </c>
      <c r="G21" t="str">
        <f>IFERROR(__xludf.DUMMYFUNCTION("""COMPUTED_VALUE"""),"Républicain")</f>
        <v>Républicain</v>
      </c>
      <c r="H21" t="str">
        <f>IFERROR(__xludf.DUMMYFUNCTION("""COMPUTED_VALUE"""),"[t]")</f>
        <v>[t]</v>
      </c>
    </row>
    <row r="22">
      <c r="A22">
        <f>IFERROR(__xludf.DUMMYFUNCTION("""COMPUTED_VALUE"""),21.0)</f>
        <v>21</v>
      </c>
      <c r="B22" t="str">
        <f>IFERROR(__xludf.DUMMYFUNCTION("""COMPUTED_VALUE"""),"*Chester A. Arthur*
(1829-1886)
NY")</f>
        <v>*Chester A. Arthur*
(1829-1886)
NY</v>
      </c>
      <c r="D22" s="13">
        <f>IFERROR(__xludf.DUMMYFUNCTION("""COMPUTED_VALUE"""),-6676.0)</f>
        <v>-6676</v>
      </c>
      <c r="E22" s="13">
        <f>IFERROR(__xludf.DUMMYFUNCTION("""COMPUTED_VALUE"""),-5414.0)</f>
        <v>-5414</v>
      </c>
      <c r="G22" t="str">
        <f>IFERROR(__xludf.DUMMYFUNCTION("""COMPUTED_VALUE"""),"Républicain")</f>
        <v>Républicain</v>
      </c>
      <c r="H22" t="str">
        <f>IFERROR(__xludf.DUMMYFUNCTION("""COMPUTED_VALUE"""),"[u]")</f>
        <v>[u]</v>
      </c>
    </row>
    <row r="23">
      <c r="A23">
        <f>IFERROR(__xludf.DUMMYFUNCTION("""COMPUTED_VALUE"""),22.0)</f>
        <v>22</v>
      </c>
      <c r="B23" t="str">
        <f>IFERROR(__xludf.DUMMYFUNCTION("""COMPUTED_VALUE"""),"*Grover Cleveland*
(1837-1908)
NY
*1re fois*")</f>
        <v>*Grover Cleveland*
(1837-1908)
NY
*1re fois*</v>
      </c>
      <c r="D23" s="13">
        <f>IFERROR(__xludf.DUMMYFUNCTION("""COMPUTED_VALUE"""),-5414.0)</f>
        <v>-5414</v>
      </c>
      <c r="E23" s="13">
        <f>IFERROR(__xludf.DUMMYFUNCTION("""COMPUTED_VALUE"""),-3953.0)</f>
        <v>-3953</v>
      </c>
      <c r="G23" t="str">
        <f>IFERROR(__xludf.DUMMYFUNCTION("""COMPUTED_VALUE"""),"Démocrate")</f>
        <v>Démocrate</v>
      </c>
      <c r="H23" t="str">
        <f>IFERROR(__xludf.DUMMYFUNCTION("""COMPUTED_VALUE"""),"[v]")</f>
        <v>[v]</v>
      </c>
    </row>
    <row r="24">
      <c r="A24">
        <f>IFERROR(__xludf.DUMMYFUNCTION("""COMPUTED_VALUE"""),23.0)</f>
        <v>23</v>
      </c>
      <c r="B24" t="str">
        <f>IFERROR(__xludf.DUMMYFUNCTION("""COMPUTED_VALUE"""),"*Benjamin Harrison*
(1833-1901)
IN")</f>
        <v>*Benjamin Harrison*
(1833-1901)
IN</v>
      </c>
      <c r="D24" s="13">
        <f>IFERROR(__xludf.DUMMYFUNCTION("""COMPUTED_VALUE"""),-3953.0)</f>
        <v>-3953</v>
      </c>
      <c r="E24" s="13">
        <f>IFERROR(__xludf.DUMMYFUNCTION("""COMPUTED_VALUE"""),-2492.0)</f>
        <v>-2492</v>
      </c>
      <c r="G24" t="str">
        <f>IFERROR(__xludf.DUMMYFUNCTION("""COMPUTED_VALUE"""),"Républicain")</f>
        <v>Républicain</v>
      </c>
      <c r="H24" t="str">
        <f>IFERROR(__xludf.DUMMYFUNCTION("""COMPUTED_VALUE"""),"[w]")</f>
        <v>[w]</v>
      </c>
    </row>
    <row r="25">
      <c r="A25">
        <f>IFERROR(__xludf.DUMMYFUNCTION("""COMPUTED_VALUE"""),24.0)</f>
        <v>24</v>
      </c>
      <c r="B25" t="str">
        <f>IFERROR(__xludf.DUMMYFUNCTION("""COMPUTED_VALUE"""),"*Grover Cleveland*
(1837-1908)
NY
*2de fois*")</f>
        <v>*Grover Cleveland*
(1837-1908)
NY
*2de fois*</v>
      </c>
      <c r="D25" s="13">
        <f>IFERROR(__xludf.DUMMYFUNCTION("""COMPUTED_VALUE"""),-2492.0)</f>
        <v>-2492</v>
      </c>
      <c r="E25" s="13">
        <f>IFERROR(__xludf.DUMMYFUNCTION("""COMPUTED_VALUE"""),-1031.0)</f>
        <v>-1031</v>
      </c>
      <c r="G25" t="str">
        <f>IFERROR(__xludf.DUMMYFUNCTION("""COMPUTED_VALUE"""),"Démocrate")</f>
        <v>Démocrate</v>
      </c>
      <c r="H25" t="str">
        <f>IFERROR(__xludf.DUMMYFUNCTION("""COMPUTED_VALUE"""),"[x]")</f>
        <v>[x]</v>
      </c>
    </row>
    <row r="26">
      <c r="A26">
        <f>IFERROR(__xludf.DUMMYFUNCTION("""COMPUTED_VALUE"""),25.0)</f>
        <v>25</v>
      </c>
      <c r="B26" t="str">
        <f>IFERROR(__xludf.DUMMYFUNCTION("""COMPUTED_VALUE"""),"*William McKinley*
(1843-1901)
OH")</f>
        <v>*William McKinley*
(1843-1901)
OH</v>
      </c>
      <c r="D26" s="13">
        <f>IFERROR(__xludf.DUMMYFUNCTION("""COMPUTED_VALUE"""),-1031.0)</f>
        <v>-1031</v>
      </c>
      <c r="E26" s="13">
        <f>IFERROR(__xludf.DUMMYFUNCTION("""COMPUTED_VALUE"""),623.0)</f>
        <v>623</v>
      </c>
      <c r="G26" t="str">
        <f>IFERROR(__xludf.DUMMYFUNCTION("""COMPUTED_VALUE"""),"Républicain")</f>
        <v>Républicain</v>
      </c>
      <c r="H26" t="str">
        <f>IFERROR(__xludf.DUMMYFUNCTION("""COMPUTED_VALUE"""),"[y]")</f>
        <v>[y]</v>
      </c>
    </row>
    <row r="27">
      <c r="A27">
        <f>IFERROR(__xludf.DUMMYFUNCTION("""COMPUTED_VALUE"""),26.0)</f>
        <v>26</v>
      </c>
      <c r="B27" t="str">
        <f>IFERROR(__xludf.DUMMYFUNCTION("""COMPUTED_VALUE"""),"*Theodore Roosevelt*
(1858-1919)
NY")</f>
        <v>*Theodore Roosevelt*
(1858-1919)
NY</v>
      </c>
      <c r="D27" s="13">
        <f>IFERROR(__xludf.DUMMYFUNCTION("""COMPUTED_VALUE"""),623.0)</f>
        <v>623</v>
      </c>
      <c r="E27" s="13">
        <f>IFERROR(__xludf.DUMMYFUNCTION("""COMPUTED_VALUE"""),3351.0)</f>
        <v>3351</v>
      </c>
      <c r="G27" t="str">
        <f>IFERROR(__xludf.DUMMYFUNCTION("""COMPUTED_VALUE"""),"Républicain")</f>
        <v>Républicain</v>
      </c>
      <c r="H27" t="str">
        <f>IFERROR(__xludf.DUMMYFUNCTION("""COMPUTED_VALUE"""),"[z]")</f>
        <v>[z]</v>
      </c>
    </row>
    <row r="28">
      <c r="A28">
        <f>IFERROR(__xludf.DUMMYFUNCTION("""COMPUTED_VALUE"""),27.0)</f>
        <v>27</v>
      </c>
      <c r="B28" t="str">
        <f>IFERROR(__xludf.DUMMYFUNCTION("""COMPUTED_VALUE"""),"*William H. Taft*
(1857-1930)
OH")</f>
        <v>*William H. Taft*
(1857-1930)
OH</v>
      </c>
      <c r="D28" s="13">
        <f>IFERROR(__xludf.DUMMYFUNCTION("""COMPUTED_VALUE"""),3351.0)</f>
        <v>3351</v>
      </c>
      <c r="E28" s="13">
        <f>IFERROR(__xludf.DUMMYFUNCTION("""COMPUTED_VALUE"""),4812.0)</f>
        <v>4812</v>
      </c>
      <c r="G28" t="str">
        <f>IFERROR(__xludf.DUMMYFUNCTION("""COMPUTED_VALUE"""),"Républicain")</f>
        <v>Républicain</v>
      </c>
      <c r="H28" t="str">
        <f>IFERROR(__xludf.DUMMYFUNCTION("""COMPUTED_VALUE"""),"[aa]")</f>
        <v>[aa]</v>
      </c>
    </row>
    <row r="29">
      <c r="A29">
        <f>IFERROR(__xludf.DUMMYFUNCTION("""COMPUTED_VALUE"""),28.0)</f>
        <v>28</v>
      </c>
      <c r="B29" t="str">
        <f>IFERROR(__xludf.DUMMYFUNCTION("""COMPUTED_VALUE"""),"*Woodrow Wilson*
(1856-1924)
NJ")</f>
        <v>*Woodrow Wilson*
(1856-1924)
NJ</v>
      </c>
      <c r="D29" s="13">
        <f>IFERROR(__xludf.DUMMYFUNCTION("""COMPUTED_VALUE"""),4812.0)</f>
        <v>4812</v>
      </c>
      <c r="E29" s="13">
        <f>IFERROR(__xludf.DUMMYFUNCTION("""COMPUTED_VALUE"""),7734.0)</f>
        <v>7734</v>
      </c>
      <c r="G29" t="str">
        <f>IFERROR(__xludf.DUMMYFUNCTION("""COMPUTED_VALUE"""),"Démocrate")</f>
        <v>Démocrate</v>
      </c>
      <c r="H29" t="str">
        <f>IFERROR(__xludf.DUMMYFUNCTION("""COMPUTED_VALUE"""),"[ab]")</f>
        <v>[ab]</v>
      </c>
    </row>
    <row r="30">
      <c r="A30">
        <f>IFERROR(__xludf.DUMMYFUNCTION("""COMPUTED_VALUE"""),29.0)</f>
        <v>29</v>
      </c>
      <c r="B30" t="str">
        <f>IFERROR(__xludf.DUMMYFUNCTION("""COMPUTED_VALUE"""),"*Warren G. Harding*
(1865-1923)
OH")</f>
        <v>*Warren G. Harding*
(1865-1923)
OH</v>
      </c>
      <c r="D30" s="13">
        <f>IFERROR(__xludf.DUMMYFUNCTION("""COMPUTED_VALUE"""),7734.0)</f>
        <v>7734</v>
      </c>
      <c r="E30" s="13">
        <f>IFERROR(__xludf.DUMMYFUNCTION("""COMPUTED_VALUE"""),8615.0)</f>
        <v>8615</v>
      </c>
      <c r="G30" t="str">
        <f>IFERROR(__xludf.DUMMYFUNCTION("""COMPUTED_VALUE"""),"Républicain")</f>
        <v>Républicain</v>
      </c>
      <c r="H30" t="str">
        <f>IFERROR(__xludf.DUMMYFUNCTION("""COMPUTED_VALUE"""),"[ac]")</f>
        <v>[ac]</v>
      </c>
    </row>
    <row r="31">
      <c r="A31">
        <f>IFERROR(__xludf.DUMMYFUNCTION("""COMPUTED_VALUE"""),30.0)</f>
        <v>30</v>
      </c>
      <c r="B31" t="str">
        <f>IFERROR(__xludf.DUMMYFUNCTION("""COMPUTED_VALUE"""),"*Calvin Coolidge*
(1872-1933)
MA")</f>
        <v>*Calvin Coolidge*
(1872-1933)
MA</v>
      </c>
      <c r="D31" s="13">
        <f>IFERROR(__xludf.DUMMYFUNCTION("""COMPUTED_VALUE"""),8615.0)</f>
        <v>8615</v>
      </c>
      <c r="E31" s="13">
        <f>IFERROR(__xludf.DUMMYFUNCTION("""COMPUTED_VALUE"""),10656.0)</f>
        <v>10656</v>
      </c>
      <c r="G31" t="str">
        <f>IFERROR(__xludf.DUMMYFUNCTION("""COMPUTED_VALUE"""),"Républicain")</f>
        <v>Républicain</v>
      </c>
      <c r="H31" t="str">
        <f>IFERROR(__xludf.DUMMYFUNCTION("""COMPUTED_VALUE"""),"[ad]")</f>
        <v>[ad]</v>
      </c>
    </row>
    <row r="32">
      <c r="A32">
        <f>IFERROR(__xludf.DUMMYFUNCTION("""COMPUTED_VALUE"""),31.0)</f>
        <v>31</v>
      </c>
      <c r="B32" t="str">
        <f>IFERROR(__xludf.DUMMYFUNCTION("""COMPUTED_VALUE"""),"*Herbert Hoover*
(1874-1964)
CA")</f>
        <v>*Herbert Hoover*
(1874-1964)
CA</v>
      </c>
      <c r="D32" s="13">
        <f>IFERROR(__xludf.DUMMYFUNCTION("""COMPUTED_VALUE"""),10656.0)</f>
        <v>10656</v>
      </c>
      <c r="E32" s="13">
        <f>IFERROR(__xludf.DUMMYFUNCTION("""COMPUTED_VALUE"""),12117.0)</f>
        <v>12117</v>
      </c>
      <c r="G32" t="str">
        <f>IFERROR(__xludf.DUMMYFUNCTION("""COMPUTED_VALUE"""),"Républicain")</f>
        <v>Républicain</v>
      </c>
      <c r="H32" t="str">
        <f>IFERROR(__xludf.DUMMYFUNCTION("""COMPUTED_VALUE"""),"[ae]")</f>
        <v>[ae]</v>
      </c>
    </row>
    <row r="33">
      <c r="A33">
        <f>IFERROR(__xludf.DUMMYFUNCTION("""COMPUTED_VALUE"""),32.0)</f>
        <v>32</v>
      </c>
      <c r="B33" t="str">
        <f>IFERROR(__xludf.DUMMYFUNCTION("""COMPUTED_VALUE"""),"*Franklin Delano Roosevelt*
(1882-1945)
NY")</f>
        <v>*Franklin Delano Roosevelt*
(1882-1945)
NY</v>
      </c>
      <c r="D33" s="13">
        <f>IFERROR(__xludf.DUMMYFUNCTION("""COMPUTED_VALUE"""),12117.0)</f>
        <v>12117</v>
      </c>
      <c r="E33" s="13">
        <f>IFERROR(__xludf.DUMMYFUNCTION("""COMPUTED_VALUE"""),16539.0)</f>
        <v>16539</v>
      </c>
      <c r="G33" t="str">
        <f>IFERROR(__xludf.DUMMYFUNCTION("""COMPUTED_VALUE"""),"Démocrate")</f>
        <v>Démocrate</v>
      </c>
      <c r="H33" t="str">
        <f>IFERROR(__xludf.DUMMYFUNCTION("""COMPUTED_VALUE"""),"[af]")</f>
        <v>[af]</v>
      </c>
    </row>
    <row r="34">
      <c r="A34">
        <f>IFERROR(__xludf.DUMMYFUNCTION("""COMPUTED_VALUE"""),33.0)</f>
        <v>33</v>
      </c>
      <c r="B34" t="str">
        <f>IFERROR(__xludf.DUMMYFUNCTION("""COMPUTED_VALUE"""),"*Harry S. Truman*
(1884-1972)
MO")</f>
        <v>*Harry S. Truman*
(1884-1972)
MO</v>
      </c>
      <c r="D34" s="13">
        <f>IFERROR(__xludf.DUMMYFUNCTION("""COMPUTED_VALUE"""),16539.0)</f>
        <v>16539</v>
      </c>
      <c r="E34" s="13">
        <f>IFERROR(__xludf.DUMMYFUNCTION("""COMPUTED_VALUE"""),19379.0)</f>
        <v>19379</v>
      </c>
      <c r="G34" t="str">
        <f>IFERROR(__xludf.DUMMYFUNCTION("""COMPUTED_VALUE"""),"Démocrate")</f>
        <v>Démocrate</v>
      </c>
      <c r="H34" t="str">
        <f>IFERROR(__xludf.DUMMYFUNCTION("""COMPUTED_VALUE"""),"[ag]")</f>
        <v>[ag]</v>
      </c>
    </row>
    <row r="35">
      <c r="A35">
        <f>IFERROR(__xludf.DUMMYFUNCTION("""COMPUTED_VALUE"""),34.0)</f>
        <v>34</v>
      </c>
      <c r="B35" t="str">
        <f>IFERROR(__xludf.DUMMYFUNCTION("""COMPUTED_VALUE"""),"*Dwight D. Eisenhower*
(1890-1969)
KS")</f>
        <v>*Dwight D. Eisenhower*
(1890-1969)
KS</v>
      </c>
      <c r="D35" s="13">
        <f>IFERROR(__xludf.DUMMYFUNCTION("""COMPUTED_VALUE"""),19379.0)</f>
        <v>19379</v>
      </c>
      <c r="E35" s="13">
        <f>IFERROR(__xludf.DUMMYFUNCTION("""COMPUTED_VALUE"""),22301.0)</f>
        <v>22301</v>
      </c>
      <c r="G35" t="str">
        <f>IFERROR(__xludf.DUMMYFUNCTION("""COMPUTED_VALUE"""),"Républicain")</f>
        <v>Républicain</v>
      </c>
      <c r="H35" t="str">
        <f>IFERROR(__xludf.DUMMYFUNCTION("""COMPUTED_VALUE"""),"[ah]")</f>
        <v>[ah]</v>
      </c>
    </row>
    <row r="36">
      <c r="A36">
        <f>IFERROR(__xludf.DUMMYFUNCTION("""COMPUTED_VALUE"""),35.0)</f>
        <v>35</v>
      </c>
      <c r="B36" t="str">
        <f>IFERROR(__xludf.DUMMYFUNCTION("""COMPUTED_VALUE"""),"*John Fitzgerald Kennedy*
(1917-1963)
MA")</f>
        <v>*John Fitzgerald Kennedy*
(1917-1963)
MA</v>
      </c>
      <c r="D36" s="13">
        <f>IFERROR(__xludf.DUMMYFUNCTION("""COMPUTED_VALUE"""),22301.0)</f>
        <v>22301</v>
      </c>
      <c r="E36" s="13">
        <f>IFERROR(__xludf.DUMMYFUNCTION("""COMPUTED_VALUE"""),23337.0)</f>
        <v>23337</v>
      </c>
      <c r="G36" t="str">
        <f>IFERROR(__xludf.DUMMYFUNCTION("""COMPUTED_VALUE"""),"Démocrate")</f>
        <v>Démocrate</v>
      </c>
      <c r="H36" t="str">
        <f>IFERROR(__xludf.DUMMYFUNCTION("""COMPUTED_VALUE"""),"[ai]")</f>
        <v>[ai]</v>
      </c>
    </row>
    <row r="37">
      <c r="A37">
        <f>IFERROR(__xludf.DUMMYFUNCTION("""COMPUTED_VALUE"""),36.0)</f>
        <v>36</v>
      </c>
      <c r="B37" t="str">
        <f>IFERROR(__xludf.DUMMYFUNCTION("""COMPUTED_VALUE"""),"*Lyndon B. Johnson*
(1908-1973)
TX")</f>
        <v>*Lyndon B. Johnson*
(1908-1973)
TX</v>
      </c>
      <c r="D37" s="13">
        <f>IFERROR(__xludf.DUMMYFUNCTION("""COMPUTED_VALUE"""),23337.0)</f>
        <v>23337</v>
      </c>
      <c r="E37" s="13">
        <f>IFERROR(__xludf.DUMMYFUNCTION("""COMPUTED_VALUE"""),25223.0)</f>
        <v>25223</v>
      </c>
      <c r="G37" t="str">
        <f>IFERROR(__xludf.DUMMYFUNCTION("""COMPUTED_VALUE"""),"Démocrate")</f>
        <v>Démocrate</v>
      </c>
      <c r="H37" t="str">
        <f>IFERROR(__xludf.DUMMYFUNCTION("""COMPUTED_VALUE"""),"[aj]")</f>
        <v>[aj]</v>
      </c>
    </row>
    <row r="38">
      <c r="A38">
        <f>IFERROR(__xludf.DUMMYFUNCTION("""COMPUTED_VALUE"""),37.0)</f>
        <v>37</v>
      </c>
      <c r="B38" t="str">
        <f>IFERROR(__xludf.DUMMYFUNCTION("""COMPUTED_VALUE"""),"*Richard Nixon*
(1913-1994)
CA")</f>
        <v>*Richard Nixon*
(1913-1994)
CA</v>
      </c>
      <c r="D38" s="13">
        <f>IFERROR(__xludf.DUMMYFUNCTION("""COMPUTED_VALUE"""),25223.0)</f>
        <v>25223</v>
      </c>
      <c r="E38" s="13">
        <f>IFERROR(__xludf.DUMMYFUNCTION("""COMPUTED_VALUE"""),27250.0)</f>
        <v>27250</v>
      </c>
      <c r="G38" t="str">
        <f>IFERROR(__xludf.DUMMYFUNCTION("""COMPUTED_VALUE"""),"Républicain")</f>
        <v>Républicain</v>
      </c>
      <c r="H38" t="str">
        <f>IFERROR(__xludf.DUMMYFUNCTION("""COMPUTED_VALUE"""),"[ak]")</f>
        <v>[ak]</v>
      </c>
    </row>
    <row r="39">
      <c r="A39">
        <f>IFERROR(__xludf.DUMMYFUNCTION("""COMPUTED_VALUE"""),38.0)</f>
        <v>38</v>
      </c>
      <c r="B39" t="str">
        <f>IFERROR(__xludf.DUMMYFUNCTION("""COMPUTED_VALUE"""),"*Gerald Ford*
(1913-2006)
MI")</f>
        <v>*Gerald Ford*
(1913-2006)
MI</v>
      </c>
      <c r="D39" s="13">
        <f>IFERROR(__xludf.DUMMYFUNCTION("""COMPUTED_VALUE"""),27250.0)</f>
        <v>27250</v>
      </c>
      <c r="E39" s="13">
        <f>IFERROR(__xludf.DUMMYFUNCTION("""COMPUTED_VALUE"""),28145.0)</f>
        <v>28145</v>
      </c>
      <c r="G39" t="str">
        <f>IFERROR(__xludf.DUMMYFUNCTION("""COMPUTED_VALUE"""),"Républicain")</f>
        <v>Républicain</v>
      </c>
      <c r="H39" t="str">
        <f>IFERROR(__xludf.DUMMYFUNCTION("""COMPUTED_VALUE"""),"[al]")</f>
        <v>[al]</v>
      </c>
    </row>
    <row r="40">
      <c r="A40">
        <f>IFERROR(__xludf.DUMMYFUNCTION("""COMPUTED_VALUE"""),39.0)</f>
        <v>39</v>
      </c>
      <c r="B40" t="str">
        <f>IFERROR(__xludf.DUMMYFUNCTION("""COMPUTED_VALUE"""),"*Jimmy Carter*
(1924-2024)
GA")</f>
        <v>*Jimmy Carter*
(1924-2024)
GA</v>
      </c>
      <c r="D40" s="13">
        <f>IFERROR(__xludf.DUMMYFUNCTION("""COMPUTED_VALUE"""),28145.0)</f>
        <v>28145</v>
      </c>
      <c r="E40" s="13">
        <f>IFERROR(__xludf.DUMMYFUNCTION("""COMPUTED_VALUE"""),29606.0)</f>
        <v>29606</v>
      </c>
      <c r="G40" t="str">
        <f>IFERROR(__xludf.DUMMYFUNCTION("""COMPUTED_VALUE"""),"Démocrate")</f>
        <v>Démocrate</v>
      </c>
      <c r="H40" t="str">
        <f>IFERROR(__xludf.DUMMYFUNCTION("""COMPUTED_VALUE"""),"[am]")</f>
        <v>[am]</v>
      </c>
    </row>
    <row r="41">
      <c r="A41">
        <f>IFERROR(__xludf.DUMMYFUNCTION("""COMPUTED_VALUE"""),40.0)</f>
        <v>40</v>
      </c>
      <c r="B41" t="str">
        <f>IFERROR(__xludf.DUMMYFUNCTION("""COMPUTED_VALUE"""),"*Ronald Reagan*
(1911-2004)
CA")</f>
        <v>*Ronald Reagan*
(1911-2004)
CA</v>
      </c>
      <c r="D41" s="13">
        <f>IFERROR(__xludf.DUMMYFUNCTION("""COMPUTED_VALUE"""),29606.0)</f>
        <v>29606</v>
      </c>
      <c r="E41" s="13">
        <f>IFERROR(__xludf.DUMMYFUNCTION("""COMPUTED_VALUE"""),32528.0)</f>
        <v>32528</v>
      </c>
      <c r="G41" t="str">
        <f>IFERROR(__xludf.DUMMYFUNCTION("""COMPUTED_VALUE"""),"Républicain")</f>
        <v>Républicain</v>
      </c>
      <c r="H41" t="str">
        <f>IFERROR(__xludf.DUMMYFUNCTION("""COMPUTED_VALUE"""),"[an]")</f>
        <v>[an]</v>
      </c>
    </row>
    <row r="42">
      <c r="A42">
        <f>IFERROR(__xludf.DUMMYFUNCTION("""COMPUTED_VALUE"""),41.0)</f>
        <v>41</v>
      </c>
      <c r="B42" t="str">
        <f>IFERROR(__xludf.DUMMYFUNCTION("""COMPUTED_VALUE"""),"*George H. W. Bush*
(1924-2018)
TX")</f>
        <v>*George H. W. Bush*
(1924-2018)
TX</v>
      </c>
      <c r="D42" s="13">
        <f>IFERROR(__xludf.DUMMYFUNCTION("""COMPUTED_VALUE"""),32528.0)</f>
        <v>32528</v>
      </c>
      <c r="E42" s="13">
        <f>IFERROR(__xludf.DUMMYFUNCTION("""COMPUTED_VALUE"""),33989.0)</f>
        <v>33989</v>
      </c>
      <c r="G42" t="str">
        <f>IFERROR(__xludf.DUMMYFUNCTION("""COMPUTED_VALUE"""),"Républicain")</f>
        <v>Républicain</v>
      </c>
      <c r="H42" t="str">
        <f>IFERROR(__xludf.DUMMYFUNCTION("""COMPUTED_VALUE"""),"[ao]")</f>
        <v>[ao]</v>
      </c>
    </row>
    <row r="43">
      <c r="A43">
        <f>IFERROR(__xludf.DUMMYFUNCTION("""COMPUTED_VALUE"""),42.0)</f>
        <v>42</v>
      </c>
      <c r="B43" t="str">
        <f>IFERROR(__xludf.DUMMYFUNCTION("""COMPUTED_VALUE"""),"*Bill Clinton*
(né en 1946)
AR")</f>
        <v>*Bill Clinton*
(né en 1946)
AR</v>
      </c>
      <c r="D43" s="13">
        <f>IFERROR(__xludf.DUMMYFUNCTION("""COMPUTED_VALUE"""),33989.0)</f>
        <v>33989</v>
      </c>
      <c r="E43" s="13">
        <f>IFERROR(__xludf.DUMMYFUNCTION("""COMPUTED_VALUE"""),36911.0)</f>
        <v>36911</v>
      </c>
      <c r="G43" t="str">
        <f>IFERROR(__xludf.DUMMYFUNCTION("""COMPUTED_VALUE"""),"Démocrate")</f>
        <v>Démocrate</v>
      </c>
      <c r="H43" t="str">
        <f>IFERROR(__xludf.DUMMYFUNCTION("""COMPUTED_VALUE"""),"[ap]")</f>
        <v>[ap]</v>
      </c>
    </row>
    <row r="44">
      <c r="A44">
        <f>IFERROR(__xludf.DUMMYFUNCTION("""COMPUTED_VALUE"""),43.0)</f>
        <v>43</v>
      </c>
      <c r="B44" t="str">
        <f>IFERROR(__xludf.DUMMYFUNCTION("""COMPUTED_VALUE"""),"*George W. Bush*
(né en 1946)
TX")</f>
        <v>*George W. Bush*
(né en 1946)
TX</v>
      </c>
      <c r="D44" s="13">
        <f>IFERROR(__xludf.DUMMYFUNCTION("""COMPUTED_VALUE"""),36911.0)</f>
        <v>36911</v>
      </c>
      <c r="E44" s="13">
        <f>IFERROR(__xludf.DUMMYFUNCTION("""COMPUTED_VALUE"""),39833.0)</f>
        <v>39833</v>
      </c>
      <c r="G44" t="str">
        <f>IFERROR(__xludf.DUMMYFUNCTION("""COMPUTED_VALUE"""),"Républicain")</f>
        <v>Républicain</v>
      </c>
      <c r="H44" t="str">
        <f>IFERROR(__xludf.DUMMYFUNCTION("""COMPUTED_VALUE"""),"[aq]")</f>
        <v>[aq]</v>
      </c>
    </row>
    <row r="45">
      <c r="A45">
        <f>IFERROR(__xludf.DUMMYFUNCTION("""COMPUTED_VALUE"""),44.0)</f>
        <v>44</v>
      </c>
      <c r="B45" t="str">
        <f>IFERROR(__xludf.DUMMYFUNCTION("""COMPUTED_VALUE"""),"*Barack Obama*
(né en 1961)
IL")</f>
        <v>*Barack Obama*
(né en 1961)
IL</v>
      </c>
      <c r="D45" s="13">
        <f>IFERROR(__xludf.DUMMYFUNCTION("""COMPUTED_VALUE"""),39833.0)</f>
        <v>39833</v>
      </c>
      <c r="E45" s="13">
        <f>IFERROR(__xludf.DUMMYFUNCTION("""COMPUTED_VALUE"""),42755.0)</f>
        <v>42755</v>
      </c>
      <c r="G45" t="str">
        <f>IFERROR(__xludf.DUMMYFUNCTION("""COMPUTED_VALUE"""),"Démocrate")</f>
        <v>Démocrate</v>
      </c>
      <c r="H45" t="str">
        <f>IFERROR(__xludf.DUMMYFUNCTION("""COMPUTED_VALUE"""),"[ar]")</f>
        <v>[ar]</v>
      </c>
    </row>
    <row r="46">
      <c r="A46">
        <f>IFERROR(__xludf.DUMMYFUNCTION("""COMPUTED_VALUE"""),45.0)</f>
        <v>45</v>
      </c>
      <c r="B46" t="str">
        <f>IFERROR(__xludf.DUMMYFUNCTION("""COMPUTED_VALUE"""),"*Donald Trump*
(né en 1946)
NY
*1re fois*")</f>
        <v>*Donald Trump*
(né en 1946)
NY
*1re fois*</v>
      </c>
      <c r="D46" s="13">
        <f>IFERROR(__xludf.DUMMYFUNCTION("""COMPUTED_VALUE"""),42755.0)</f>
        <v>42755</v>
      </c>
      <c r="E46" s="13">
        <f>IFERROR(__xludf.DUMMYFUNCTION("""COMPUTED_VALUE"""),44216.0)</f>
        <v>44216</v>
      </c>
      <c r="G46" t="str">
        <f>IFERROR(__xludf.DUMMYFUNCTION("""COMPUTED_VALUE"""),"Républicain")</f>
        <v>Républicain</v>
      </c>
      <c r="H46" t="str">
        <f>IFERROR(__xludf.DUMMYFUNCTION("""COMPUTED_VALUE"""),"[as]")</f>
        <v>[as]</v>
      </c>
    </row>
    <row r="47">
      <c r="A47">
        <f>IFERROR(__xludf.DUMMYFUNCTION("""COMPUTED_VALUE"""),46.0)</f>
        <v>46</v>
      </c>
      <c r="B47" t="str">
        <f>IFERROR(__xludf.DUMMYFUNCTION("""COMPUTED_VALUE"""),"*Joe Biden*
(né en 1942)
PA")</f>
        <v>*Joe Biden*
(né en 1942)
PA</v>
      </c>
      <c r="D47" s="13">
        <f>IFERROR(__xludf.DUMMYFUNCTION("""COMPUTED_VALUE"""),44216.0)</f>
        <v>44216</v>
      </c>
      <c r="E47" s="13">
        <f>IFERROR(__xludf.DUMMYFUNCTION("""COMPUTED_VALUE"""),45677.0)</f>
        <v>45677</v>
      </c>
      <c r="G47" t="str">
        <f>IFERROR(__xludf.DUMMYFUNCTION("""COMPUTED_VALUE"""),"Démocrate")</f>
        <v>Démocrate</v>
      </c>
      <c r="H47" t="str">
        <f>IFERROR(__xludf.DUMMYFUNCTION("""COMPUTED_VALUE"""),"[at]")</f>
        <v>[at]</v>
      </c>
    </row>
    <row r="48">
      <c r="A48">
        <f>IFERROR(__xludf.DUMMYFUNCTION("""COMPUTED_VALUE"""),47.0)</f>
        <v>47</v>
      </c>
      <c r="B48" t="str">
        <f>IFERROR(__xludf.DUMMYFUNCTION("""COMPUTED_VALUE"""),"*Donald Trump*
(né en 1946)
NY
*2de fois*")</f>
        <v>*Donald Trump*
(né en 1946)
NY
*2de fois*</v>
      </c>
      <c r="D48" s="13">
        <f>IFERROR(__xludf.DUMMYFUNCTION("""COMPUTED_VALUE"""),45677.0)</f>
        <v>45677</v>
      </c>
      <c r="E48" t="str">
        <f>IFERROR(__xludf.DUMMYFUNCTION("""COMPUTED_VALUE"""),"*En cours*")</f>
        <v>*En cours*</v>
      </c>
      <c r="G48" t="str">
        <f>IFERROR(__xludf.DUMMYFUNCTION("""COMPUTED_VALUE"""),"Républicain")</f>
        <v>Républicain</v>
      </c>
      <c r="H48" t="str">
        <f>IFERROR(__xludf.DUMMYFUNCTION("""COMPUTED_VALUE"""),"[au]")</f>
        <v>[au]</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IFERROR(__xludf.DUMMYFUNCTION("IMPORTHTML(""https://fr.wikipedia.org/wiki/Liste_des_pr%C3%A9sidents_des_%C3%89tats-Unis"",""table"")"),"N°")</f>
        <v>N°</v>
      </c>
      <c r="B1" t="str">
        <f>IFERROR(__xludf.DUMMYFUNCTION("""COMPUTED_VALUE"""),"Titulaire
(Naissance-Mort)
État d'origine")</f>
        <v>Titulaire
(Naissance-Mort)
État d'origine</v>
      </c>
      <c r="D1" t="str">
        <f>IFERROR(__xludf.DUMMYFUNCTION("""COMPUTED_VALUE"""),"Début de mandat")</f>
        <v>Début de mandat</v>
      </c>
      <c r="E1" t="str">
        <f>IFERROR(__xludf.DUMMYFUNCTION("""COMPUTED_VALUE"""),"Fin de mandat")</f>
        <v>Fin de mandat</v>
      </c>
      <c r="F1" t="str">
        <f>IFERROR(__xludf.DUMMYFUNCTION("""COMPUTED_VALUE"""),"Parti")</f>
        <v>Parti</v>
      </c>
      <c r="H1" t="str">
        <f>IFERROR(__xludf.DUMMYFUNCTION("""COMPUTED_VALUE"""),"Notes")</f>
        <v>Notes</v>
      </c>
    </row>
    <row r="2">
      <c r="A2">
        <f>IFERROR(__xludf.DUMMYFUNCTION("""COMPUTED_VALUE"""),1.0)</f>
        <v>1</v>
      </c>
      <c r="B2" t="str">
        <f>IFERROR(__xludf.DUMMYFUNCTION("""COMPUTED_VALUE"""),"*George Washington*
(1732-1799)
VA")</f>
        <v>*George Washington*
(1732-1799)
VA</v>
      </c>
      <c r="D2" s="13">
        <f>IFERROR(__xludf.DUMMYFUNCTION("""COMPUTED_VALUE"""),-40420.0)</f>
        <v>-40420</v>
      </c>
      <c r="E2" s="13">
        <f>IFERROR(__xludf.DUMMYFUNCTION("""COMPUTED_VALUE"""),-37555.0)</f>
        <v>-37555</v>
      </c>
      <c r="G2" t="str">
        <f>IFERROR(__xludf.DUMMYFUNCTION("""COMPUTED_VALUE"""),"Indépendant")</f>
        <v>Indépendant</v>
      </c>
      <c r="H2" t="str">
        <f>IFERROR(__xludf.DUMMYFUNCTION("""COMPUTED_VALUE"""),"[a]")</f>
        <v>[a]</v>
      </c>
    </row>
    <row r="3">
      <c r="A3">
        <f>IFERROR(__xludf.DUMMYFUNCTION("""COMPUTED_VALUE"""),2.0)</f>
        <v>2</v>
      </c>
      <c r="B3" t="str">
        <f>IFERROR(__xludf.DUMMYFUNCTION("""COMPUTED_VALUE"""),"*John Adams*
(1735-1826)
MA")</f>
        <v>*John Adams*
(1735-1826)
MA</v>
      </c>
      <c r="D3" s="13">
        <f>IFERROR(__xludf.DUMMYFUNCTION("""COMPUTED_VALUE"""),-37555.0)</f>
        <v>-37555</v>
      </c>
      <c r="E3" s="13">
        <f>IFERROR(__xludf.DUMMYFUNCTION("""COMPUTED_VALUE"""),-36095.0)</f>
        <v>-36095</v>
      </c>
      <c r="G3" t="str">
        <f>IFERROR(__xludf.DUMMYFUNCTION("""COMPUTED_VALUE"""),"Fédéraliste")</f>
        <v>Fédéraliste</v>
      </c>
      <c r="H3" t="str">
        <f>IFERROR(__xludf.DUMMYFUNCTION("""COMPUTED_VALUE"""),"[b]")</f>
        <v>[b]</v>
      </c>
    </row>
    <row r="4">
      <c r="A4">
        <f>IFERROR(__xludf.DUMMYFUNCTION("""COMPUTED_VALUE"""),3.0)</f>
        <v>3</v>
      </c>
      <c r="B4" t="str">
        <f>IFERROR(__xludf.DUMMYFUNCTION("""COMPUTED_VALUE"""),"*Thomas Jefferson*
(1743-1826)
VA")</f>
        <v>*Thomas Jefferson*
(1743-1826)
VA</v>
      </c>
      <c r="D4" s="13">
        <f>IFERROR(__xludf.DUMMYFUNCTION("""COMPUTED_VALUE"""),-36095.0)</f>
        <v>-36095</v>
      </c>
      <c r="E4" s="13">
        <f>IFERROR(__xludf.DUMMYFUNCTION("""COMPUTED_VALUE"""),-33173.0)</f>
        <v>-33173</v>
      </c>
      <c r="G4" t="str">
        <f>IFERROR(__xludf.DUMMYFUNCTION("""COMPUTED_VALUE"""),"Républicain-
démocrate")</f>
        <v>Républicain-
démocrate</v>
      </c>
      <c r="H4" t="str">
        <f>IFERROR(__xludf.DUMMYFUNCTION("""COMPUTED_VALUE"""),"[c]")</f>
        <v>[c]</v>
      </c>
    </row>
    <row r="5">
      <c r="A5">
        <f>IFERROR(__xludf.DUMMYFUNCTION("""COMPUTED_VALUE"""),4.0)</f>
        <v>4</v>
      </c>
      <c r="B5" t="str">
        <f>IFERROR(__xludf.DUMMYFUNCTION("""COMPUTED_VALUE"""),"*James Madison*
(1751-1836)
VA")</f>
        <v>*James Madison*
(1751-1836)
VA</v>
      </c>
      <c r="D5" s="13">
        <f>IFERROR(__xludf.DUMMYFUNCTION("""COMPUTED_VALUE"""),-33173.0)</f>
        <v>-33173</v>
      </c>
      <c r="E5" s="13">
        <f>IFERROR(__xludf.DUMMYFUNCTION("""COMPUTED_VALUE"""),-30251.0)</f>
        <v>-30251</v>
      </c>
      <c r="G5" t="str">
        <f>IFERROR(__xludf.DUMMYFUNCTION("""COMPUTED_VALUE"""),"Républicain-
démocrate")</f>
        <v>Républicain-
démocrate</v>
      </c>
      <c r="H5" t="str">
        <f>IFERROR(__xludf.DUMMYFUNCTION("""COMPUTED_VALUE"""),"[d]")</f>
        <v>[d]</v>
      </c>
    </row>
    <row r="6">
      <c r="A6">
        <f>IFERROR(__xludf.DUMMYFUNCTION("""COMPUTED_VALUE"""),5.0)</f>
        <v>5</v>
      </c>
      <c r="B6" t="str">
        <f>IFERROR(__xludf.DUMMYFUNCTION("""COMPUTED_VALUE"""),"*James Monroe*
(1758-1831)
VA")</f>
        <v>*James Monroe*
(1758-1831)
VA</v>
      </c>
      <c r="D6" s="13">
        <f>IFERROR(__xludf.DUMMYFUNCTION("""COMPUTED_VALUE"""),-30251.0)</f>
        <v>-30251</v>
      </c>
      <c r="E6" s="13">
        <f>IFERROR(__xludf.DUMMYFUNCTION("""COMPUTED_VALUE"""),-27329.0)</f>
        <v>-27329</v>
      </c>
      <c r="G6" t="str">
        <f>IFERROR(__xludf.DUMMYFUNCTION("""COMPUTED_VALUE"""),"Républicain-
démocrate")</f>
        <v>Républicain-
démocrate</v>
      </c>
      <c r="H6" t="str">
        <f>IFERROR(__xludf.DUMMYFUNCTION("""COMPUTED_VALUE"""),"[e]")</f>
        <v>[e]</v>
      </c>
    </row>
    <row r="7">
      <c r="A7">
        <f>IFERROR(__xludf.DUMMYFUNCTION("""COMPUTED_VALUE"""),6.0)</f>
        <v>6</v>
      </c>
      <c r="B7" t="str">
        <f>IFERROR(__xludf.DUMMYFUNCTION("""COMPUTED_VALUE"""),"*John Quincy Adams*
(1767-1848)
MA")</f>
        <v>*John Quincy Adams*
(1767-1848)
MA</v>
      </c>
      <c r="D7" s="13">
        <f>IFERROR(__xludf.DUMMYFUNCTION("""COMPUTED_VALUE"""),-27329.0)</f>
        <v>-27329</v>
      </c>
      <c r="E7" s="13">
        <f>IFERROR(__xludf.DUMMYFUNCTION("""COMPUTED_VALUE"""),-25868.0)</f>
        <v>-25868</v>
      </c>
      <c r="G7" t="str">
        <f>IFERROR(__xludf.DUMMYFUNCTION("""COMPUTED_VALUE"""),"Républicain-
démocrate
------------------------------
National-républicain")</f>
        <v>Républicain-
démocrate
------------------------------
National-républicain</v>
      </c>
      <c r="H7" t="str">
        <f>IFERROR(__xludf.DUMMYFUNCTION("""COMPUTED_VALUE"""),"[f]")</f>
        <v>[f]</v>
      </c>
    </row>
    <row r="8">
      <c r="A8">
        <f>IFERROR(__xludf.DUMMYFUNCTION("""COMPUTED_VALUE"""),7.0)</f>
        <v>7</v>
      </c>
      <c r="B8" t="str">
        <f>IFERROR(__xludf.DUMMYFUNCTION("""COMPUTED_VALUE"""),"*Andrew Jackson*
(1767-1845)
TN")</f>
        <v>*Andrew Jackson*
(1767-1845)
TN</v>
      </c>
      <c r="D8" s="13">
        <f>IFERROR(__xludf.DUMMYFUNCTION("""COMPUTED_VALUE"""),-25868.0)</f>
        <v>-25868</v>
      </c>
      <c r="E8" s="13">
        <f>IFERROR(__xludf.DUMMYFUNCTION("""COMPUTED_VALUE"""),-22946.0)</f>
        <v>-22946</v>
      </c>
      <c r="G8" t="str">
        <f>IFERROR(__xludf.DUMMYFUNCTION("""COMPUTED_VALUE"""),"Démocrate")</f>
        <v>Démocrate</v>
      </c>
      <c r="H8" t="str">
        <f>IFERROR(__xludf.DUMMYFUNCTION("""COMPUTED_VALUE"""),"[g]")</f>
        <v>[g]</v>
      </c>
    </row>
    <row r="9">
      <c r="A9">
        <f>IFERROR(__xludf.DUMMYFUNCTION("""COMPUTED_VALUE"""),8.0)</f>
        <v>8</v>
      </c>
      <c r="B9" t="str">
        <f>IFERROR(__xludf.DUMMYFUNCTION("""COMPUTED_VALUE"""),"*Martin Van Buren*
(1782-1862)
NY")</f>
        <v>*Martin Van Buren*
(1782-1862)
NY</v>
      </c>
      <c r="D9" s="13">
        <f>IFERROR(__xludf.DUMMYFUNCTION("""COMPUTED_VALUE"""),-22946.0)</f>
        <v>-22946</v>
      </c>
      <c r="E9" s="13">
        <f>IFERROR(__xludf.DUMMYFUNCTION("""COMPUTED_VALUE"""),-21485.0)</f>
        <v>-21485</v>
      </c>
      <c r="G9" t="str">
        <f>IFERROR(__xludf.DUMMYFUNCTION("""COMPUTED_VALUE"""),"Démocrate")</f>
        <v>Démocrate</v>
      </c>
      <c r="H9" t="str">
        <f>IFERROR(__xludf.DUMMYFUNCTION("""COMPUTED_VALUE"""),"[h]")</f>
        <v>[h]</v>
      </c>
    </row>
    <row r="10">
      <c r="A10">
        <f>IFERROR(__xludf.DUMMYFUNCTION("""COMPUTED_VALUE"""),9.0)</f>
        <v>9</v>
      </c>
      <c r="B10" t="str">
        <f>IFERROR(__xludf.DUMMYFUNCTION("""COMPUTED_VALUE"""),"*William Henry Harrison*
(1773-1841)
OH")</f>
        <v>*William Henry Harrison*
(1773-1841)
OH</v>
      </c>
      <c r="D10" s="13">
        <f>IFERROR(__xludf.DUMMYFUNCTION("""COMPUTED_VALUE"""),-21485.0)</f>
        <v>-21485</v>
      </c>
      <c r="E10" s="13">
        <f>IFERROR(__xludf.DUMMYFUNCTION("""COMPUTED_VALUE"""),-21454.0)</f>
        <v>-21454</v>
      </c>
      <c r="G10" t="str">
        <f>IFERROR(__xludf.DUMMYFUNCTION("""COMPUTED_VALUE"""),"Whig")</f>
        <v>Whig</v>
      </c>
      <c r="H10" t="str">
        <f>IFERROR(__xludf.DUMMYFUNCTION("""COMPUTED_VALUE"""),"[i]")</f>
        <v>[i]</v>
      </c>
    </row>
    <row r="11">
      <c r="A11">
        <f>IFERROR(__xludf.DUMMYFUNCTION("""COMPUTED_VALUE"""),10.0)</f>
        <v>10</v>
      </c>
      <c r="B11" t="str">
        <f>IFERROR(__xludf.DUMMYFUNCTION("""COMPUTED_VALUE"""),"*John Tyler*
(1790-1862)
VA")</f>
        <v>*John Tyler*
(1790-1862)
VA</v>
      </c>
      <c r="D11" s="13">
        <f>IFERROR(__xludf.DUMMYFUNCTION("""COMPUTED_VALUE"""),-21454.0)</f>
        <v>-21454</v>
      </c>
      <c r="E11" s="13">
        <f>IFERROR(__xludf.DUMMYFUNCTION("""COMPUTED_VALUE"""),-20024.0)</f>
        <v>-20024</v>
      </c>
      <c r="G11" t="str">
        <f>IFERROR(__xludf.DUMMYFUNCTION("""COMPUTED_VALUE"""),"Indépendant")</f>
        <v>Indépendant</v>
      </c>
      <c r="H11" t="str">
        <f>IFERROR(__xludf.DUMMYFUNCTION("""COMPUTED_VALUE"""),"[j]")</f>
        <v>[j]</v>
      </c>
    </row>
    <row r="12">
      <c r="A12">
        <f>IFERROR(__xludf.DUMMYFUNCTION("""COMPUTED_VALUE"""),11.0)</f>
        <v>11</v>
      </c>
      <c r="B12" t="str">
        <f>IFERROR(__xludf.DUMMYFUNCTION("""COMPUTED_VALUE"""),"*James K. Polk*
(1795-1849)
TN")</f>
        <v>*James K. Polk*
(1795-1849)
TN</v>
      </c>
      <c r="D12" s="13">
        <f>IFERROR(__xludf.DUMMYFUNCTION("""COMPUTED_VALUE"""),-20024.0)</f>
        <v>-20024</v>
      </c>
      <c r="E12" s="13">
        <f>IFERROR(__xludf.DUMMYFUNCTION("""COMPUTED_VALUE"""),-18563.0)</f>
        <v>-18563</v>
      </c>
      <c r="G12" t="str">
        <f>IFERROR(__xludf.DUMMYFUNCTION("""COMPUTED_VALUE"""),"Démocrate")</f>
        <v>Démocrate</v>
      </c>
      <c r="H12" t="str">
        <f>IFERROR(__xludf.DUMMYFUNCTION("""COMPUTED_VALUE"""),"[k]")</f>
        <v>[k]</v>
      </c>
    </row>
    <row r="13">
      <c r="A13">
        <f>IFERROR(__xludf.DUMMYFUNCTION("""COMPUTED_VALUE"""),12.0)</f>
        <v>12</v>
      </c>
      <c r="B13" t="str">
        <f>IFERROR(__xludf.DUMMYFUNCTION("""COMPUTED_VALUE"""),"*Zachary Taylor*
(1784-1850)
KY")</f>
        <v>*Zachary Taylor*
(1784-1850)
KY</v>
      </c>
      <c r="D13" s="13">
        <f>IFERROR(__xludf.DUMMYFUNCTION("""COMPUTED_VALUE"""),-18563.0)</f>
        <v>-18563</v>
      </c>
      <c r="E13" s="13">
        <f>IFERROR(__xludf.DUMMYFUNCTION("""COMPUTED_VALUE"""),-18071.0)</f>
        <v>-18071</v>
      </c>
      <c r="G13" t="str">
        <f>IFERROR(__xludf.DUMMYFUNCTION("""COMPUTED_VALUE"""),"Whig")</f>
        <v>Whig</v>
      </c>
      <c r="H13" t="str">
        <f>IFERROR(__xludf.DUMMYFUNCTION("""COMPUTED_VALUE"""),"[l]")</f>
        <v>[l]</v>
      </c>
    </row>
    <row r="14">
      <c r="A14">
        <f>IFERROR(__xludf.DUMMYFUNCTION("""COMPUTED_VALUE"""),13.0)</f>
        <v>13</v>
      </c>
      <c r="B14" t="str">
        <f>IFERROR(__xludf.DUMMYFUNCTION("""COMPUTED_VALUE"""),"*Millard Fillmore*
(1800-1874)
NY")</f>
        <v>*Millard Fillmore*
(1800-1874)
NY</v>
      </c>
      <c r="D14" s="13">
        <f>IFERROR(__xludf.DUMMYFUNCTION("""COMPUTED_VALUE"""),-18071.0)</f>
        <v>-18071</v>
      </c>
      <c r="E14" s="13">
        <f>IFERROR(__xludf.DUMMYFUNCTION("""COMPUTED_VALUE"""),-17102.0)</f>
        <v>-17102</v>
      </c>
      <c r="G14" t="str">
        <f>IFERROR(__xludf.DUMMYFUNCTION("""COMPUTED_VALUE"""),"Whig")</f>
        <v>Whig</v>
      </c>
      <c r="H14" t="str">
        <f>IFERROR(__xludf.DUMMYFUNCTION("""COMPUTED_VALUE"""),"[m]")</f>
        <v>[m]</v>
      </c>
    </row>
    <row r="15">
      <c r="A15">
        <f>IFERROR(__xludf.DUMMYFUNCTION("""COMPUTED_VALUE"""),14.0)</f>
        <v>14</v>
      </c>
      <c r="B15" t="str">
        <f>IFERROR(__xludf.DUMMYFUNCTION("""COMPUTED_VALUE"""),"*Franklin Pierce*
(1804-1869)
NH")</f>
        <v>*Franklin Pierce*
(1804-1869)
NH</v>
      </c>
      <c r="D15" s="13">
        <f>IFERROR(__xludf.DUMMYFUNCTION("""COMPUTED_VALUE"""),-17102.0)</f>
        <v>-17102</v>
      </c>
      <c r="E15" s="13">
        <f>IFERROR(__xludf.DUMMYFUNCTION("""COMPUTED_VALUE"""),-15641.0)</f>
        <v>-15641</v>
      </c>
      <c r="G15" t="str">
        <f>IFERROR(__xludf.DUMMYFUNCTION("""COMPUTED_VALUE"""),"Démocrate")</f>
        <v>Démocrate</v>
      </c>
      <c r="H15" t="str">
        <f>IFERROR(__xludf.DUMMYFUNCTION("""COMPUTED_VALUE"""),"[n]")</f>
        <v>[n]</v>
      </c>
    </row>
    <row r="16">
      <c r="A16">
        <f>IFERROR(__xludf.DUMMYFUNCTION("""COMPUTED_VALUE"""),15.0)</f>
        <v>15</v>
      </c>
      <c r="B16" t="str">
        <f>IFERROR(__xludf.DUMMYFUNCTION("""COMPUTED_VALUE"""),"*James Buchanan*
(1791-1868)
PA")</f>
        <v>*James Buchanan*
(1791-1868)
PA</v>
      </c>
      <c r="D16" s="13">
        <f>IFERROR(__xludf.DUMMYFUNCTION("""COMPUTED_VALUE"""),-15641.0)</f>
        <v>-15641</v>
      </c>
      <c r="E16" s="13">
        <f>IFERROR(__xludf.DUMMYFUNCTION("""COMPUTED_VALUE"""),-14180.0)</f>
        <v>-14180</v>
      </c>
      <c r="G16" t="str">
        <f>IFERROR(__xludf.DUMMYFUNCTION("""COMPUTED_VALUE"""),"Démocrate")</f>
        <v>Démocrate</v>
      </c>
      <c r="H16" t="str">
        <f>IFERROR(__xludf.DUMMYFUNCTION("""COMPUTED_VALUE"""),"[o]")</f>
        <v>[o]</v>
      </c>
    </row>
    <row r="17">
      <c r="A17">
        <f>IFERROR(__xludf.DUMMYFUNCTION("""COMPUTED_VALUE"""),16.0)</f>
        <v>16</v>
      </c>
      <c r="B17" t="str">
        <f>IFERROR(__xludf.DUMMYFUNCTION("""COMPUTED_VALUE"""),"*Abraham Lincoln*
(1809-1865)
IL")</f>
        <v>*Abraham Lincoln*
(1809-1865)
IL</v>
      </c>
      <c r="D17" s="13">
        <f>IFERROR(__xludf.DUMMYFUNCTION("""COMPUTED_VALUE"""),-14180.0)</f>
        <v>-14180</v>
      </c>
      <c r="E17" s="13">
        <f>IFERROR(__xludf.DUMMYFUNCTION("""COMPUTED_VALUE"""),-12677.0)</f>
        <v>-12677</v>
      </c>
      <c r="G17" t="str">
        <f>IFERROR(__xludf.DUMMYFUNCTION("""COMPUTED_VALUE"""),"Républicain
------------------------------
Union (en)")</f>
        <v>Républicain
------------------------------
Union (en)</v>
      </c>
      <c r="H17" t="str">
        <f>IFERROR(__xludf.DUMMYFUNCTION("""COMPUTED_VALUE"""),"[p]")</f>
        <v>[p]</v>
      </c>
    </row>
    <row r="18">
      <c r="A18">
        <f>IFERROR(__xludf.DUMMYFUNCTION("""COMPUTED_VALUE"""),17.0)</f>
        <v>17</v>
      </c>
      <c r="B18" t="str">
        <f>IFERROR(__xludf.DUMMYFUNCTION("""COMPUTED_VALUE"""),"*Andrew Johnson*
(1808-1875)
TN")</f>
        <v>*Andrew Johnson*
(1808-1875)
TN</v>
      </c>
      <c r="D18" s="13">
        <f>IFERROR(__xludf.DUMMYFUNCTION("""COMPUTED_VALUE"""),-12677.0)</f>
        <v>-12677</v>
      </c>
      <c r="E18" s="13">
        <f>IFERROR(__xludf.DUMMYFUNCTION("""COMPUTED_VALUE"""),-11258.0)</f>
        <v>-11258</v>
      </c>
      <c r="G18" t="str">
        <f>IFERROR(__xludf.DUMMYFUNCTION("""COMPUTED_VALUE"""),"Union (en)
------------------------------
Démocrate")</f>
        <v>Union (en)
------------------------------
Démocrate</v>
      </c>
      <c r="H18" t="str">
        <f>IFERROR(__xludf.DUMMYFUNCTION("""COMPUTED_VALUE"""),"[q]")</f>
        <v>[q]</v>
      </c>
    </row>
    <row r="19">
      <c r="A19">
        <f>IFERROR(__xludf.DUMMYFUNCTION("""COMPUTED_VALUE"""),18.0)</f>
        <v>18</v>
      </c>
      <c r="B19" t="str">
        <f>IFERROR(__xludf.DUMMYFUNCTION("""COMPUTED_VALUE"""),"*Ulysses S. Grant*
(1822-1885)
IL")</f>
        <v>*Ulysses S. Grant*
(1822-1885)
IL</v>
      </c>
      <c r="D19" s="13">
        <f>IFERROR(__xludf.DUMMYFUNCTION("""COMPUTED_VALUE"""),-11258.0)</f>
        <v>-11258</v>
      </c>
      <c r="E19" s="13">
        <f>IFERROR(__xludf.DUMMYFUNCTION("""COMPUTED_VALUE"""),-8336.0)</f>
        <v>-8336</v>
      </c>
      <c r="G19" t="str">
        <f>IFERROR(__xludf.DUMMYFUNCTION("""COMPUTED_VALUE"""),"Républicain")</f>
        <v>Républicain</v>
      </c>
      <c r="H19" t="str">
        <f>IFERROR(__xludf.DUMMYFUNCTION("""COMPUTED_VALUE"""),"[r]")</f>
        <v>[r]</v>
      </c>
    </row>
    <row r="20">
      <c r="A20">
        <f>IFERROR(__xludf.DUMMYFUNCTION("""COMPUTED_VALUE"""),19.0)</f>
        <v>19</v>
      </c>
      <c r="B20" t="str">
        <f>IFERROR(__xludf.DUMMYFUNCTION("""COMPUTED_VALUE"""),"*Rutherford B. Hayes*
(1822-1893)
OH")</f>
        <v>*Rutherford B. Hayes*
(1822-1893)
OH</v>
      </c>
      <c r="D20" s="13">
        <f>IFERROR(__xludf.DUMMYFUNCTION("""COMPUTED_VALUE"""),-8336.0)</f>
        <v>-8336</v>
      </c>
      <c r="E20" s="13">
        <f>IFERROR(__xludf.DUMMYFUNCTION("""COMPUTED_VALUE"""),-6875.0)</f>
        <v>-6875</v>
      </c>
      <c r="G20" t="str">
        <f>IFERROR(__xludf.DUMMYFUNCTION("""COMPUTED_VALUE"""),"Républicain")</f>
        <v>Républicain</v>
      </c>
      <c r="H20" t="str">
        <f>IFERROR(__xludf.DUMMYFUNCTION("""COMPUTED_VALUE"""),"[s]")</f>
        <v>[s]</v>
      </c>
    </row>
    <row r="21">
      <c r="A21">
        <f>IFERROR(__xludf.DUMMYFUNCTION("""COMPUTED_VALUE"""),20.0)</f>
        <v>20</v>
      </c>
      <c r="B21" t="str">
        <f>IFERROR(__xludf.DUMMYFUNCTION("""COMPUTED_VALUE"""),"*James A. Garfield*
(1831-1881)
OH")</f>
        <v>*James A. Garfield*
(1831-1881)
OH</v>
      </c>
      <c r="D21" s="13">
        <f>IFERROR(__xludf.DUMMYFUNCTION("""COMPUTED_VALUE"""),-6875.0)</f>
        <v>-6875</v>
      </c>
      <c r="E21" s="13">
        <f>IFERROR(__xludf.DUMMYFUNCTION("""COMPUTED_VALUE"""),-6676.0)</f>
        <v>-6676</v>
      </c>
      <c r="G21" t="str">
        <f>IFERROR(__xludf.DUMMYFUNCTION("""COMPUTED_VALUE"""),"Républicain")</f>
        <v>Républicain</v>
      </c>
      <c r="H21" t="str">
        <f>IFERROR(__xludf.DUMMYFUNCTION("""COMPUTED_VALUE"""),"[t]")</f>
        <v>[t]</v>
      </c>
    </row>
    <row r="22">
      <c r="A22">
        <f>IFERROR(__xludf.DUMMYFUNCTION("""COMPUTED_VALUE"""),21.0)</f>
        <v>21</v>
      </c>
      <c r="B22" t="str">
        <f>IFERROR(__xludf.DUMMYFUNCTION("""COMPUTED_VALUE"""),"*Chester A. Arthur*
(1829-1886)
NY")</f>
        <v>*Chester A. Arthur*
(1829-1886)
NY</v>
      </c>
      <c r="D22" s="13">
        <f>IFERROR(__xludf.DUMMYFUNCTION("""COMPUTED_VALUE"""),-6676.0)</f>
        <v>-6676</v>
      </c>
      <c r="E22" s="13">
        <f>IFERROR(__xludf.DUMMYFUNCTION("""COMPUTED_VALUE"""),-5414.0)</f>
        <v>-5414</v>
      </c>
      <c r="G22" t="str">
        <f>IFERROR(__xludf.DUMMYFUNCTION("""COMPUTED_VALUE"""),"Républicain")</f>
        <v>Républicain</v>
      </c>
      <c r="H22" t="str">
        <f>IFERROR(__xludf.DUMMYFUNCTION("""COMPUTED_VALUE"""),"[u]")</f>
        <v>[u]</v>
      </c>
    </row>
    <row r="23">
      <c r="A23">
        <f>IFERROR(__xludf.DUMMYFUNCTION("""COMPUTED_VALUE"""),22.0)</f>
        <v>22</v>
      </c>
      <c r="B23" t="str">
        <f>IFERROR(__xludf.DUMMYFUNCTION("""COMPUTED_VALUE"""),"*Grover Cleveland*
(1837-1908)
NY
*1re fois*")</f>
        <v>*Grover Cleveland*
(1837-1908)
NY
*1re fois*</v>
      </c>
      <c r="D23" s="13">
        <f>IFERROR(__xludf.DUMMYFUNCTION("""COMPUTED_VALUE"""),-5414.0)</f>
        <v>-5414</v>
      </c>
      <c r="E23" s="13">
        <f>IFERROR(__xludf.DUMMYFUNCTION("""COMPUTED_VALUE"""),-3953.0)</f>
        <v>-3953</v>
      </c>
      <c r="G23" t="str">
        <f>IFERROR(__xludf.DUMMYFUNCTION("""COMPUTED_VALUE"""),"Démocrate")</f>
        <v>Démocrate</v>
      </c>
      <c r="H23" t="str">
        <f>IFERROR(__xludf.DUMMYFUNCTION("""COMPUTED_VALUE"""),"[v]")</f>
        <v>[v]</v>
      </c>
    </row>
    <row r="24">
      <c r="A24">
        <f>IFERROR(__xludf.DUMMYFUNCTION("""COMPUTED_VALUE"""),23.0)</f>
        <v>23</v>
      </c>
      <c r="B24" t="str">
        <f>IFERROR(__xludf.DUMMYFUNCTION("""COMPUTED_VALUE"""),"*Benjamin Harrison*
(1833-1901)
IN")</f>
        <v>*Benjamin Harrison*
(1833-1901)
IN</v>
      </c>
      <c r="D24" s="13">
        <f>IFERROR(__xludf.DUMMYFUNCTION("""COMPUTED_VALUE"""),-3953.0)</f>
        <v>-3953</v>
      </c>
      <c r="E24" s="13">
        <f>IFERROR(__xludf.DUMMYFUNCTION("""COMPUTED_VALUE"""),-2492.0)</f>
        <v>-2492</v>
      </c>
      <c r="G24" t="str">
        <f>IFERROR(__xludf.DUMMYFUNCTION("""COMPUTED_VALUE"""),"Républicain")</f>
        <v>Républicain</v>
      </c>
      <c r="H24" t="str">
        <f>IFERROR(__xludf.DUMMYFUNCTION("""COMPUTED_VALUE"""),"[w]")</f>
        <v>[w]</v>
      </c>
    </row>
    <row r="25">
      <c r="A25">
        <f>IFERROR(__xludf.DUMMYFUNCTION("""COMPUTED_VALUE"""),24.0)</f>
        <v>24</v>
      </c>
      <c r="B25" t="str">
        <f>IFERROR(__xludf.DUMMYFUNCTION("""COMPUTED_VALUE"""),"*Grover Cleveland*
(1837-1908)
NY
*2de fois*")</f>
        <v>*Grover Cleveland*
(1837-1908)
NY
*2de fois*</v>
      </c>
      <c r="D25" s="13">
        <f>IFERROR(__xludf.DUMMYFUNCTION("""COMPUTED_VALUE"""),-2492.0)</f>
        <v>-2492</v>
      </c>
      <c r="E25" s="13">
        <f>IFERROR(__xludf.DUMMYFUNCTION("""COMPUTED_VALUE"""),-1031.0)</f>
        <v>-1031</v>
      </c>
      <c r="G25" t="str">
        <f>IFERROR(__xludf.DUMMYFUNCTION("""COMPUTED_VALUE"""),"Démocrate")</f>
        <v>Démocrate</v>
      </c>
      <c r="H25" t="str">
        <f>IFERROR(__xludf.DUMMYFUNCTION("""COMPUTED_VALUE"""),"[x]")</f>
        <v>[x]</v>
      </c>
    </row>
    <row r="26">
      <c r="A26">
        <f>IFERROR(__xludf.DUMMYFUNCTION("""COMPUTED_VALUE"""),25.0)</f>
        <v>25</v>
      </c>
      <c r="B26" t="str">
        <f>IFERROR(__xludf.DUMMYFUNCTION("""COMPUTED_VALUE"""),"*William McKinley*
(1843-1901)
OH")</f>
        <v>*William McKinley*
(1843-1901)
OH</v>
      </c>
      <c r="D26" s="13">
        <f>IFERROR(__xludf.DUMMYFUNCTION("""COMPUTED_VALUE"""),-1031.0)</f>
        <v>-1031</v>
      </c>
      <c r="E26" s="13">
        <f>IFERROR(__xludf.DUMMYFUNCTION("""COMPUTED_VALUE"""),623.0)</f>
        <v>623</v>
      </c>
      <c r="G26" t="str">
        <f>IFERROR(__xludf.DUMMYFUNCTION("""COMPUTED_VALUE"""),"Républicain")</f>
        <v>Républicain</v>
      </c>
      <c r="H26" t="str">
        <f>IFERROR(__xludf.DUMMYFUNCTION("""COMPUTED_VALUE"""),"[y]")</f>
        <v>[y]</v>
      </c>
    </row>
    <row r="27">
      <c r="A27">
        <f>IFERROR(__xludf.DUMMYFUNCTION("""COMPUTED_VALUE"""),26.0)</f>
        <v>26</v>
      </c>
      <c r="B27" t="str">
        <f>IFERROR(__xludf.DUMMYFUNCTION("""COMPUTED_VALUE"""),"*Theodore Roosevelt*
(1858-1919)
NY")</f>
        <v>*Theodore Roosevelt*
(1858-1919)
NY</v>
      </c>
      <c r="D27" s="13">
        <f>IFERROR(__xludf.DUMMYFUNCTION("""COMPUTED_VALUE"""),623.0)</f>
        <v>623</v>
      </c>
      <c r="E27" s="13">
        <f>IFERROR(__xludf.DUMMYFUNCTION("""COMPUTED_VALUE"""),3351.0)</f>
        <v>3351</v>
      </c>
      <c r="G27" t="str">
        <f>IFERROR(__xludf.DUMMYFUNCTION("""COMPUTED_VALUE"""),"Républicain")</f>
        <v>Républicain</v>
      </c>
      <c r="H27" t="str">
        <f>IFERROR(__xludf.DUMMYFUNCTION("""COMPUTED_VALUE"""),"[z]")</f>
        <v>[z]</v>
      </c>
    </row>
    <row r="28">
      <c r="A28">
        <f>IFERROR(__xludf.DUMMYFUNCTION("""COMPUTED_VALUE"""),27.0)</f>
        <v>27</v>
      </c>
      <c r="B28" t="str">
        <f>IFERROR(__xludf.DUMMYFUNCTION("""COMPUTED_VALUE"""),"*William H. Taft*
(1857-1930)
OH")</f>
        <v>*William H. Taft*
(1857-1930)
OH</v>
      </c>
      <c r="D28" s="13">
        <f>IFERROR(__xludf.DUMMYFUNCTION("""COMPUTED_VALUE"""),3351.0)</f>
        <v>3351</v>
      </c>
      <c r="E28" s="13">
        <f>IFERROR(__xludf.DUMMYFUNCTION("""COMPUTED_VALUE"""),4812.0)</f>
        <v>4812</v>
      </c>
      <c r="G28" t="str">
        <f>IFERROR(__xludf.DUMMYFUNCTION("""COMPUTED_VALUE"""),"Républicain")</f>
        <v>Républicain</v>
      </c>
      <c r="H28" t="str">
        <f>IFERROR(__xludf.DUMMYFUNCTION("""COMPUTED_VALUE"""),"[aa]")</f>
        <v>[aa]</v>
      </c>
    </row>
    <row r="29">
      <c r="A29">
        <f>IFERROR(__xludf.DUMMYFUNCTION("""COMPUTED_VALUE"""),28.0)</f>
        <v>28</v>
      </c>
      <c r="B29" t="str">
        <f>IFERROR(__xludf.DUMMYFUNCTION("""COMPUTED_VALUE"""),"*Woodrow Wilson*
(1856-1924)
NJ")</f>
        <v>*Woodrow Wilson*
(1856-1924)
NJ</v>
      </c>
      <c r="D29" s="13">
        <f>IFERROR(__xludf.DUMMYFUNCTION("""COMPUTED_VALUE"""),4812.0)</f>
        <v>4812</v>
      </c>
      <c r="E29" s="13">
        <f>IFERROR(__xludf.DUMMYFUNCTION("""COMPUTED_VALUE"""),7734.0)</f>
        <v>7734</v>
      </c>
      <c r="G29" t="str">
        <f>IFERROR(__xludf.DUMMYFUNCTION("""COMPUTED_VALUE"""),"Démocrate")</f>
        <v>Démocrate</v>
      </c>
      <c r="H29" t="str">
        <f>IFERROR(__xludf.DUMMYFUNCTION("""COMPUTED_VALUE"""),"[ab]")</f>
        <v>[ab]</v>
      </c>
    </row>
    <row r="30">
      <c r="A30">
        <f>IFERROR(__xludf.DUMMYFUNCTION("""COMPUTED_VALUE"""),29.0)</f>
        <v>29</v>
      </c>
      <c r="B30" t="str">
        <f>IFERROR(__xludf.DUMMYFUNCTION("""COMPUTED_VALUE"""),"*Warren G. Harding*
(1865-1923)
OH")</f>
        <v>*Warren G. Harding*
(1865-1923)
OH</v>
      </c>
      <c r="D30" s="13">
        <f>IFERROR(__xludf.DUMMYFUNCTION("""COMPUTED_VALUE"""),7734.0)</f>
        <v>7734</v>
      </c>
      <c r="E30" s="13">
        <f>IFERROR(__xludf.DUMMYFUNCTION("""COMPUTED_VALUE"""),8615.0)</f>
        <v>8615</v>
      </c>
      <c r="G30" t="str">
        <f>IFERROR(__xludf.DUMMYFUNCTION("""COMPUTED_VALUE"""),"Républicain")</f>
        <v>Républicain</v>
      </c>
      <c r="H30" t="str">
        <f>IFERROR(__xludf.DUMMYFUNCTION("""COMPUTED_VALUE"""),"[ac]")</f>
        <v>[ac]</v>
      </c>
    </row>
    <row r="31">
      <c r="A31">
        <f>IFERROR(__xludf.DUMMYFUNCTION("""COMPUTED_VALUE"""),30.0)</f>
        <v>30</v>
      </c>
      <c r="B31" t="str">
        <f>IFERROR(__xludf.DUMMYFUNCTION("""COMPUTED_VALUE"""),"*Calvin Coolidge*
(1872-1933)
MA")</f>
        <v>*Calvin Coolidge*
(1872-1933)
MA</v>
      </c>
      <c r="D31" s="13">
        <f>IFERROR(__xludf.DUMMYFUNCTION("""COMPUTED_VALUE"""),8615.0)</f>
        <v>8615</v>
      </c>
      <c r="E31" s="13">
        <f>IFERROR(__xludf.DUMMYFUNCTION("""COMPUTED_VALUE"""),10656.0)</f>
        <v>10656</v>
      </c>
      <c r="G31" t="str">
        <f>IFERROR(__xludf.DUMMYFUNCTION("""COMPUTED_VALUE"""),"Républicain")</f>
        <v>Républicain</v>
      </c>
      <c r="H31" t="str">
        <f>IFERROR(__xludf.DUMMYFUNCTION("""COMPUTED_VALUE"""),"[ad]")</f>
        <v>[ad]</v>
      </c>
    </row>
    <row r="32">
      <c r="A32">
        <f>IFERROR(__xludf.DUMMYFUNCTION("""COMPUTED_VALUE"""),31.0)</f>
        <v>31</v>
      </c>
      <c r="B32" t="str">
        <f>IFERROR(__xludf.DUMMYFUNCTION("""COMPUTED_VALUE"""),"*Herbert Hoover*
(1874-1964)
CA")</f>
        <v>*Herbert Hoover*
(1874-1964)
CA</v>
      </c>
      <c r="D32" s="13">
        <f>IFERROR(__xludf.DUMMYFUNCTION("""COMPUTED_VALUE"""),10656.0)</f>
        <v>10656</v>
      </c>
      <c r="E32" s="13">
        <f>IFERROR(__xludf.DUMMYFUNCTION("""COMPUTED_VALUE"""),12117.0)</f>
        <v>12117</v>
      </c>
      <c r="G32" t="str">
        <f>IFERROR(__xludf.DUMMYFUNCTION("""COMPUTED_VALUE"""),"Républicain")</f>
        <v>Républicain</v>
      </c>
      <c r="H32" t="str">
        <f>IFERROR(__xludf.DUMMYFUNCTION("""COMPUTED_VALUE"""),"[ae]")</f>
        <v>[ae]</v>
      </c>
    </row>
    <row r="33">
      <c r="A33">
        <f>IFERROR(__xludf.DUMMYFUNCTION("""COMPUTED_VALUE"""),32.0)</f>
        <v>32</v>
      </c>
      <c r="B33" t="str">
        <f>IFERROR(__xludf.DUMMYFUNCTION("""COMPUTED_VALUE"""),"*Franklin Delano Roosevelt*
(1882-1945)
NY")</f>
        <v>*Franklin Delano Roosevelt*
(1882-1945)
NY</v>
      </c>
      <c r="D33" s="13">
        <f>IFERROR(__xludf.DUMMYFUNCTION("""COMPUTED_VALUE"""),12117.0)</f>
        <v>12117</v>
      </c>
      <c r="E33" s="13">
        <f>IFERROR(__xludf.DUMMYFUNCTION("""COMPUTED_VALUE"""),16539.0)</f>
        <v>16539</v>
      </c>
      <c r="G33" t="str">
        <f>IFERROR(__xludf.DUMMYFUNCTION("""COMPUTED_VALUE"""),"Démocrate")</f>
        <v>Démocrate</v>
      </c>
      <c r="H33" t="str">
        <f>IFERROR(__xludf.DUMMYFUNCTION("""COMPUTED_VALUE"""),"[af]")</f>
        <v>[af]</v>
      </c>
    </row>
    <row r="34">
      <c r="A34">
        <f>IFERROR(__xludf.DUMMYFUNCTION("""COMPUTED_VALUE"""),33.0)</f>
        <v>33</v>
      </c>
      <c r="B34" t="str">
        <f>IFERROR(__xludf.DUMMYFUNCTION("""COMPUTED_VALUE"""),"*Harry S. Truman*
(1884-1972)
MO")</f>
        <v>*Harry S. Truman*
(1884-1972)
MO</v>
      </c>
      <c r="D34" s="13">
        <f>IFERROR(__xludf.DUMMYFUNCTION("""COMPUTED_VALUE"""),16539.0)</f>
        <v>16539</v>
      </c>
      <c r="E34" s="13">
        <f>IFERROR(__xludf.DUMMYFUNCTION("""COMPUTED_VALUE"""),19379.0)</f>
        <v>19379</v>
      </c>
      <c r="G34" t="str">
        <f>IFERROR(__xludf.DUMMYFUNCTION("""COMPUTED_VALUE"""),"Démocrate")</f>
        <v>Démocrate</v>
      </c>
      <c r="H34" t="str">
        <f>IFERROR(__xludf.DUMMYFUNCTION("""COMPUTED_VALUE"""),"[ag]")</f>
        <v>[ag]</v>
      </c>
    </row>
    <row r="35">
      <c r="A35">
        <f>IFERROR(__xludf.DUMMYFUNCTION("""COMPUTED_VALUE"""),34.0)</f>
        <v>34</v>
      </c>
      <c r="B35" t="str">
        <f>IFERROR(__xludf.DUMMYFUNCTION("""COMPUTED_VALUE"""),"*Dwight D. Eisenhower*
(1890-1969)
KS")</f>
        <v>*Dwight D. Eisenhower*
(1890-1969)
KS</v>
      </c>
      <c r="D35" s="13">
        <f>IFERROR(__xludf.DUMMYFUNCTION("""COMPUTED_VALUE"""),19379.0)</f>
        <v>19379</v>
      </c>
      <c r="E35" s="13">
        <f>IFERROR(__xludf.DUMMYFUNCTION("""COMPUTED_VALUE"""),22301.0)</f>
        <v>22301</v>
      </c>
      <c r="G35" t="str">
        <f>IFERROR(__xludf.DUMMYFUNCTION("""COMPUTED_VALUE"""),"Républicain")</f>
        <v>Républicain</v>
      </c>
      <c r="H35" t="str">
        <f>IFERROR(__xludf.DUMMYFUNCTION("""COMPUTED_VALUE"""),"[ah]")</f>
        <v>[ah]</v>
      </c>
    </row>
    <row r="36">
      <c r="A36">
        <f>IFERROR(__xludf.DUMMYFUNCTION("""COMPUTED_VALUE"""),35.0)</f>
        <v>35</v>
      </c>
      <c r="B36" t="str">
        <f>IFERROR(__xludf.DUMMYFUNCTION("""COMPUTED_VALUE"""),"*John Fitzgerald Kennedy*
(1917-1963)
MA")</f>
        <v>*John Fitzgerald Kennedy*
(1917-1963)
MA</v>
      </c>
      <c r="D36" s="13">
        <f>IFERROR(__xludf.DUMMYFUNCTION("""COMPUTED_VALUE"""),22301.0)</f>
        <v>22301</v>
      </c>
      <c r="E36" s="13">
        <f>IFERROR(__xludf.DUMMYFUNCTION("""COMPUTED_VALUE"""),23337.0)</f>
        <v>23337</v>
      </c>
      <c r="G36" t="str">
        <f>IFERROR(__xludf.DUMMYFUNCTION("""COMPUTED_VALUE"""),"Démocrate")</f>
        <v>Démocrate</v>
      </c>
      <c r="H36" t="str">
        <f>IFERROR(__xludf.DUMMYFUNCTION("""COMPUTED_VALUE"""),"[ai]")</f>
        <v>[ai]</v>
      </c>
    </row>
    <row r="37">
      <c r="A37">
        <f>IFERROR(__xludf.DUMMYFUNCTION("""COMPUTED_VALUE"""),36.0)</f>
        <v>36</v>
      </c>
      <c r="B37" t="str">
        <f>IFERROR(__xludf.DUMMYFUNCTION("""COMPUTED_VALUE"""),"*Lyndon B. Johnson*
(1908-1973)
TX")</f>
        <v>*Lyndon B. Johnson*
(1908-1973)
TX</v>
      </c>
      <c r="D37" s="13">
        <f>IFERROR(__xludf.DUMMYFUNCTION("""COMPUTED_VALUE"""),23337.0)</f>
        <v>23337</v>
      </c>
      <c r="E37" s="13">
        <f>IFERROR(__xludf.DUMMYFUNCTION("""COMPUTED_VALUE"""),25223.0)</f>
        <v>25223</v>
      </c>
      <c r="G37" t="str">
        <f>IFERROR(__xludf.DUMMYFUNCTION("""COMPUTED_VALUE"""),"Démocrate")</f>
        <v>Démocrate</v>
      </c>
      <c r="H37" t="str">
        <f>IFERROR(__xludf.DUMMYFUNCTION("""COMPUTED_VALUE"""),"[aj]")</f>
        <v>[aj]</v>
      </c>
    </row>
    <row r="38">
      <c r="A38">
        <f>IFERROR(__xludf.DUMMYFUNCTION("""COMPUTED_VALUE"""),37.0)</f>
        <v>37</v>
      </c>
      <c r="B38" t="str">
        <f>IFERROR(__xludf.DUMMYFUNCTION("""COMPUTED_VALUE"""),"*Richard Nixon*
(1913-1994)
CA")</f>
        <v>*Richard Nixon*
(1913-1994)
CA</v>
      </c>
      <c r="D38" s="13">
        <f>IFERROR(__xludf.DUMMYFUNCTION("""COMPUTED_VALUE"""),25223.0)</f>
        <v>25223</v>
      </c>
      <c r="E38" s="13">
        <f>IFERROR(__xludf.DUMMYFUNCTION("""COMPUTED_VALUE"""),27250.0)</f>
        <v>27250</v>
      </c>
      <c r="G38" t="str">
        <f>IFERROR(__xludf.DUMMYFUNCTION("""COMPUTED_VALUE"""),"Républicain")</f>
        <v>Républicain</v>
      </c>
      <c r="H38" t="str">
        <f>IFERROR(__xludf.DUMMYFUNCTION("""COMPUTED_VALUE"""),"[ak]")</f>
        <v>[ak]</v>
      </c>
    </row>
    <row r="39">
      <c r="A39">
        <f>IFERROR(__xludf.DUMMYFUNCTION("""COMPUTED_VALUE"""),38.0)</f>
        <v>38</v>
      </c>
      <c r="B39" t="str">
        <f>IFERROR(__xludf.DUMMYFUNCTION("""COMPUTED_VALUE"""),"*Gerald Ford*
(1913-2006)
MI")</f>
        <v>*Gerald Ford*
(1913-2006)
MI</v>
      </c>
      <c r="D39" s="13">
        <f>IFERROR(__xludf.DUMMYFUNCTION("""COMPUTED_VALUE"""),27250.0)</f>
        <v>27250</v>
      </c>
      <c r="E39" s="13">
        <f>IFERROR(__xludf.DUMMYFUNCTION("""COMPUTED_VALUE"""),28145.0)</f>
        <v>28145</v>
      </c>
      <c r="G39" t="str">
        <f>IFERROR(__xludf.DUMMYFUNCTION("""COMPUTED_VALUE"""),"Républicain")</f>
        <v>Républicain</v>
      </c>
      <c r="H39" t="str">
        <f>IFERROR(__xludf.DUMMYFUNCTION("""COMPUTED_VALUE"""),"[al]")</f>
        <v>[al]</v>
      </c>
    </row>
    <row r="40">
      <c r="A40">
        <f>IFERROR(__xludf.DUMMYFUNCTION("""COMPUTED_VALUE"""),39.0)</f>
        <v>39</v>
      </c>
      <c r="B40" t="str">
        <f>IFERROR(__xludf.DUMMYFUNCTION("""COMPUTED_VALUE"""),"*Jimmy Carter*
(1924-2024)
GA")</f>
        <v>*Jimmy Carter*
(1924-2024)
GA</v>
      </c>
      <c r="D40" s="13">
        <f>IFERROR(__xludf.DUMMYFUNCTION("""COMPUTED_VALUE"""),28145.0)</f>
        <v>28145</v>
      </c>
      <c r="E40" s="13">
        <f>IFERROR(__xludf.DUMMYFUNCTION("""COMPUTED_VALUE"""),29606.0)</f>
        <v>29606</v>
      </c>
      <c r="G40" t="str">
        <f>IFERROR(__xludf.DUMMYFUNCTION("""COMPUTED_VALUE"""),"Démocrate")</f>
        <v>Démocrate</v>
      </c>
      <c r="H40" t="str">
        <f>IFERROR(__xludf.DUMMYFUNCTION("""COMPUTED_VALUE"""),"[am]")</f>
        <v>[am]</v>
      </c>
    </row>
    <row r="41">
      <c r="A41">
        <f>IFERROR(__xludf.DUMMYFUNCTION("""COMPUTED_VALUE"""),40.0)</f>
        <v>40</v>
      </c>
      <c r="B41" t="str">
        <f>IFERROR(__xludf.DUMMYFUNCTION("""COMPUTED_VALUE"""),"*Ronald Reagan*
(1911-2004)
CA")</f>
        <v>*Ronald Reagan*
(1911-2004)
CA</v>
      </c>
      <c r="D41" s="13">
        <f>IFERROR(__xludf.DUMMYFUNCTION("""COMPUTED_VALUE"""),29606.0)</f>
        <v>29606</v>
      </c>
      <c r="E41" s="13">
        <f>IFERROR(__xludf.DUMMYFUNCTION("""COMPUTED_VALUE"""),32528.0)</f>
        <v>32528</v>
      </c>
      <c r="G41" t="str">
        <f>IFERROR(__xludf.DUMMYFUNCTION("""COMPUTED_VALUE"""),"Républicain")</f>
        <v>Républicain</v>
      </c>
      <c r="H41" t="str">
        <f>IFERROR(__xludf.DUMMYFUNCTION("""COMPUTED_VALUE"""),"[an]")</f>
        <v>[an]</v>
      </c>
    </row>
    <row r="42">
      <c r="A42">
        <f>IFERROR(__xludf.DUMMYFUNCTION("""COMPUTED_VALUE"""),41.0)</f>
        <v>41</v>
      </c>
      <c r="B42" t="str">
        <f>IFERROR(__xludf.DUMMYFUNCTION("""COMPUTED_VALUE"""),"*George H. W. Bush*
(1924-2018)
TX")</f>
        <v>*George H. W. Bush*
(1924-2018)
TX</v>
      </c>
      <c r="D42" s="13">
        <f>IFERROR(__xludf.DUMMYFUNCTION("""COMPUTED_VALUE"""),32528.0)</f>
        <v>32528</v>
      </c>
      <c r="E42" s="13">
        <f>IFERROR(__xludf.DUMMYFUNCTION("""COMPUTED_VALUE"""),33989.0)</f>
        <v>33989</v>
      </c>
      <c r="G42" t="str">
        <f>IFERROR(__xludf.DUMMYFUNCTION("""COMPUTED_VALUE"""),"Républicain")</f>
        <v>Républicain</v>
      </c>
      <c r="H42" t="str">
        <f>IFERROR(__xludf.DUMMYFUNCTION("""COMPUTED_VALUE"""),"[ao]")</f>
        <v>[ao]</v>
      </c>
    </row>
    <row r="43">
      <c r="A43">
        <f>IFERROR(__xludf.DUMMYFUNCTION("""COMPUTED_VALUE"""),42.0)</f>
        <v>42</v>
      </c>
      <c r="B43" t="str">
        <f>IFERROR(__xludf.DUMMYFUNCTION("""COMPUTED_VALUE"""),"*Bill Clinton*
(né en 1946)
AR")</f>
        <v>*Bill Clinton*
(né en 1946)
AR</v>
      </c>
      <c r="D43" s="13">
        <f>IFERROR(__xludf.DUMMYFUNCTION("""COMPUTED_VALUE"""),33989.0)</f>
        <v>33989</v>
      </c>
      <c r="E43" s="13">
        <f>IFERROR(__xludf.DUMMYFUNCTION("""COMPUTED_VALUE"""),36911.0)</f>
        <v>36911</v>
      </c>
      <c r="G43" t="str">
        <f>IFERROR(__xludf.DUMMYFUNCTION("""COMPUTED_VALUE"""),"Démocrate")</f>
        <v>Démocrate</v>
      </c>
      <c r="H43" t="str">
        <f>IFERROR(__xludf.DUMMYFUNCTION("""COMPUTED_VALUE"""),"[ap]")</f>
        <v>[ap]</v>
      </c>
    </row>
    <row r="44">
      <c r="A44">
        <f>IFERROR(__xludf.DUMMYFUNCTION("""COMPUTED_VALUE"""),43.0)</f>
        <v>43</v>
      </c>
      <c r="B44" t="str">
        <f>IFERROR(__xludf.DUMMYFUNCTION("""COMPUTED_VALUE"""),"*George W. Bush*
(né en 1946)
TX")</f>
        <v>*George W. Bush*
(né en 1946)
TX</v>
      </c>
      <c r="D44" s="13">
        <f>IFERROR(__xludf.DUMMYFUNCTION("""COMPUTED_VALUE"""),36911.0)</f>
        <v>36911</v>
      </c>
      <c r="E44" s="13">
        <f>IFERROR(__xludf.DUMMYFUNCTION("""COMPUTED_VALUE"""),39833.0)</f>
        <v>39833</v>
      </c>
      <c r="G44" t="str">
        <f>IFERROR(__xludf.DUMMYFUNCTION("""COMPUTED_VALUE"""),"Républicain")</f>
        <v>Républicain</v>
      </c>
      <c r="H44" t="str">
        <f>IFERROR(__xludf.DUMMYFUNCTION("""COMPUTED_VALUE"""),"[aq]")</f>
        <v>[aq]</v>
      </c>
    </row>
    <row r="45">
      <c r="A45">
        <f>IFERROR(__xludf.DUMMYFUNCTION("""COMPUTED_VALUE"""),44.0)</f>
        <v>44</v>
      </c>
      <c r="B45" t="str">
        <f>IFERROR(__xludf.DUMMYFUNCTION("""COMPUTED_VALUE"""),"*Barack Obama*
(né en 1961)
IL")</f>
        <v>*Barack Obama*
(né en 1961)
IL</v>
      </c>
      <c r="D45" s="13">
        <f>IFERROR(__xludf.DUMMYFUNCTION("""COMPUTED_VALUE"""),39833.0)</f>
        <v>39833</v>
      </c>
      <c r="E45" s="13">
        <f>IFERROR(__xludf.DUMMYFUNCTION("""COMPUTED_VALUE"""),42755.0)</f>
        <v>42755</v>
      </c>
      <c r="G45" t="str">
        <f>IFERROR(__xludf.DUMMYFUNCTION("""COMPUTED_VALUE"""),"Démocrate")</f>
        <v>Démocrate</v>
      </c>
      <c r="H45" t="str">
        <f>IFERROR(__xludf.DUMMYFUNCTION("""COMPUTED_VALUE"""),"[ar]")</f>
        <v>[ar]</v>
      </c>
    </row>
    <row r="46">
      <c r="A46">
        <f>IFERROR(__xludf.DUMMYFUNCTION("""COMPUTED_VALUE"""),45.0)</f>
        <v>45</v>
      </c>
      <c r="B46" t="str">
        <f>IFERROR(__xludf.DUMMYFUNCTION("""COMPUTED_VALUE"""),"*Donald Trump*
(né en 1946)
NY
*1re fois*")</f>
        <v>*Donald Trump*
(né en 1946)
NY
*1re fois*</v>
      </c>
      <c r="D46" s="13">
        <f>IFERROR(__xludf.DUMMYFUNCTION("""COMPUTED_VALUE"""),42755.0)</f>
        <v>42755</v>
      </c>
      <c r="E46" s="13">
        <f>IFERROR(__xludf.DUMMYFUNCTION("""COMPUTED_VALUE"""),44216.0)</f>
        <v>44216</v>
      </c>
      <c r="G46" t="str">
        <f>IFERROR(__xludf.DUMMYFUNCTION("""COMPUTED_VALUE"""),"Républicain")</f>
        <v>Républicain</v>
      </c>
      <c r="H46" t="str">
        <f>IFERROR(__xludf.DUMMYFUNCTION("""COMPUTED_VALUE"""),"[as]")</f>
        <v>[as]</v>
      </c>
    </row>
    <row r="47">
      <c r="A47">
        <f>IFERROR(__xludf.DUMMYFUNCTION("""COMPUTED_VALUE"""),46.0)</f>
        <v>46</v>
      </c>
      <c r="B47" t="str">
        <f>IFERROR(__xludf.DUMMYFUNCTION("""COMPUTED_VALUE"""),"*Joe Biden*
(né en 1942)
PA")</f>
        <v>*Joe Biden*
(né en 1942)
PA</v>
      </c>
      <c r="D47" s="13">
        <f>IFERROR(__xludf.DUMMYFUNCTION("""COMPUTED_VALUE"""),44216.0)</f>
        <v>44216</v>
      </c>
      <c r="E47" s="13">
        <f>IFERROR(__xludf.DUMMYFUNCTION("""COMPUTED_VALUE"""),45677.0)</f>
        <v>45677</v>
      </c>
      <c r="G47" t="str">
        <f>IFERROR(__xludf.DUMMYFUNCTION("""COMPUTED_VALUE"""),"Démocrate")</f>
        <v>Démocrate</v>
      </c>
      <c r="H47" t="str">
        <f>IFERROR(__xludf.DUMMYFUNCTION("""COMPUTED_VALUE"""),"[at]")</f>
        <v>[at]</v>
      </c>
    </row>
    <row r="48">
      <c r="A48">
        <f>IFERROR(__xludf.DUMMYFUNCTION("""COMPUTED_VALUE"""),47.0)</f>
        <v>47</v>
      </c>
      <c r="B48" t="str">
        <f>IFERROR(__xludf.DUMMYFUNCTION("""COMPUTED_VALUE"""),"*Donald Trump*
(né en 1946)
NY
*2de fois*")</f>
        <v>*Donald Trump*
(né en 1946)
NY
*2de fois*</v>
      </c>
      <c r="D48" s="13">
        <f>IFERROR(__xludf.DUMMYFUNCTION("""COMPUTED_VALUE"""),45677.0)</f>
        <v>45677</v>
      </c>
      <c r="E48" t="str">
        <f>IFERROR(__xludf.DUMMYFUNCTION("""COMPUTED_VALUE"""),"*En cours*")</f>
        <v>*En cours*</v>
      </c>
      <c r="G48" t="str">
        <f>IFERROR(__xludf.DUMMYFUNCTION("""COMPUTED_VALUE"""),"Républicain")</f>
        <v>Républicain</v>
      </c>
      <c r="H48" t="str">
        <f>IFERROR(__xludf.DUMMYFUNCTION("""COMPUTED_VALUE"""),"[au]")</f>
        <v>[au]</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IFERROR(__xludf.DUMMYFUNCTION("IMPORTHTML(""https://fr.wikipedia.org/wiki/Ang%C3%A8le_(chanteuse)"", ""table"")"),"Nom de naissance")</f>
        <v>Nom de naissance</v>
      </c>
      <c r="B1" t="str">
        <f>IFERROR(__xludf.DUMMYFUNCTION("""COMPUTED_VALUE"""),"Angèle Joséphine Aimée Van Laeken")</f>
        <v>Angèle Joséphine Aimée Van Laeken</v>
      </c>
    </row>
    <row r="2">
      <c r="A2" t="str">
        <f>IFERROR(__xludf.DUMMYFUNCTION("""COMPUTED_VALUE"""),"Naissance")</f>
        <v>Naissance</v>
      </c>
      <c r="B2" t="str">
        <f>IFERROR(__xludf.DUMMYFUNCTION("""COMPUTED_VALUE"""),"3décembre1995(30 ans)
Uccle (Belgique)")</f>
        <v>3décembre1995(30 ans)
Uccle (Belgique)</v>
      </c>
    </row>
    <row r="3">
      <c r="A3" t="str">
        <f>IFERROR(__xludf.DUMMYFUNCTION("""COMPUTED_VALUE"""),"Nationalité")</f>
        <v>Nationalité</v>
      </c>
      <c r="B3" t="str">
        <f>IFERROR(__xludf.DUMMYFUNCTION("""COMPUTED_VALUE"""),"Belge")</f>
        <v>Belge</v>
      </c>
    </row>
    <row r="4">
      <c r="A4" t="str">
        <f>IFERROR(__xludf.DUMMYFUNCTION("""COMPUTED_VALUE"""),"Activité principale")</f>
        <v>Activité principale</v>
      </c>
      <c r="B4" t="str">
        <f>IFERROR(__xludf.DUMMYFUNCTION("""COMPUTED_VALUE"""),"Auteure-compositrice-interprète
Musicienne
Productrice
Actrice
Mannequin")</f>
        <v>Auteure-compositrice-interprète
Musicienne
Productrice
Actrice
Mannequin</v>
      </c>
    </row>
    <row r="5">
      <c r="A5" t="str">
        <f>IFERROR(__xludf.DUMMYFUNCTION("""COMPUTED_VALUE"""),"Genre musical")</f>
        <v>Genre musical</v>
      </c>
      <c r="B5" t="str">
        <f>IFERROR(__xludf.DUMMYFUNCTION("""COMPUTED_VALUE"""),"- Chanson
   - Pop")</f>
        <v>- Chanson
   - Pop</v>
      </c>
    </row>
    <row r="6">
      <c r="A6" t="str">
        <f>IFERROR(__xludf.DUMMYFUNCTION("""COMPUTED_VALUE"""),"Instruments")</f>
        <v>Instruments</v>
      </c>
      <c r="B6" t="str">
        <f>IFERROR(__xludf.DUMMYFUNCTION("""COMPUTED_VALUE"""),"- Voix
   - Piano")</f>
        <v>- Voix
   - Piano</v>
      </c>
    </row>
    <row r="7">
      <c r="A7" t="str">
        <f>IFERROR(__xludf.DUMMYFUNCTION("""COMPUTED_VALUE"""),"Années actives")</f>
        <v>Années actives</v>
      </c>
      <c r="B7" t="str">
        <f>IFERROR(__xludf.DUMMYFUNCTION("""COMPUTED_VALUE"""),"Depuis 2015")</f>
        <v>Depuis 2015</v>
      </c>
    </row>
    <row r="8">
      <c r="A8" t="str">
        <f>IFERROR(__xludf.DUMMYFUNCTION("""COMPUTED_VALUE"""),"Labels")</f>
        <v>Labels</v>
      </c>
      <c r="B8" t="str">
        <f>IFERROR(__xludf.DUMMYFUNCTION("""COMPUTED_VALUE"""),"- Angèle VL
   - Initial Artist Services
   - Universal Music France")</f>
        <v>- Angèle VL
   - Initial Artist Services
   - Universal Music France</v>
      </c>
    </row>
    <row r="9">
      <c r="A9" t="str">
        <f>IFERROR(__xludf.DUMMYFUNCTION("""COMPUTED_VALUE"""),"Site officiel")</f>
        <v>Site officiel</v>
      </c>
      <c r="B9" s="7" t="str">
        <f>IFERROR(__xludf.DUMMYFUNCTION("""COMPUTED_VALUE"""),"www.angelevl.be")</f>
        <v>www.angelevl.be</v>
      </c>
    </row>
  </sheetData>
  <hyperlinks>
    <hyperlink r:id="rId1" ref="B9"/>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IFERROR(__xludf.DUMMYFUNCTION("IMPORTHTML(""https://fr.wikipedia.org/wiki/Liste_des_présidents_des_États-Unis"" , ""table"" )"),"N°")</f>
        <v>N°</v>
      </c>
      <c r="B1" t="str">
        <f>IFERROR(__xludf.DUMMYFUNCTION("""COMPUTED_VALUE"""),"Titulaire
(Naissance-Mort)
État d'origine")</f>
        <v>Titulaire
(Naissance-Mort)
État d'origine</v>
      </c>
      <c r="D1" t="str">
        <f>IFERROR(__xludf.DUMMYFUNCTION("""COMPUTED_VALUE"""),"Début de mandat")</f>
        <v>Début de mandat</v>
      </c>
      <c r="E1" t="str">
        <f>IFERROR(__xludf.DUMMYFUNCTION("""COMPUTED_VALUE"""),"Fin de mandat")</f>
        <v>Fin de mandat</v>
      </c>
      <c r="F1" t="str">
        <f>IFERROR(__xludf.DUMMYFUNCTION("""COMPUTED_VALUE"""),"Parti")</f>
        <v>Parti</v>
      </c>
      <c r="H1" t="str">
        <f>IFERROR(__xludf.DUMMYFUNCTION("""COMPUTED_VALUE"""),"Notes")</f>
        <v>Notes</v>
      </c>
    </row>
    <row r="2">
      <c r="A2">
        <f>IFERROR(__xludf.DUMMYFUNCTION("""COMPUTED_VALUE"""),1.0)</f>
        <v>1</v>
      </c>
      <c r="B2" t="str">
        <f>IFERROR(__xludf.DUMMYFUNCTION("""COMPUTED_VALUE"""),"*George Washington*
(1732-1799)
VA")</f>
        <v>*George Washington*
(1732-1799)
VA</v>
      </c>
      <c r="D2" s="13">
        <f>IFERROR(__xludf.DUMMYFUNCTION("""COMPUTED_VALUE"""),-40420.0)</f>
        <v>-40420</v>
      </c>
      <c r="E2" s="13">
        <f>IFERROR(__xludf.DUMMYFUNCTION("""COMPUTED_VALUE"""),-37555.0)</f>
        <v>-37555</v>
      </c>
      <c r="G2" t="str">
        <f>IFERROR(__xludf.DUMMYFUNCTION("""COMPUTED_VALUE"""),"Indépendant")</f>
        <v>Indépendant</v>
      </c>
      <c r="H2" t="str">
        <f>IFERROR(__xludf.DUMMYFUNCTION("""COMPUTED_VALUE"""),"[a]")</f>
        <v>[a]</v>
      </c>
    </row>
    <row r="3">
      <c r="A3">
        <f>IFERROR(__xludf.DUMMYFUNCTION("""COMPUTED_VALUE"""),2.0)</f>
        <v>2</v>
      </c>
      <c r="B3" t="str">
        <f>IFERROR(__xludf.DUMMYFUNCTION("""COMPUTED_VALUE"""),"*John Adams*
(1735-1826)
MA")</f>
        <v>*John Adams*
(1735-1826)
MA</v>
      </c>
      <c r="D3" s="13">
        <f>IFERROR(__xludf.DUMMYFUNCTION("""COMPUTED_VALUE"""),-37555.0)</f>
        <v>-37555</v>
      </c>
      <c r="E3" s="13">
        <f>IFERROR(__xludf.DUMMYFUNCTION("""COMPUTED_VALUE"""),-36095.0)</f>
        <v>-36095</v>
      </c>
      <c r="G3" t="str">
        <f>IFERROR(__xludf.DUMMYFUNCTION("""COMPUTED_VALUE"""),"Fédéraliste")</f>
        <v>Fédéraliste</v>
      </c>
      <c r="H3" t="str">
        <f>IFERROR(__xludf.DUMMYFUNCTION("""COMPUTED_VALUE"""),"[b]")</f>
        <v>[b]</v>
      </c>
    </row>
    <row r="4">
      <c r="A4">
        <f>IFERROR(__xludf.DUMMYFUNCTION("""COMPUTED_VALUE"""),3.0)</f>
        <v>3</v>
      </c>
      <c r="B4" t="str">
        <f>IFERROR(__xludf.DUMMYFUNCTION("""COMPUTED_VALUE"""),"*Thomas Jefferson*
(1743-1826)
VA")</f>
        <v>*Thomas Jefferson*
(1743-1826)
VA</v>
      </c>
      <c r="D4" s="13">
        <f>IFERROR(__xludf.DUMMYFUNCTION("""COMPUTED_VALUE"""),-36095.0)</f>
        <v>-36095</v>
      </c>
      <c r="E4" s="13">
        <f>IFERROR(__xludf.DUMMYFUNCTION("""COMPUTED_VALUE"""),-33173.0)</f>
        <v>-33173</v>
      </c>
      <c r="G4" t="str">
        <f>IFERROR(__xludf.DUMMYFUNCTION("""COMPUTED_VALUE"""),"Républicain-
démocrate")</f>
        <v>Républicain-
démocrate</v>
      </c>
      <c r="H4" t="str">
        <f>IFERROR(__xludf.DUMMYFUNCTION("""COMPUTED_VALUE"""),"[c]")</f>
        <v>[c]</v>
      </c>
    </row>
    <row r="5">
      <c r="A5">
        <f>IFERROR(__xludf.DUMMYFUNCTION("""COMPUTED_VALUE"""),4.0)</f>
        <v>4</v>
      </c>
      <c r="B5" t="str">
        <f>IFERROR(__xludf.DUMMYFUNCTION("""COMPUTED_VALUE"""),"*James Madison*
(1751-1836)
VA")</f>
        <v>*James Madison*
(1751-1836)
VA</v>
      </c>
      <c r="D5" s="13">
        <f>IFERROR(__xludf.DUMMYFUNCTION("""COMPUTED_VALUE"""),-33173.0)</f>
        <v>-33173</v>
      </c>
      <c r="E5" s="13">
        <f>IFERROR(__xludf.DUMMYFUNCTION("""COMPUTED_VALUE"""),-30251.0)</f>
        <v>-30251</v>
      </c>
      <c r="G5" t="str">
        <f>IFERROR(__xludf.DUMMYFUNCTION("""COMPUTED_VALUE"""),"Républicain-
démocrate")</f>
        <v>Républicain-
démocrate</v>
      </c>
      <c r="H5" t="str">
        <f>IFERROR(__xludf.DUMMYFUNCTION("""COMPUTED_VALUE"""),"[d]")</f>
        <v>[d]</v>
      </c>
    </row>
    <row r="6">
      <c r="A6">
        <f>IFERROR(__xludf.DUMMYFUNCTION("""COMPUTED_VALUE"""),5.0)</f>
        <v>5</v>
      </c>
      <c r="B6" t="str">
        <f>IFERROR(__xludf.DUMMYFUNCTION("""COMPUTED_VALUE"""),"*James Monroe*
(1758-1831)
VA")</f>
        <v>*James Monroe*
(1758-1831)
VA</v>
      </c>
      <c r="D6" s="13">
        <f>IFERROR(__xludf.DUMMYFUNCTION("""COMPUTED_VALUE"""),-30251.0)</f>
        <v>-30251</v>
      </c>
      <c r="E6" s="13">
        <f>IFERROR(__xludf.DUMMYFUNCTION("""COMPUTED_VALUE"""),-27329.0)</f>
        <v>-27329</v>
      </c>
      <c r="G6" t="str">
        <f>IFERROR(__xludf.DUMMYFUNCTION("""COMPUTED_VALUE"""),"Républicain-
démocrate")</f>
        <v>Républicain-
démocrate</v>
      </c>
      <c r="H6" t="str">
        <f>IFERROR(__xludf.DUMMYFUNCTION("""COMPUTED_VALUE"""),"[e]")</f>
        <v>[e]</v>
      </c>
    </row>
    <row r="7">
      <c r="A7">
        <f>IFERROR(__xludf.DUMMYFUNCTION("""COMPUTED_VALUE"""),6.0)</f>
        <v>6</v>
      </c>
      <c r="B7" t="str">
        <f>IFERROR(__xludf.DUMMYFUNCTION("""COMPUTED_VALUE"""),"*John Quincy Adams*
(1767-1848)
MA")</f>
        <v>*John Quincy Adams*
(1767-1848)
MA</v>
      </c>
      <c r="D7" s="13">
        <f>IFERROR(__xludf.DUMMYFUNCTION("""COMPUTED_VALUE"""),-27329.0)</f>
        <v>-27329</v>
      </c>
      <c r="E7" s="13">
        <f>IFERROR(__xludf.DUMMYFUNCTION("""COMPUTED_VALUE"""),-25868.0)</f>
        <v>-25868</v>
      </c>
      <c r="G7" t="str">
        <f>IFERROR(__xludf.DUMMYFUNCTION("""COMPUTED_VALUE"""),"Républicain-
démocrate
------------------------------
National-républicain")</f>
        <v>Républicain-
démocrate
------------------------------
National-républicain</v>
      </c>
      <c r="H7" t="str">
        <f>IFERROR(__xludf.DUMMYFUNCTION("""COMPUTED_VALUE"""),"[f]")</f>
        <v>[f]</v>
      </c>
    </row>
    <row r="8">
      <c r="A8">
        <f>IFERROR(__xludf.DUMMYFUNCTION("""COMPUTED_VALUE"""),7.0)</f>
        <v>7</v>
      </c>
      <c r="B8" t="str">
        <f>IFERROR(__xludf.DUMMYFUNCTION("""COMPUTED_VALUE"""),"*Andrew Jackson*
(1767-1845)
TN")</f>
        <v>*Andrew Jackson*
(1767-1845)
TN</v>
      </c>
      <c r="D8" s="13">
        <f>IFERROR(__xludf.DUMMYFUNCTION("""COMPUTED_VALUE"""),-25868.0)</f>
        <v>-25868</v>
      </c>
      <c r="E8" s="13">
        <f>IFERROR(__xludf.DUMMYFUNCTION("""COMPUTED_VALUE"""),-22946.0)</f>
        <v>-22946</v>
      </c>
      <c r="G8" t="str">
        <f>IFERROR(__xludf.DUMMYFUNCTION("""COMPUTED_VALUE"""),"Démocrate")</f>
        <v>Démocrate</v>
      </c>
      <c r="H8" t="str">
        <f>IFERROR(__xludf.DUMMYFUNCTION("""COMPUTED_VALUE"""),"[g]")</f>
        <v>[g]</v>
      </c>
    </row>
    <row r="9">
      <c r="A9">
        <f>IFERROR(__xludf.DUMMYFUNCTION("""COMPUTED_VALUE"""),8.0)</f>
        <v>8</v>
      </c>
      <c r="B9" t="str">
        <f>IFERROR(__xludf.DUMMYFUNCTION("""COMPUTED_VALUE"""),"*Martin Van Buren*
(1782-1862)
NY")</f>
        <v>*Martin Van Buren*
(1782-1862)
NY</v>
      </c>
      <c r="D9" s="13">
        <f>IFERROR(__xludf.DUMMYFUNCTION("""COMPUTED_VALUE"""),-22946.0)</f>
        <v>-22946</v>
      </c>
      <c r="E9" s="13">
        <f>IFERROR(__xludf.DUMMYFUNCTION("""COMPUTED_VALUE"""),-21485.0)</f>
        <v>-21485</v>
      </c>
      <c r="G9" t="str">
        <f>IFERROR(__xludf.DUMMYFUNCTION("""COMPUTED_VALUE"""),"Démocrate")</f>
        <v>Démocrate</v>
      </c>
      <c r="H9" t="str">
        <f>IFERROR(__xludf.DUMMYFUNCTION("""COMPUTED_VALUE"""),"[h]")</f>
        <v>[h]</v>
      </c>
    </row>
    <row r="10">
      <c r="A10">
        <f>IFERROR(__xludf.DUMMYFUNCTION("""COMPUTED_VALUE"""),9.0)</f>
        <v>9</v>
      </c>
      <c r="B10" t="str">
        <f>IFERROR(__xludf.DUMMYFUNCTION("""COMPUTED_VALUE"""),"*William Henry Harrison*
(1773-1841)
OH")</f>
        <v>*William Henry Harrison*
(1773-1841)
OH</v>
      </c>
      <c r="D10" s="13">
        <f>IFERROR(__xludf.DUMMYFUNCTION("""COMPUTED_VALUE"""),-21485.0)</f>
        <v>-21485</v>
      </c>
      <c r="E10" s="13">
        <f>IFERROR(__xludf.DUMMYFUNCTION("""COMPUTED_VALUE"""),-21454.0)</f>
        <v>-21454</v>
      </c>
      <c r="G10" t="str">
        <f>IFERROR(__xludf.DUMMYFUNCTION("""COMPUTED_VALUE"""),"Whig")</f>
        <v>Whig</v>
      </c>
      <c r="H10" t="str">
        <f>IFERROR(__xludf.DUMMYFUNCTION("""COMPUTED_VALUE"""),"[i]")</f>
        <v>[i]</v>
      </c>
    </row>
    <row r="11">
      <c r="A11">
        <f>IFERROR(__xludf.DUMMYFUNCTION("""COMPUTED_VALUE"""),10.0)</f>
        <v>10</v>
      </c>
      <c r="B11" t="str">
        <f>IFERROR(__xludf.DUMMYFUNCTION("""COMPUTED_VALUE"""),"*John Tyler*
(1790-1862)
VA")</f>
        <v>*John Tyler*
(1790-1862)
VA</v>
      </c>
      <c r="D11" s="13">
        <f>IFERROR(__xludf.DUMMYFUNCTION("""COMPUTED_VALUE"""),-21454.0)</f>
        <v>-21454</v>
      </c>
      <c r="E11" s="13">
        <f>IFERROR(__xludf.DUMMYFUNCTION("""COMPUTED_VALUE"""),-20024.0)</f>
        <v>-20024</v>
      </c>
      <c r="G11" t="str">
        <f>IFERROR(__xludf.DUMMYFUNCTION("""COMPUTED_VALUE"""),"Indépendant")</f>
        <v>Indépendant</v>
      </c>
      <c r="H11" t="str">
        <f>IFERROR(__xludf.DUMMYFUNCTION("""COMPUTED_VALUE"""),"[j]")</f>
        <v>[j]</v>
      </c>
    </row>
    <row r="12">
      <c r="A12">
        <f>IFERROR(__xludf.DUMMYFUNCTION("""COMPUTED_VALUE"""),11.0)</f>
        <v>11</v>
      </c>
      <c r="B12" t="str">
        <f>IFERROR(__xludf.DUMMYFUNCTION("""COMPUTED_VALUE"""),"*James K. Polk*
(1795-1849)
TN")</f>
        <v>*James K. Polk*
(1795-1849)
TN</v>
      </c>
      <c r="D12" s="13">
        <f>IFERROR(__xludf.DUMMYFUNCTION("""COMPUTED_VALUE"""),-20024.0)</f>
        <v>-20024</v>
      </c>
      <c r="E12" s="13">
        <f>IFERROR(__xludf.DUMMYFUNCTION("""COMPUTED_VALUE"""),-18563.0)</f>
        <v>-18563</v>
      </c>
      <c r="G12" t="str">
        <f>IFERROR(__xludf.DUMMYFUNCTION("""COMPUTED_VALUE"""),"Démocrate")</f>
        <v>Démocrate</v>
      </c>
      <c r="H12" t="str">
        <f>IFERROR(__xludf.DUMMYFUNCTION("""COMPUTED_VALUE"""),"[k]")</f>
        <v>[k]</v>
      </c>
    </row>
    <row r="13">
      <c r="A13">
        <f>IFERROR(__xludf.DUMMYFUNCTION("""COMPUTED_VALUE"""),12.0)</f>
        <v>12</v>
      </c>
      <c r="B13" t="str">
        <f>IFERROR(__xludf.DUMMYFUNCTION("""COMPUTED_VALUE"""),"*Zachary Taylor*
(1784-1850)
KY")</f>
        <v>*Zachary Taylor*
(1784-1850)
KY</v>
      </c>
      <c r="D13" s="13">
        <f>IFERROR(__xludf.DUMMYFUNCTION("""COMPUTED_VALUE"""),-18563.0)</f>
        <v>-18563</v>
      </c>
      <c r="E13" s="13">
        <f>IFERROR(__xludf.DUMMYFUNCTION("""COMPUTED_VALUE"""),-18071.0)</f>
        <v>-18071</v>
      </c>
      <c r="G13" t="str">
        <f>IFERROR(__xludf.DUMMYFUNCTION("""COMPUTED_VALUE"""),"Whig")</f>
        <v>Whig</v>
      </c>
      <c r="H13" t="str">
        <f>IFERROR(__xludf.DUMMYFUNCTION("""COMPUTED_VALUE"""),"[l]")</f>
        <v>[l]</v>
      </c>
    </row>
    <row r="14">
      <c r="A14">
        <f>IFERROR(__xludf.DUMMYFUNCTION("""COMPUTED_VALUE"""),13.0)</f>
        <v>13</v>
      </c>
      <c r="B14" t="str">
        <f>IFERROR(__xludf.DUMMYFUNCTION("""COMPUTED_VALUE"""),"*Millard Fillmore*
(1800-1874)
NY")</f>
        <v>*Millard Fillmore*
(1800-1874)
NY</v>
      </c>
      <c r="D14" s="13">
        <f>IFERROR(__xludf.DUMMYFUNCTION("""COMPUTED_VALUE"""),-18071.0)</f>
        <v>-18071</v>
      </c>
      <c r="E14" s="13">
        <f>IFERROR(__xludf.DUMMYFUNCTION("""COMPUTED_VALUE"""),-17102.0)</f>
        <v>-17102</v>
      </c>
      <c r="G14" t="str">
        <f>IFERROR(__xludf.DUMMYFUNCTION("""COMPUTED_VALUE"""),"Whig")</f>
        <v>Whig</v>
      </c>
      <c r="H14" t="str">
        <f>IFERROR(__xludf.DUMMYFUNCTION("""COMPUTED_VALUE"""),"[m]")</f>
        <v>[m]</v>
      </c>
    </row>
    <row r="15">
      <c r="A15">
        <f>IFERROR(__xludf.DUMMYFUNCTION("""COMPUTED_VALUE"""),14.0)</f>
        <v>14</v>
      </c>
      <c r="B15" t="str">
        <f>IFERROR(__xludf.DUMMYFUNCTION("""COMPUTED_VALUE"""),"*Franklin Pierce*
(1804-1869)
NH")</f>
        <v>*Franklin Pierce*
(1804-1869)
NH</v>
      </c>
      <c r="D15" s="13">
        <f>IFERROR(__xludf.DUMMYFUNCTION("""COMPUTED_VALUE"""),-17102.0)</f>
        <v>-17102</v>
      </c>
      <c r="E15" s="13">
        <f>IFERROR(__xludf.DUMMYFUNCTION("""COMPUTED_VALUE"""),-15641.0)</f>
        <v>-15641</v>
      </c>
      <c r="G15" t="str">
        <f>IFERROR(__xludf.DUMMYFUNCTION("""COMPUTED_VALUE"""),"Démocrate")</f>
        <v>Démocrate</v>
      </c>
      <c r="H15" t="str">
        <f>IFERROR(__xludf.DUMMYFUNCTION("""COMPUTED_VALUE"""),"[n]")</f>
        <v>[n]</v>
      </c>
    </row>
    <row r="16">
      <c r="A16">
        <f>IFERROR(__xludf.DUMMYFUNCTION("""COMPUTED_VALUE"""),15.0)</f>
        <v>15</v>
      </c>
      <c r="B16" t="str">
        <f>IFERROR(__xludf.DUMMYFUNCTION("""COMPUTED_VALUE"""),"*James Buchanan*
(1791-1868)
PA")</f>
        <v>*James Buchanan*
(1791-1868)
PA</v>
      </c>
      <c r="D16" s="13">
        <f>IFERROR(__xludf.DUMMYFUNCTION("""COMPUTED_VALUE"""),-15641.0)</f>
        <v>-15641</v>
      </c>
      <c r="E16" s="13">
        <f>IFERROR(__xludf.DUMMYFUNCTION("""COMPUTED_VALUE"""),-14180.0)</f>
        <v>-14180</v>
      </c>
      <c r="G16" t="str">
        <f>IFERROR(__xludf.DUMMYFUNCTION("""COMPUTED_VALUE"""),"Démocrate")</f>
        <v>Démocrate</v>
      </c>
      <c r="H16" t="str">
        <f>IFERROR(__xludf.DUMMYFUNCTION("""COMPUTED_VALUE"""),"[o]")</f>
        <v>[o]</v>
      </c>
    </row>
    <row r="17">
      <c r="A17">
        <f>IFERROR(__xludf.DUMMYFUNCTION("""COMPUTED_VALUE"""),16.0)</f>
        <v>16</v>
      </c>
      <c r="B17" t="str">
        <f>IFERROR(__xludf.DUMMYFUNCTION("""COMPUTED_VALUE"""),"*Abraham Lincoln*
(1809-1865)
IL")</f>
        <v>*Abraham Lincoln*
(1809-1865)
IL</v>
      </c>
      <c r="D17" s="13">
        <f>IFERROR(__xludf.DUMMYFUNCTION("""COMPUTED_VALUE"""),-14180.0)</f>
        <v>-14180</v>
      </c>
      <c r="E17" s="13">
        <f>IFERROR(__xludf.DUMMYFUNCTION("""COMPUTED_VALUE"""),-12677.0)</f>
        <v>-12677</v>
      </c>
      <c r="G17" t="str">
        <f>IFERROR(__xludf.DUMMYFUNCTION("""COMPUTED_VALUE"""),"Républicain
------------------------------
Union (en)")</f>
        <v>Républicain
------------------------------
Union (en)</v>
      </c>
      <c r="H17" t="str">
        <f>IFERROR(__xludf.DUMMYFUNCTION("""COMPUTED_VALUE"""),"[p]")</f>
        <v>[p]</v>
      </c>
    </row>
    <row r="18">
      <c r="A18">
        <f>IFERROR(__xludf.DUMMYFUNCTION("""COMPUTED_VALUE"""),17.0)</f>
        <v>17</v>
      </c>
      <c r="B18" t="str">
        <f>IFERROR(__xludf.DUMMYFUNCTION("""COMPUTED_VALUE"""),"*Andrew Johnson*
(1808-1875)
TN")</f>
        <v>*Andrew Johnson*
(1808-1875)
TN</v>
      </c>
      <c r="D18" s="13">
        <f>IFERROR(__xludf.DUMMYFUNCTION("""COMPUTED_VALUE"""),-12677.0)</f>
        <v>-12677</v>
      </c>
      <c r="E18" s="13">
        <f>IFERROR(__xludf.DUMMYFUNCTION("""COMPUTED_VALUE"""),-11258.0)</f>
        <v>-11258</v>
      </c>
      <c r="G18" t="str">
        <f>IFERROR(__xludf.DUMMYFUNCTION("""COMPUTED_VALUE"""),"Union (en)
------------------------------
Démocrate")</f>
        <v>Union (en)
------------------------------
Démocrate</v>
      </c>
      <c r="H18" t="str">
        <f>IFERROR(__xludf.DUMMYFUNCTION("""COMPUTED_VALUE"""),"[q]")</f>
        <v>[q]</v>
      </c>
    </row>
    <row r="19">
      <c r="A19">
        <f>IFERROR(__xludf.DUMMYFUNCTION("""COMPUTED_VALUE"""),18.0)</f>
        <v>18</v>
      </c>
      <c r="B19" t="str">
        <f>IFERROR(__xludf.DUMMYFUNCTION("""COMPUTED_VALUE"""),"*Ulysses S. Grant*
(1822-1885)
IL")</f>
        <v>*Ulysses S. Grant*
(1822-1885)
IL</v>
      </c>
      <c r="D19" s="13">
        <f>IFERROR(__xludf.DUMMYFUNCTION("""COMPUTED_VALUE"""),-11258.0)</f>
        <v>-11258</v>
      </c>
      <c r="E19" s="13">
        <f>IFERROR(__xludf.DUMMYFUNCTION("""COMPUTED_VALUE"""),-8336.0)</f>
        <v>-8336</v>
      </c>
      <c r="G19" t="str">
        <f>IFERROR(__xludf.DUMMYFUNCTION("""COMPUTED_VALUE"""),"Républicain")</f>
        <v>Républicain</v>
      </c>
      <c r="H19" t="str">
        <f>IFERROR(__xludf.DUMMYFUNCTION("""COMPUTED_VALUE"""),"[r]")</f>
        <v>[r]</v>
      </c>
    </row>
    <row r="20">
      <c r="A20">
        <f>IFERROR(__xludf.DUMMYFUNCTION("""COMPUTED_VALUE"""),19.0)</f>
        <v>19</v>
      </c>
      <c r="B20" t="str">
        <f>IFERROR(__xludf.DUMMYFUNCTION("""COMPUTED_VALUE"""),"*Rutherford B. Hayes*
(1822-1893)
OH")</f>
        <v>*Rutherford B. Hayes*
(1822-1893)
OH</v>
      </c>
      <c r="D20" s="13">
        <f>IFERROR(__xludf.DUMMYFUNCTION("""COMPUTED_VALUE"""),-8336.0)</f>
        <v>-8336</v>
      </c>
      <c r="E20" s="13">
        <f>IFERROR(__xludf.DUMMYFUNCTION("""COMPUTED_VALUE"""),-6875.0)</f>
        <v>-6875</v>
      </c>
      <c r="G20" t="str">
        <f>IFERROR(__xludf.DUMMYFUNCTION("""COMPUTED_VALUE"""),"Républicain")</f>
        <v>Républicain</v>
      </c>
      <c r="H20" t="str">
        <f>IFERROR(__xludf.DUMMYFUNCTION("""COMPUTED_VALUE"""),"[s]")</f>
        <v>[s]</v>
      </c>
    </row>
    <row r="21">
      <c r="A21">
        <f>IFERROR(__xludf.DUMMYFUNCTION("""COMPUTED_VALUE"""),20.0)</f>
        <v>20</v>
      </c>
      <c r="B21" t="str">
        <f>IFERROR(__xludf.DUMMYFUNCTION("""COMPUTED_VALUE"""),"*James A. Garfield*
(1831-1881)
OH")</f>
        <v>*James A. Garfield*
(1831-1881)
OH</v>
      </c>
      <c r="D21" s="13">
        <f>IFERROR(__xludf.DUMMYFUNCTION("""COMPUTED_VALUE"""),-6875.0)</f>
        <v>-6875</v>
      </c>
      <c r="E21" s="13">
        <f>IFERROR(__xludf.DUMMYFUNCTION("""COMPUTED_VALUE"""),-6676.0)</f>
        <v>-6676</v>
      </c>
      <c r="G21" t="str">
        <f>IFERROR(__xludf.DUMMYFUNCTION("""COMPUTED_VALUE"""),"Républicain")</f>
        <v>Républicain</v>
      </c>
      <c r="H21" t="str">
        <f>IFERROR(__xludf.DUMMYFUNCTION("""COMPUTED_VALUE"""),"[t]")</f>
        <v>[t]</v>
      </c>
    </row>
    <row r="22">
      <c r="A22">
        <f>IFERROR(__xludf.DUMMYFUNCTION("""COMPUTED_VALUE"""),21.0)</f>
        <v>21</v>
      </c>
      <c r="B22" t="str">
        <f>IFERROR(__xludf.DUMMYFUNCTION("""COMPUTED_VALUE"""),"*Chester A. Arthur*
(1829-1886)
NY")</f>
        <v>*Chester A. Arthur*
(1829-1886)
NY</v>
      </c>
      <c r="D22" s="13">
        <f>IFERROR(__xludf.DUMMYFUNCTION("""COMPUTED_VALUE"""),-6676.0)</f>
        <v>-6676</v>
      </c>
      <c r="E22" s="13">
        <f>IFERROR(__xludf.DUMMYFUNCTION("""COMPUTED_VALUE"""),-5414.0)</f>
        <v>-5414</v>
      </c>
      <c r="G22" t="str">
        <f>IFERROR(__xludf.DUMMYFUNCTION("""COMPUTED_VALUE"""),"Républicain")</f>
        <v>Républicain</v>
      </c>
      <c r="H22" t="str">
        <f>IFERROR(__xludf.DUMMYFUNCTION("""COMPUTED_VALUE"""),"[u]")</f>
        <v>[u]</v>
      </c>
    </row>
    <row r="23">
      <c r="A23">
        <f>IFERROR(__xludf.DUMMYFUNCTION("""COMPUTED_VALUE"""),22.0)</f>
        <v>22</v>
      </c>
      <c r="B23" t="str">
        <f>IFERROR(__xludf.DUMMYFUNCTION("""COMPUTED_VALUE"""),"*Grover Cleveland*
(1837-1908)
NY
*1re fois*")</f>
        <v>*Grover Cleveland*
(1837-1908)
NY
*1re fois*</v>
      </c>
      <c r="D23" s="13">
        <f>IFERROR(__xludf.DUMMYFUNCTION("""COMPUTED_VALUE"""),-5414.0)</f>
        <v>-5414</v>
      </c>
      <c r="E23" s="13">
        <f>IFERROR(__xludf.DUMMYFUNCTION("""COMPUTED_VALUE"""),-3953.0)</f>
        <v>-3953</v>
      </c>
      <c r="G23" t="str">
        <f>IFERROR(__xludf.DUMMYFUNCTION("""COMPUTED_VALUE"""),"Démocrate")</f>
        <v>Démocrate</v>
      </c>
      <c r="H23" t="str">
        <f>IFERROR(__xludf.DUMMYFUNCTION("""COMPUTED_VALUE"""),"[v]")</f>
        <v>[v]</v>
      </c>
    </row>
    <row r="24">
      <c r="A24">
        <f>IFERROR(__xludf.DUMMYFUNCTION("""COMPUTED_VALUE"""),23.0)</f>
        <v>23</v>
      </c>
      <c r="B24" t="str">
        <f>IFERROR(__xludf.DUMMYFUNCTION("""COMPUTED_VALUE"""),"*Benjamin Harrison*
(1833-1901)
IN")</f>
        <v>*Benjamin Harrison*
(1833-1901)
IN</v>
      </c>
      <c r="D24" s="13">
        <f>IFERROR(__xludf.DUMMYFUNCTION("""COMPUTED_VALUE"""),-3953.0)</f>
        <v>-3953</v>
      </c>
      <c r="E24" s="13">
        <f>IFERROR(__xludf.DUMMYFUNCTION("""COMPUTED_VALUE"""),-2492.0)</f>
        <v>-2492</v>
      </c>
      <c r="G24" t="str">
        <f>IFERROR(__xludf.DUMMYFUNCTION("""COMPUTED_VALUE"""),"Républicain")</f>
        <v>Républicain</v>
      </c>
      <c r="H24" t="str">
        <f>IFERROR(__xludf.DUMMYFUNCTION("""COMPUTED_VALUE"""),"[w]")</f>
        <v>[w]</v>
      </c>
    </row>
    <row r="25">
      <c r="A25">
        <f>IFERROR(__xludf.DUMMYFUNCTION("""COMPUTED_VALUE"""),24.0)</f>
        <v>24</v>
      </c>
      <c r="B25" t="str">
        <f>IFERROR(__xludf.DUMMYFUNCTION("""COMPUTED_VALUE"""),"*Grover Cleveland*
(1837-1908)
NY
*2de fois*")</f>
        <v>*Grover Cleveland*
(1837-1908)
NY
*2de fois*</v>
      </c>
      <c r="D25" s="13">
        <f>IFERROR(__xludf.DUMMYFUNCTION("""COMPUTED_VALUE"""),-2492.0)</f>
        <v>-2492</v>
      </c>
      <c r="E25" s="13">
        <f>IFERROR(__xludf.DUMMYFUNCTION("""COMPUTED_VALUE"""),-1031.0)</f>
        <v>-1031</v>
      </c>
      <c r="G25" t="str">
        <f>IFERROR(__xludf.DUMMYFUNCTION("""COMPUTED_VALUE"""),"Démocrate")</f>
        <v>Démocrate</v>
      </c>
      <c r="H25" t="str">
        <f>IFERROR(__xludf.DUMMYFUNCTION("""COMPUTED_VALUE"""),"[x]")</f>
        <v>[x]</v>
      </c>
    </row>
    <row r="26">
      <c r="A26">
        <f>IFERROR(__xludf.DUMMYFUNCTION("""COMPUTED_VALUE"""),25.0)</f>
        <v>25</v>
      </c>
      <c r="B26" t="str">
        <f>IFERROR(__xludf.DUMMYFUNCTION("""COMPUTED_VALUE"""),"*William McKinley*
(1843-1901)
OH")</f>
        <v>*William McKinley*
(1843-1901)
OH</v>
      </c>
      <c r="D26" s="13">
        <f>IFERROR(__xludf.DUMMYFUNCTION("""COMPUTED_VALUE"""),-1031.0)</f>
        <v>-1031</v>
      </c>
      <c r="E26" s="13">
        <f>IFERROR(__xludf.DUMMYFUNCTION("""COMPUTED_VALUE"""),623.0)</f>
        <v>623</v>
      </c>
      <c r="G26" t="str">
        <f>IFERROR(__xludf.DUMMYFUNCTION("""COMPUTED_VALUE"""),"Républicain")</f>
        <v>Républicain</v>
      </c>
      <c r="H26" t="str">
        <f>IFERROR(__xludf.DUMMYFUNCTION("""COMPUTED_VALUE"""),"[y]")</f>
        <v>[y]</v>
      </c>
    </row>
    <row r="27">
      <c r="A27">
        <f>IFERROR(__xludf.DUMMYFUNCTION("""COMPUTED_VALUE"""),26.0)</f>
        <v>26</v>
      </c>
      <c r="B27" t="str">
        <f>IFERROR(__xludf.DUMMYFUNCTION("""COMPUTED_VALUE"""),"*Theodore Roosevelt*
(1858-1919)
NY")</f>
        <v>*Theodore Roosevelt*
(1858-1919)
NY</v>
      </c>
      <c r="D27" s="13">
        <f>IFERROR(__xludf.DUMMYFUNCTION("""COMPUTED_VALUE"""),623.0)</f>
        <v>623</v>
      </c>
      <c r="E27" s="13">
        <f>IFERROR(__xludf.DUMMYFUNCTION("""COMPUTED_VALUE"""),3351.0)</f>
        <v>3351</v>
      </c>
      <c r="G27" t="str">
        <f>IFERROR(__xludf.DUMMYFUNCTION("""COMPUTED_VALUE"""),"Républicain")</f>
        <v>Républicain</v>
      </c>
      <c r="H27" t="str">
        <f>IFERROR(__xludf.DUMMYFUNCTION("""COMPUTED_VALUE"""),"[z]")</f>
        <v>[z]</v>
      </c>
    </row>
    <row r="28">
      <c r="A28">
        <f>IFERROR(__xludf.DUMMYFUNCTION("""COMPUTED_VALUE"""),27.0)</f>
        <v>27</v>
      </c>
      <c r="B28" t="str">
        <f>IFERROR(__xludf.DUMMYFUNCTION("""COMPUTED_VALUE"""),"*William H. Taft*
(1857-1930)
OH")</f>
        <v>*William H. Taft*
(1857-1930)
OH</v>
      </c>
      <c r="D28" s="13">
        <f>IFERROR(__xludf.DUMMYFUNCTION("""COMPUTED_VALUE"""),3351.0)</f>
        <v>3351</v>
      </c>
      <c r="E28" s="13">
        <f>IFERROR(__xludf.DUMMYFUNCTION("""COMPUTED_VALUE"""),4812.0)</f>
        <v>4812</v>
      </c>
      <c r="G28" t="str">
        <f>IFERROR(__xludf.DUMMYFUNCTION("""COMPUTED_VALUE"""),"Républicain")</f>
        <v>Républicain</v>
      </c>
      <c r="H28" t="str">
        <f>IFERROR(__xludf.DUMMYFUNCTION("""COMPUTED_VALUE"""),"[aa]")</f>
        <v>[aa]</v>
      </c>
    </row>
    <row r="29">
      <c r="A29">
        <f>IFERROR(__xludf.DUMMYFUNCTION("""COMPUTED_VALUE"""),28.0)</f>
        <v>28</v>
      </c>
      <c r="B29" t="str">
        <f>IFERROR(__xludf.DUMMYFUNCTION("""COMPUTED_VALUE"""),"*Woodrow Wilson*
(1856-1924)
NJ")</f>
        <v>*Woodrow Wilson*
(1856-1924)
NJ</v>
      </c>
      <c r="D29" s="13">
        <f>IFERROR(__xludf.DUMMYFUNCTION("""COMPUTED_VALUE"""),4812.0)</f>
        <v>4812</v>
      </c>
      <c r="E29" s="13">
        <f>IFERROR(__xludf.DUMMYFUNCTION("""COMPUTED_VALUE"""),7734.0)</f>
        <v>7734</v>
      </c>
      <c r="G29" t="str">
        <f>IFERROR(__xludf.DUMMYFUNCTION("""COMPUTED_VALUE"""),"Démocrate")</f>
        <v>Démocrate</v>
      </c>
      <c r="H29" t="str">
        <f>IFERROR(__xludf.DUMMYFUNCTION("""COMPUTED_VALUE"""),"[ab]")</f>
        <v>[ab]</v>
      </c>
    </row>
    <row r="30">
      <c r="A30">
        <f>IFERROR(__xludf.DUMMYFUNCTION("""COMPUTED_VALUE"""),29.0)</f>
        <v>29</v>
      </c>
      <c r="B30" t="str">
        <f>IFERROR(__xludf.DUMMYFUNCTION("""COMPUTED_VALUE"""),"*Warren G. Harding*
(1865-1923)
OH")</f>
        <v>*Warren G. Harding*
(1865-1923)
OH</v>
      </c>
      <c r="D30" s="13">
        <f>IFERROR(__xludf.DUMMYFUNCTION("""COMPUTED_VALUE"""),7734.0)</f>
        <v>7734</v>
      </c>
      <c r="E30" s="13">
        <f>IFERROR(__xludf.DUMMYFUNCTION("""COMPUTED_VALUE"""),8615.0)</f>
        <v>8615</v>
      </c>
      <c r="G30" t="str">
        <f>IFERROR(__xludf.DUMMYFUNCTION("""COMPUTED_VALUE"""),"Républicain")</f>
        <v>Républicain</v>
      </c>
      <c r="H30" t="str">
        <f>IFERROR(__xludf.DUMMYFUNCTION("""COMPUTED_VALUE"""),"[ac]")</f>
        <v>[ac]</v>
      </c>
    </row>
    <row r="31">
      <c r="A31">
        <f>IFERROR(__xludf.DUMMYFUNCTION("""COMPUTED_VALUE"""),30.0)</f>
        <v>30</v>
      </c>
      <c r="B31" t="str">
        <f>IFERROR(__xludf.DUMMYFUNCTION("""COMPUTED_VALUE"""),"*Calvin Coolidge*
(1872-1933)
MA")</f>
        <v>*Calvin Coolidge*
(1872-1933)
MA</v>
      </c>
      <c r="D31" s="13">
        <f>IFERROR(__xludf.DUMMYFUNCTION("""COMPUTED_VALUE"""),8615.0)</f>
        <v>8615</v>
      </c>
      <c r="E31" s="13">
        <f>IFERROR(__xludf.DUMMYFUNCTION("""COMPUTED_VALUE"""),10656.0)</f>
        <v>10656</v>
      </c>
      <c r="G31" t="str">
        <f>IFERROR(__xludf.DUMMYFUNCTION("""COMPUTED_VALUE"""),"Républicain")</f>
        <v>Républicain</v>
      </c>
      <c r="H31" t="str">
        <f>IFERROR(__xludf.DUMMYFUNCTION("""COMPUTED_VALUE"""),"[ad]")</f>
        <v>[ad]</v>
      </c>
    </row>
    <row r="32">
      <c r="A32">
        <f>IFERROR(__xludf.DUMMYFUNCTION("""COMPUTED_VALUE"""),31.0)</f>
        <v>31</v>
      </c>
      <c r="B32" t="str">
        <f>IFERROR(__xludf.DUMMYFUNCTION("""COMPUTED_VALUE"""),"*Herbert Hoover*
(1874-1964)
CA")</f>
        <v>*Herbert Hoover*
(1874-1964)
CA</v>
      </c>
      <c r="D32" s="13">
        <f>IFERROR(__xludf.DUMMYFUNCTION("""COMPUTED_VALUE"""),10656.0)</f>
        <v>10656</v>
      </c>
      <c r="E32" s="13">
        <f>IFERROR(__xludf.DUMMYFUNCTION("""COMPUTED_VALUE"""),12117.0)</f>
        <v>12117</v>
      </c>
      <c r="G32" t="str">
        <f>IFERROR(__xludf.DUMMYFUNCTION("""COMPUTED_VALUE"""),"Républicain")</f>
        <v>Républicain</v>
      </c>
      <c r="H32" t="str">
        <f>IFERROR(__xludf.DUMMYFUNCTION("""COMPUTED_VALUE"""),"[ae]")</f>
        <v>[ae]</v>
      </c>
    </row>
    <row r="33">
      <c r="A33">
        <f>IFERROR(__xludf.DUMMYFUNCTION("""COMPUTED_VALUE"""),32.0)</f>
        <v>32</v>
      </c>
      <c r="B33" t="str">
        <f>IFERROR(__xludf.DUMMYFUNCTION("""COMPUTED_VALUE"""),"*Franklin Delano Roosevelt*
(1882-1945)
NY")</f>
        <v>*Franklin Delano Roosevelt*
(1882-1945)
NY</v>
      </c>
      <c r="D33" s="13">
        <f>IFERROR(__xludf.DUMMYFUNCTION("""COMPUTED_VALUE"""),12117.0)</f>
        <v>12117</v>
      </c>
      <c r="E33" s="13">
        <f>IFERROR(__xludf.DUMMYFUNCTION("""COMPUTED_VALUE"""),16539.0)</f>
        <v>16539</v>
      </c>
      <c r="G33" t="str">
        <f>IFERROR(__xludf.DUMMYFUNCTION("""COMPUTED_VALUE"""),"Démocrate")</f>
        <v>Démocrate</v>
      </c>
      <c r="H33" t="str">
        <f>IFERROR(__xludf.DUMMYFUNCTION("""COMPUTED_VALUE"""),"[af]")</f>
        <v>[af]</v>
      </c>
    </row>
    <row r="34">
      <c r="A34">
        <f>IFERROR(__xludf.DUMMYFUNCTION("""COMPUTED_VALUE"""),33.0)</f>
        <v>33</v>
      </c>
      <c r="B34" t="str">
        <f>IFERROR(__xludf.DUMMYFUNCTION("""COMPUTED_VALUE"""),"*Harry S. Truman*
(1884-1972)
MO")</f>
        <v>*Harry S. Truman*
(1884-1972)
MO</v>
      </c>
      <c r="D34" s="13">
        <f>IFERROR(__xludf.DUMMYFUNCTION("""COMPUTED_VALUE"""),16539.0)</f>
        <v>16539</v>
      </c>
      <c r="E34" s="13">
        <f>IFERROR(__xludf.DUMMYFUNCTION("""COMPUTED_VALUE"""),19379.0)</f>
        <v>19379</v>
      </c>
      <c r="G34" t="str">
        <f>IFERROR(__xludf.DUMMYFUNCTION("""COMPUTED_VALUE"""),"Démocrate")</f>
        <v>Démocrate</v>
      </c>
      <c r="H34" t="str">
        <f>IFERROR(__xludf.DUMMYFUNCTION("""COMPUTED_VALUE"""),"[ag]")</f>
        <v>[ag]</v>
      </c>
    </row>
    <row r="35">
      <c r="A35">
        <f>IFERROR(__xludf.DUMMYFUNCTION("""COMPUTED_VALUE"""),34.0)</f>
        <v>34</v>
      </c>
      <c r="B35" t="str">
        <f>IFERROR(__xludf.DUMMYFUNCTION("""COMPUTED_VALUE"""),"*Dwight D. Eisenhower*
(1890-1969)
KS")</f>
        <v>*Dwight D. Eisenhower*
(1890-1969)
KS</v>
      </c>
      <c r="D35" s="13">
        <f>IFERROR(__xludf.DUMMYFUNCTION("""COMPUTED_VALUE"""),19379.0)</f>
        <v>19379</v>
      </c>
      <c r="E35" s="13">
        <f>IFERROR(__xludf.DUMMYFUNCTION("""COMPUTED_VALUE"""),22301.0)</f>
        <v>22301</v>
      </c>
      <c r="G35" t="str">
        <f>IFERROR(__xludf.DUMMYFUNCTION("""COMPUTED_VALUE"""),"Républicain")</f>
        <v>Républicain</v>
      </c>
      <c r="H35" t="str">
        <f>IFERROR(__xludf.DUMMYFUNCTION("""COMPUTED_VALUE"""),"[ah]")</f>
        <v>[ah]</v>
      </c>
    </row>
    <row r="36">
      <c r="A36">
        <f>IFERROR(__xludf.DUMMYFUNCTION("""COMPUTED_VALUE"""),35.0)</f>
        <v>35</v>
      </c>
      <c r="B36" t="str">
        <f>IFERROR(__xludf.DUMMYFUNCTION("""COMPUTED_VALUE"""),"*John Fitzgerald Kennedy*
(1917-1963)
MA")</f>
        <v>*John Fitzgerald Kennedy*
(1917-1963)
MA</v>
      </c>
      <c r="D36" s="13">
        <f>IFERROR(__xludf.DUMMYFUNCTION("""COMPUTED_VALUE"""),22301.0)</f>
        <v>22301</v>
      </c>
      <c r="E36" s="13">
        <f>IFERROR(__xludf.DUMMYFUNCTION("""COMPUTED_VALUE"""),23337.0)</f>
        <v>23337</v>
      </c>
      <c r="G36" t="str">
        <f>IFERROR(__xludf.DUMMYFUNCTION("""COMPUTED_VALUE"""),"Démocrate")</f>
        <v>Démocrate</v>
      </c>
      <c r="H36" t="str">
        <f>IFERROR(__xludf.DUMMYFUNCTION("""COMPUTED_VALUE"""),"[ai]")</f>
        <v>[ai]</v>
      </c>
    </row>
    <row r="37">
      <c r="A37">
        <f>IFERROR(__xludf.DUMMYFUNCTION("""COMPUTED_VALUE"""),36.0)</f>
        <v>36</v>
      </c>
      <c r="B37" t="str">
        <f>IFERROR(__xludf.DUMMYFUNCTION("""COMPUTED_VALUE"""),"*Lyndon B. Johnson*
(1908-1973)
TX")</f>
        <v>*Lyndon B. Johnson*
(1908-1973)
TX</v>
      </c>
      <c r="D37" s="13">
        <f>IFERROR(__xludf.DUMMYFUNCTION("""COMPUTED_VALUE"""),23337.0)</f>
        <v>23337</v>
      </c>
      <c r="E37" s="13">
        <f>IFERROR(__xludf.DUMMYFUNCTION("""COMPUTED_VALUE"""),25223.0)</f>
        <v>25223</v>
      </c>
      <c r="G37" t="str">
        <f>IFERROR(__xludf.DUMMYFUNCTION("""COMPUTED_VALUE"""),"Démocrate")</f>
        <v>Démocrate</v>
      </c>
      <c r="H37" t="str">
        <f>IFERROR(__xludf.DUMMYFUNCTION("""COMPUTED_VALUE"""),"[aj]")</f>
        <v>[aj]</v>
      </c>
    </row>
    <row r="38">
      <c r="A38">
        <f>IFERROR(__xludf.DUMMYFUNCTION("""COMPUTED_VALUE"""),37.0)</f>
        <v>37</v>
      </c>
      <c r="B38" t="str">
        <f>IFERROR(__xludf.DUMMYFUNCTION("""COMPUTED_VALUE"""),"*Richard Nixon*
(1913-1994)
CA")</f>
        <v>*Richard Nixon*
(1913-1994)
CA</v>
      </c>
      <c r="D38" s="13">
        <f>IFERROR(__xludf.DUMMYFUNCTION("""COMPUTED_VALUE"""),25223.0)</f>
        <v>25223</v>
      </c>
      <c r="E38" s="13">
        <f>IFERROR(__xludf.DUMMYFUNCTION("""COMPUTED_VALUE"""),27250.0)</f>
        <v>27250</v>
      </c>
      <c r="G38" t="str">
        <f>IFERROR(__xludf.DUMMYFUNCTION("""COMPUTED_VALUE"""),"Républicain")</f>
        <v>Républicain</v>
      </c>
      <c r="H38" t="str">
        <f>IFERROR(__xludf.DUMMYFUNCTION("""COMPUTED_VALUE"""),"[ak]")</f>
        <v>[ak]</v>
      </c>
    </row>
    <row r="39">
      <c r="A39">
        <f>IFERROR(__xludf.DUMMYFUNCTION("""COMPUTED_VALUE"""),38.0)</f>
        <v>38</v>
      </c>
      <c r="B39" t="str">
        <f>IFERROR(__xludf.DUMMYFUNCTION("""COMPUTED_VALUE"""),"*Gerald Ford*
(1913-2006)
MI")</f>
        <v>*Gerald Ford*
(1913-2006)
MI</v>
      </c>
      <c r="D39" s="13">
        <f>IFERROR(__xludf.DUMMYFUNCTION("""COMPUTED_VALUE"""),27250.0)</f>
        <v>27250</v>
      </c>
      <c r="E39" s="13">
        <f>IFERROR(__xludf.DUMMYFUNCTION("""COMPUTED_VALUE"""),28145.0)</f>
        <v>28145</v>
      </c>
      <c r="G39" t="str">
        <f>IFERROR(__xludf.DUMMYFUNCTION("""COMPUTED_VALUE"""),"Républicain")</f>
        <v>Républicain</v>
      </c>
      <c r="H39" t="str">
        <f>IFERROR(__xludf.DUMMYFUNCTION("""COMPUTED_VALUE"""),"[al]")</f>
        <v>[al]</v>
      </c>
    </row>
    <row r="40">
      <c r="A40">
        <f>IFERROR(__xludf.DUMMYFUNCTION("""COMPUTED_VALUE"""),39.0)</f>
        <v>39</v>
      </c>
      <c r="B40" t="str">
        <f>IFERROR(__xludf.DUMMYFUNCTION("""COMPUTED_VALUE"""),"*Jimmy Carter*
(1924-2024)
GA")</f>
        <v>*Jimmy Carter*
(1924-2024)
GA</v>
      </c>
      <c r="D40" s="13">
        <f>IFERROR(__xludf.DUMMYFUNCTION("""COMPUTED_VALUE"""),28145.0)</f>
        <v>28145</v>
      </c>
      <c r="E40" s="13">
        <f>IFERROR(__xludf.DUMMYFUNCTION("""COMPUTED_VALUE"""),29606.0)</f>
        <v>29606</v>
      </c>
      <c r="G40" t="str">
        <f>IFERROR(__xludf.DUMMYFUNCTION("""COMPUTED_VALUE"""),"Démocrate")</f>
        <v>Démocrate</v>
      </c>
      <c r="H40" t="str">
        <f>IFERROR(__xludf.DUMMYFUNCTION("""COMPUTED_VALUE"""),"[am]")</f>
        <v>[am]</v>
      </c>
    </row>
    <row r="41">
      <c r="A41">
        <f>IFERROR(__xludf.DUMMYFUNCTION("""COMPUTED_VALUE"""),40.0)</f>
        <v>40</v>
      </c>
      <c r="B41" t="str">
        <f>IFERROR(__xludf.DUMMYFUNCTION("""COMPUTED_VALUE"""),"*Ronald Reagan*
(1911-2004)
CA")</f>
        <v>*Ronald Reagan*
(1911-2004)
CA</v>
      </c>
      <c r="D41" s="13">
        <f>IFERROR(__xludf.DUMMYFUNCTION("""COMPUTED_VALUE"""),29606.0)</f>
        <v>29606</v>
      </c>
      <c r="E41" s="13">
        <f>IFERROR(__xludf.DUMMYFUNCTION("""COMPUTED_VALUE"""),32528.0)</f>
        <v>32528</v>
      </c>
      <c r="G41" t="str">
        <f>IFERROR(__xludf.DUMMYFUNCTION("""COMPUTED_VALUE"""),"Républicain")</f>
        <v>Républicain</v>
      </c>
      <c r="H41" t="str">
        <f>IFERROR(__xludf.DUMMYFUNCTION("""COMPUTED_VALUE"""),"[an]")</f>
        <v>[an]</v>
      </c>
    </row>
    <row r="42">
      <c r="A42">
        <f>IFERROR(__xludf.DUMMYFUNCTION("""COMPUTED_VALUE"""),41.0)</f>
        <v>41</v>
      </c>
      <c r="B42" t="str">
        <f>IFERROR(__xludf.DUMMYFUNCTION("""COMPUTED_VALUE"""),"*George H. W. Bush*
(1924-2018)
TX")</f>
        <v>*George H. W. Bush*
(1924-2018)
TX</v>
      </c>
      <c r="D42" s="13">
        <f>IFERROR(__xludf.DUMMYFUNCTION("""COMPUTED_VALUE"""),32528.0)</f>
        <v>32528</v>
      </c>
      <c r="E42" s="13">
        <f>IFERROR(__xludf.DUMMYFUNCTION("""COMPUTED_VALUE"""),33989.0)</f>
        <v>33989</v>
      </c>
      <c r="G42" t="str">
        <f>IFERROR(__xludf.DUMMYFUNCTION("""COMPUTED_VALUE"""),"Républicain")</f>
        <v>Républicain</v>
      </c>
      <c r="H42" t="str">
        <f>IFERROR(__xludf.DUMMYFUNCTION("""COMPUTED_VALUE"""),"[ao]")</f>
        <v>[ao]</v>
      </c>
    </row>
    <row r="43">
      <c r="A43">
        <f>IFERROR(__xludf.DUMMYFUNCTION("""COMPUTED_VALUE"""),42.0)</f>
        <v>42</v>
      </c>
      <c r="B43" t="str">
        <f>IFERROR(__xludf.DUMMYFUNCTION("""COMPUTED_VALUE"""),"*Bill Clinton*
(né en 1946)
AR")</f>
        <v>*Bill Clinton*
(né en 1946)
AR</v>
      </c>
      <c r="D43" s="13">
        <f>IFERROR(__xludf.DUMMYFUNCTION("""COMPUTED_VALUE"""),33989.0)</f>
        <v>33989</v>
      </c>
      <c r="E43" s="13">
        <f>IFERROR(__xludf.DUMMYFUNCTION("""COMPUTED_VALUE"""),36911.0)</f>
        <v>36911</v>
      </c>
      <c r="G43" t="str">
        <f>IFERROR(__xludf.DUMMYFUNCTION("""COMPUTED_VALUE"""),"Démocrate")</f>
        <v>Démocrate</v>
      </c>
      <c r="H43" t="str">
        <f>IFERROR(__xludf.DUMMYFUNCTION("""COMPUTED_VALUE"""),"[ap]")</f>
        <v>[ap]</v>
      </c>
    </row>
    <row r="44">
      <c r="A44">
        <f>IFERROR(__xludf.DUMMYFUNCTION("""COMPUTED_VALUE"""),43.0)</f>
        <v>43</v>
      </c>
      <c r="B44" t="str">
        <f>IFERROR(__xludf.DUMMYFUNCTION("""COMPUTED_VALUE"""),"*George W. Bush*
(né en 1946)
TX")</f>
        <v>*George W. Bush*
(né en 1946)
TX</v>
      </c>
      <c r="D44" s="13">
        <f>IFERROR(__xludf.DUMMYFUNCTION("""COMPUTED_VALUE"""),36911.0)</f>
        <v>36911</v>
      </c>
      <c r="E44" s="13">
        <f>IFERROR(__xludf.DUMMYFUNCTION("""COMPUTED_VALUE"""),39833.0)</f>
        <v>39833</v>
      </c>
      <c r="G44" t="str">
        <f>IFERROR(__xludf.DUMMYFUNCTION("""COMPUTED_VALUE"""),"Républicain")</f>
        <v>Républicain</v>
      </c>
      <c r="H44" t="str">
        <f>IFERROR(__xludf.DUMMYFUNCTION("""COMPUTED_VALUE"""),"[aq]")</f>
        <v>[aq]</v>
      </c>
    </row>
    <row r="45">
      <c r="A45">
        <f>IFERROR(__xludf.DUMMYFUNCTION("""COMPUTED_VALUE"""),44.0)</f>
        <v>44</v>
      </c>
      <c r="B45" t="str">
        <f>IFERROR(__xludf.DUMMYFUNCTION("""COMPUTED_VALUE"""),"*Barack Obama*
(né en 1961)
IL")</f>
        <v>*Barack Obama*
(né en 1961)
IL</v>
      </c>
      <c r="D45" s="13">
        <f>IFERROR(__xludf.DUMMYFUNCTION("""COMPUTED_VALUE"""),39833.0)</f>
        <v>39833</v>
      </c>
      <c r="E45" s="13">
        <f>IFERROR(__xludf.DUMMYFUNCTION("""COMPUTED_VALUE"""),42755.0)</f>
        <v>42755</v>
      </c>
      <c r="G45" t="str">
        <f>IFERROR(__xludf.DUMMYFUNCTION("""COMPUTED_VALUE"""),"Démocrate")</f>
        <v>Démocrate</v>
      </c>
      <c r="H45" t="str">
        <f>IFERROR(__xludf.DUMMYFUNCTION("""COMPUTED_VALUE"""),"[ar]")</f>
        <v>[ar]</v>
      </c>
    </row>
    <row r="46">
      <c r="A46">
        <f>IFERROR(__xludf.DUMMYFUNCTION("""COMPUTED_VALUE"""),45.0)</f>
        <v>45</v>
      </c>
      <c r="B46" t="str">
        <f>IFERROR(__xludf.DUMMYFUNCTION("""COMPUTED_VALUE"""),"*Donald Trump*
(né en 1946)
NY
*1re fois*")</f>
        <v>*Donald Trump*
(né en 1946)
NY
*1re fois*</v>
      </c>
      <c r="D46" s="13">
        <f>IFERROR(__xludf.DUMMYFUNCTION("""COMPUTED_VALUE"""),42755.0)</f>
        <v>42755</v>
      </c>
      <c r="E46" s="13">
        <f>IFERROR(__xludf.DUMMYFUNCTION("""COMPUTED_VALUE"""),44216.0)</f>
        <v>44216</v>
      </c>
      <c r="G46" t="str">
        <f>IFERROR(__xludf.DUMMYFUNCTION("""COMPUTED_VALUE"""),"Républicain")</f>
        <v>Républicain</v>
      </c>
      <c r="H46" t="str">
        <f>IFERROR(__xludf.DUMMYFUNCTION("""COMPUTED_VALUE"""),"[as]")</f>
        <v>[as]</v>
      </c>
    </row>
    <row r="47">
      <c r="A47">
        <f>IFERROR(__xludf.DUMMYFUNCTION("""COMPUTED_VALUE"""),46.0)</f>
        <v>46</v>
      </c>
      <c r="B47" t="str">
        <f>IFERROR(__xludf.DUMMYFUNCTION("""COMPUTED_VALUE"""),"*Joe Biden*
(né en 1942)
PA")</f>
        <v>*Joe Biden*
(né en 1942)
PA</v>
      </c>
      <c r="D47" s="13">
        <f>IFERROR(__xludf.DUMMYFUNCTION("""COMPUTED_VALUE"""),44216.0)</f>
        <v>44216</v>
      </c>
      <c r="E47" s="13">
        <f>IFERROR(__xludf.DUMMYFUNCTION("""COMPUTED_VALUE"""),45677.0)</f>
        <v>45677</v>
      </c>
      <c r="G47" t="str">
        <f>IFERROR(__xludf.DUMMYFUNCTION("""COMPUTED_VALUE"""),"Démocrate")</f>
        <v>Démocrate</v>
      </c>
      <c r="H47" t="str">
        <f>IFERROR(__xludf.DUMMYFUNCTION("""COMPUTED_VALUE"""),"[at]")</f>
        <v>[at]</v>
      </c>
    </row>
    <row r="48">
      <c r="A48">
        <f>IFERROR(__xludf.DUMMYFUNCTION("""COMPUTED_VALUE"""),47.0)</f>
        <v>47</v>
      </c>
      <c r="B48" t="str">
        <f>IFERROR(__xludf.DUMMYFUNCTION("""COMPUTED_VALUE"""),"*Donald Trump*
(né en 1946)
NY
*2de fois*")</f>
        <v>*Donald Trump*
(né en 1946)
NY
*2de fois*</v>
      </c>
      <c r="D48" s="13">
        <f>IFERROR(__xludf.DUMMYFUNCTION("""COMPUTED_VALUE"""),45677.0)</f>
        <v>45677</v>
      </c>
      <c r="E48" t="str">
        <f>IFERROR(__xludf.DUMMYFUNCTION("""COMPUTED_VALUE"""),"*En cours*")</f>
        <v>*En cours*</v>
      </c>
      <c r="G48" t="str">
        <f>IFERROR(__xludf.DUMMYFUNCTION("""COMPUTED_VALUE"""),"Républicain")</f>
        <v>Républicain</v>
      </c>
      <c r="H48" t="str">
        <f>IFERROR(__xludf.DUMMYFUNCTION("""COMPUTED_VALUE"""),"[au]")</f>
        <v>[au]</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IFERROR(__xludf.DUMMYFUNCTION("IMPORTHTML(""https://fr.wikipedia.org/wiki/Liste_des_pr%C3%A9sidents_des_%C3%89tats-Unis"",""table"")"),"N°")</f>
        <v>N°</v>
      </c>
      <c r="B1" t="str">
        <f>IFERROR(__xludf.DUMMYFUNCTION("""COMPUTED_VALUE"""),"Titulaire
(Naissance-Mort)
État d'origine")</f>
        <v>Titulaire
(Naissance-Mort)
État d'origine</v>
      </c>
      <c r="D1" t="str">
        <f>IFERROR(__xludf.DUMMYFUNCTION("""COMPUTED_VALUE"""),"Début de mandat")</f>
        <v>Début de mandat</v>
      </c>
      <c r="E1" t="str">
        <f>IFERROR(__xludf.DUMMYFUNCTION("""COMPUTED_VALUE"""),"Fin de mandat")</f>
        <v>Fin de mandat</v>
      </c>
      <c r="F1" t="str">
        <f>IFERROR(__xludf.DUMMYFUNCTION("""COMPUTED_VALUE"""),"Parti")</f>
        <v>Parti</v>
      </c>
      <c r="H1" t="str">
        <f>IFERROR(__xludf.DUMMYFUNCTION("""COMPUTED_VALUE"""),"Notes")</f>
        <v>Notes</v>
      </c>
    </row>
    <row r="2">
      <c r="A2">
        <f>IFERROR(__xludf.DUMMYFUNCTION("""COMPUTED_VALUE"""),1.0)</f>
        <v>1</v>
      </c>
      <c r="B2" t="str">
        <f>IFERROR(__xludf.DUMMYFUNCTION("""COMPUTED_VALUE"""),"*George Washington*
(1732-1799)
VA")</f>
        <v>*George Washington*
(1732-1799)
VA</v>
      </c>
      <c r="D2" s="13">
        <f>IFERROR(__xludf.DUMMYFUNCTION("""COMPUTED_VALUE"""),-40420.0)</f>
        <v>-40420</v>
      </c>
      <c r="E2" s="13">
        <f>IFERROR(__xludf.DUMMYFUNCTION("""COMPUTED_VALUE"""),-37555.0)</f>
        <v>-37555</v>
      </c>
      <c r="G2" t="str">
        <f>IFERROR(__xludf.DUMMYFUNCTION("""COMPUTED_VALUE"""),"Indépendant")</f>
        <v>Indépendant</v>
      </c>
      <c r="H2" t="str">
        <f>IFERROR(__xludf.DUMMYFUNCTION("""COMPUTED_VALUE"""),"[a]")</f>
        <v>[a]</v>
      </c>
    </row>
    <row r="3">
      <c r="A3">
        <f>IFERROR(__xludf.DUMMYFUNCTION("""COMPUTED_VALUE"""),2.0)</f>
        <v>2</v>
      </c>
      <c r="B3" t="str">
        <f>IFERROR(__xludf.DUMMYFUNCTION("""COMPUTED_VALUE"""),"*John Adams*
(1735-1826)
MA")</f>
        <v>*John Adams*
(1735-1826)
MA</v>
      </c>
      <c r="D3" s="13">
        <f>IFERROR(__xludf.DUMMYFUNCTION("""COMPUTED_VALUE"""),-37555.0)</f>
        <v>-37555</v>
      </c>
      <c r="E3" s="13">
        <f>IFERROR(__xludf.DUMMYFUNCTION("""COMPUTED_VALUE"""),-36095.0)</f>
        <v>-36095</v>
      </c>
      <c r="G3" t="str">
        <f>IFERROR(__xludf.DUMMYFUNCTION("""COMPUTED_VALUE"""),"Fédéraliste")</f>
        <v>Fédéraliste</v>
      </c>
      <c r="H3" t="str">
        <f>IFERROR(__xludf.DUMMYFUNCTION("""COMPUTED_VALUE"""),"[b]")</f>
        <v>[b]</v>
      </c>
    </row>
    <row r="4">
      <c r="A4">
        <f>IFERROR(__xludf.DUMMYFUNCTION("""COMPUTED_VALUE"""),3.0)</f>
        <v>3</v>
      </c>
      <c r="B4" t="str">
        <f>IFERROR(__xludf.DUMMYFUNCTION("""COMPUTED_VALUE"""),"*Thomas Jefferson*
(1743-1826)
VA")</f>
        <v>*Thomas Jefferson*
(1743-1826)
VA</v>
      </c>
      <c r="D4" s="13">
        <f>IFERROR(__xludf.DUMMYFUNCTION("""COMPUTED_VALUE"""),-36095.0)</f>
        <v>-36095</v>
      </c>
      <c r="E4" s="13">
        <f>IFERROR(__xludf.DUMMYFUNCTION("""COMPUTED_VALUE"""),-33173.0)</f>
        <v>-33173</v>
      </c>
      <c r="G4" t="str">
        <f>IFERROR(__xludf.DUMMYFUNCTION("""COMPUTED_VALUE"""),"Républicain-
démocrate")</f>
        <v>Républicain-
démocrate</v>
      </c>
      <c r="H4" t="str">
        <f>IFERROR(__xludf.DUMMYFUNCTION("""COMPUTED_VALUE"""),"[c]")</f>
        <v>[c]</v>
      </c>
    </row>
    <row r="5">
      <c r="A5">
        <f>IFERROR(__xludf.DUMMYFUNCTION("""COMPUTED_VALUE"""),4.0)</f>
        <v>4</v>
      </c>
      <c r="B5" t="str">
        <f>IFERROR(__xludf.DUMMYFUNCTION("""COMPUTED_VALUE"""),"*James Madison*
(1751-1836)
VA")</f>
        <v>*James Madison*
(1751-1836)
VA</v>
      </c>
      <c r="D5" s="13">
        <f>IFERROR(__xludf.DUMMYFUNCTION("""COMPUTED_VALUE"""),-33173.0)</f>
        <v>-33173</v>
      </c>
      <c r="E5" s="13">
        <f>IFERROR(__xludf.DUMMYFUNCTION("""COMPUTED_VALUE"""),-30251.0)</f>
        <v>-30251</v>
      </c>
      <c r="G5" t="str">
        <f>IFERROR(__xludf.DUMMYFUNCTION("""COMPUTED_VALUE"""),"Républicain-
démocrate")</f>
        <v>Républicain-
démocrate</v>
      </c>
      <c r="H5" t="str">
        <f>IFERROR(__xludf.DUMMYFUNCTION("""COMPUTED_VALUE"""),"[d]")</f>
        <v>[d]</v>
      </c>
    </row>
    <row r="6">
      <c r="A6">
        <f>IFERROR(__xludf.DUMMYFUNCTION("""COMPUTED_VALUE"""),5.0)</f>
        <v>5</v>
      </c>
      <c r="B6" t="str">
        <f>IFERROR(__xludf.DUMMYFUNCTION("""COMPUTED_VALUE"""),"*James Monroe*
(1758-1831)
VA")</f>
        <v>*James Monroe*
(1758-1831)
VA</v>
      </c>
      <c r="D6" s="13">
        <f>IFERROR(__xludf.DUMMYFUNCTION("""COMPUTED_VALUE"""),-30251.0)</f>
        <v>-30251</v>
      </c>
      <c r="E6" s="13">
        <f>IFERROR(__xludf.DUMMYFUNCTION("""COMPUTED_VALUE"""),-27329.0)</f>
        <v>-27329</v>
      </c>
      <c r="G6" t="str">
        <f>IFERROR(__xludf.DUMMYFUNCTION("""COMPUTED_VALUE"""),"Républicain-
démocrate")</f>
        <v>Républicain-
démocrate</v>
      </c>
      <c r="H6" t="str">
        <f>IFERROR(__xludf.DUMMYFUNCTION("""COMPUTED_VALUE"""),"[e]")</f>
        <v>[e]</v>
      </c>
    </row>
    <row r="7">
      <c r="A7">
        <f>IFERROR(__xludf.DUMMYFUNCTION("""COMPUTED_VALUE"""),6.0)</f>
        <v>6</v>
      </c>
      <c r="B7" t="str">
        <f>IFERROR(__xludf.DUMMYFUNCTION("""COMPUTED_VALUE"""),"*John Quincy Adams*
(1767-1848)
MA")</f>
        <v>*John Quincy Adams*
(1767-1848)
MA</v>
      </c>
      <c r="D7" s="13">
        <f>IFERROR(__xludf.DUMMYFUNCTION("""COMPUTED_VALUE"""),-27329.0)</f>
        <v>-27329</v>
      </c>
      <c r="E7" s="13">
        <f>IFERROR(__xludf.DUMMYFUNCTION("""COMPUTED_VALUE"""),-25868.0)</f>
        <v>-25868</v>
      </c>
      <c r="G7" t="str">
        <f>IFERROR(__xludf.DUMMYFUNCTION("""COMPUTED_VALUE"""),"Républicain-
démocrate
------------------------------
National-républicain")</f>
        <v>Républicain-
démocrate
------------------------------
National-républicain</v>
      </c>
      <c r="H7" t="str">
        <f>IFERROR(__xludf.DUMMYFUNCTION("""COMPUTED_VALUE"""),"[f]")</f>
        <v>[f]</v>
      </c>
    </row>
    <row r="8">
      <c r="A8">
        <f>IFERROR(__xludf.DUMMYFUNCTION("""COMPUTED_VALUE"""),7.0)</f>
        <v>7</v>
      </c>
      <c r="B8" t="str">
        <f>IFERROR(__xludf.DUMMYFUNCTION("""COMPUTED_VALUE"""),"*Andrew Jackson*
(1767-1845)
TN")</f>
        <v>*Andrew Jackson*
(1767-1845)
TN</v>
      </c>
      <c r="D8" s="13">
        <f>IFERROR(__xludf.DUMMYFUNCTION("""COMPUTED_VALUE"""),-25868.0)</f>
        <v>-25868</v>
      </c>
      <c r="E8" s="13">
        <f>IFERROR(__xludf.DUMMYFUNCTION("""COMPUTED_VALUE"""),-22946.0)</f>
        <v>-22946</v>
      </c>
      <c r="G8" t="str">
        <f>IFERROR(__xludf.DUMMYFUNCTION("""COMPUTED_VALUE"""),"Démocrate")</f>
        <v>Démocrate</v>
      </c>
      <c r="H8" t="str">
        <f>IFERROR(__xludf.DUMMYFUNCTION("""COMPUTED_VALUE"""),"[g]")</f>
        <v>[g]</v>
      </c>
    </row>
    <row r="9">
      <c r="A9">
        <f>IFERROR(__xludf.DUMMYFUNCTION("""COMPUTED_VALUE"""),8.0)</f>
        <v>8</v>
      </c>
      <c r="B9" t="str">
        <f>IFERROR(__xludf.DUMMYFUNCTION("""COMPUTED_VALUE"""),"*Martin Van Buren*
(1782-1862)
NY")</f>
        <v>*Martin Van Buren*
(1782-1862)
NY</v>
      </c>
      <c r="D9" s="13">
        <f>IFERROR(__xludf.DUMMYFUNCTION("""COMPUTED_VALUE"""),-22946.0)</f>
        <v>-22946</v>
      </c>
      <c r="E9" s="13">
        <f>IFERROR(__xludf.DUMMYFUNCTION("""COMPUTED_VALUE"""),-21485.0)</f>
        <v>-21485</v>
      </c>
      <c r="G9" t="str">
        <f>IFERROR(__xludf.DUMMYFUNCTION("""COMPUTED_VALUE"""),"Démocrate")</f>
        <v>Démocrate</v>
      </c>
      <c r="H9" t="str">
        <f>IFERROR(__xludf.DUMMYFUNCTION("""COMPUTED_VALUE"""),"[h]")</f>
        <v>[h]</v>
      </c>
    </row>
    <row r="10">
      <c r="A10">
        <f>IFERROR(__xludf.DUMMYFUNCTION("""COMPUTED_VALUE"""),9.0)</f>
        <v>9</v>
      </c>
      <c r="B10" t="str">
        <f>IFERROR(__xludf.DUMMYFUNCTION("""COMPUTED_VALUE"""),"*William Henry Harrison*
(1773-1841)
OH")</f>
        <v>*William Henry Harrison*
(1773-1841)
OH</v>
      </c>
      <c r="D10" s="13">
        <f>IFERROR(__xludf.DUMMYFUNCTION("""COMPUTED_VALUE"""),-21485.0)</f>
        <v>-21485</v>
      </c>
      <c r="E10" s="13">
        <f>IFERROR(__xludf.DUMMYFUNCTION("""COMPUTED_VALUE"""),-21454.0)</f>
        <v>-21454</v>
      </c>
      <c r="G10" t="str">
        <f>IFERROR(__xludf.DUMMYFUNCTION("""COMPUTED_VALUE"""),"Whig")</f>
        <v>Whig</v>
      </c>
      <c r="H10" t="str">
        <f>IFERROR(__xludf.DUMMYFUNCTION("""COMPUTED_VALUE"""),"[i]")</f>
        <v>[i]</v>
      </c>
    </row>
    <row r="11">
      <c r="A11">
        <f>IFERROR(__xludf.DUMMYFUNCTION("""COMPUTED_VALUE"""),10.0)</f>
        <v>10</v>
      </c>
      <c r="B11" t="str">
        <f>IFERROR(__xludf.DUMMYFUNCTION("""COMPUTED_VALUE"""),"*John Tyler*
(1790-1862)
VA")</f>
        <v>*John Tyler*
(1790-1862)
VA</v>
      </c>
      <c r="D11" s="13">
        <f>IFERROR(__xludf.DUMMYFUNCTION("""COMPUTED_VALUE"""),-21454.0)</f>
        <v>-21454</v>
      </c>
      <c r="E11" s="13">
        <f>IFERROR(__xludf.DUMMYFUNCTION("""COMPUTED_VALUE"""),-20024.0)</f>
        <v>-20024</v>
      </c>
      <c r="G11" t="str">
        <f>IFERROR(__xludf.DUMMYFUNCTION("""COMPUTED_VALUE"""),"Indépendant")</f>
        <v>Indépendant</v>
      </c>
      <c r="H11" t="str">
        <f>IFERROR(__xludf.DUMMYFUNCTION("""COMPUTED_VALUE"""),"[j]")</f>
        <v>[j]</v>
      </c>
    </row>
    <row r="12">
      <c r="A12">
        <f>IFERROR(__xludf.DUMMYFUNCTION("""COMPUTED_VALUE"""),11.0)</f>
        <v>11</v>
      </c>
      <c r="B12" t="str">
        <f>IFERROR(__xludf.DUMMYFUNCTION("""COMPUTED_VALUE"""),"*James K. Polk*
(1795-1849)
TN")</f>
        <v>*James K. Polk*
(1795-1849)
TN</v>
      </c>
      <c r="D12" s="13">
        <f>IFERROR(__xludf.DUMMYFUNCTION("""COMPUTED_VALUE"""),-20024.0)</f>
        <v>-20024</v>
      </c>
      <c r="E12" s="13">
        <f>IFERROR(__xludf.DUMMYFUNCTION("""COMPUTED_VALUE"""),-18563.0)</f>
        <v>-18563</v>
      </c>
      <c r="G12" t="str">
        <f>IFERROR(__xludf.DUMMYFUNCTION("""COMPUTED_VALUE"""),"Démocrate")</f>
        <v>Démocrate</v>
      </c>
      <c r="H12" t="str">
        <f>IFERROR(__xludf.DUMMYFUNCTION("""COMPUTED_VALUE"""),"[k]")</f>
        <v>[k]</v>
      </c>
    </row>
    <row r="13">
      <c r="A13">
        <f>IFERROR(__xludf.DUMMYFUNCTION("""COMPUTED_VALUE"""),12.0)</f>
        <v>12</v>
      </c>
      <c r="B13" t="str">
        <f>IFERROR(__xludf.DUMMYFUNCTION("""COMPUTED_VALUE"""),"*Zachary Taylor*
(1784-1850)
KY")</f>
        <v>*Zachary Taylor*
(1784-1850)
KY</v>
      </c>
      <c r="D13" s="13">
        <f>IFERROR(__xludf.DUMMYFUNCTION("""COMPUTED_VALUE"""),-18563.0)</f>
        <v>-18563</v>
      </c>
      <c r="E13" s="13">
        <f>IFERROR(__xludf.DUMMYFUNCTION("""COMPUTED_VALUE"""),-18071.0)</f>
        <v>-18071</v>
      </c>
      <c r="G13" t="str">
        <f>IFERROR(__xludf.DUMMYFUNCTION("""COMPUTED_VALUE"""),"Whig")</f>
        <v>Whig</v>
      </c>
      <c r="H13" t="str">
        <f>IFERROR(__xludf.DUMMYFUNCTION("""COMPUTED_VALUE"""),"[l]")</f>
        <v>[l]</v>
      </c>
    </row>
    <row r="14">
      <c r="A14">
        <f>IFERROR(__xludf.DUMMYFUNCTION("""COMPUTED_VALUE"""),13.0)</f>
        <v>13</v>
      </c>
      <c r="B14" t="str">
        <f>IFERROR(__xludf.DUMMYFUNCTION("""COMPUTED_VALUE"""),"*Millard Fillmore*
(1800-1874)
NY")</f>
        <v>*Millard Fillmore*
(1800-1874)
NY</v>
      </c>
      <c r="D14" s="13">
        <f>IFERROR(__xludf.DUMMYFUNCTION("""COMPUTED_VALUE"""),-18071.0)</f>
        <v>-18071</v>
      </c>
      <c r="E14" s="13">
        <f>IFERROR(__xludf.DUMMYFUNCTION("""COMPUTED_VALUE"""),-17102.0)</f>
        <v>-17102</v>
      </c>
      <c r="G14" t="str">
        <f>IFERROR(__xludf.DUMMYFUNCTION("""COMPUTED_VALUE"""),"Whig")</f>
        <v>Whig</v>
      </c>
      <c r="H14" t="str">
        <f>IFERROR(__xludf.DUMMYFUNCTION("""COMPUTED_VALUE"""),"[m]")</f>
        <v>[m]</v>
      </c>
    </row>
    <row r="15">
      <c r="A15">
        <f>IFERROR(__xludf.DUMMYFUNCTION("""COMPUTED_VALUE"""),14.0)</f>
        <v>14</v>
      </c>
      <c r="B15" t="str">
        <f>IFERROR(__xludf.DUMMYFUNCTION("""COMPUTED_VALUE"""),"*Franklin Pierce*
(1804-1869)
NH")</f>
        <v>*Franklin Pierce*
(1804-1869)
NH</v>
      </c>
      <c r="D15" s="13">
        <f>IFERROR(__xludf.DUMMYFUNCTION("""COMPUTED_VALUE"""),-17102.0)</f>
        <v>-17102</v>
      </c>
      <c r="E15" s="13">
        <f>IFERROR(__xludf.DUMMYFUNCTION("""COMPUTED_VALUE"""),-15641.0)</f>
        <v>-15641</v>
      </c>
      <c r="G15" t="str">
        <f>IFERROR(__xludf.DUMMYFUNCTION("""COMPUTED_VALUE"""),"Démocrate")</f>
        <v>Démocrate</v>
      </c>
      <c r="H15" t="str">
        <f>IFERROR(__xludf.DUMMYFUNCTION("""COMPUTED_VALUE"""),"[n]")</f>
        <v>[n]</v>
      </c>
    </row>
    <row r="16">
      <c r="A16">
        <f>IFERROR(__xludf.DUMMYFUNCTION("""COMPUTED_VALUE"""),15.0)</f>
        <v>15</v>
      </c>
      <c r="B16" t="str">
        <f>IFERROR(__xludf.DUMMYFUNCTION("""COMPUTED_VALUE"""),"*James Buchanan*
(1791-1868)
PA")</f>
        <v>*James Buchanan*
(1791-1868)
PA</v>
      </c>
      <c r="D16" s="13">
        <f>IFERROR(__xludf.DUMMYFUNCTION("""COMPUTED_VALUE"""),-15641.0)</f>
        <v>-15641</v>
      </c>
      <c r="E16" s="13">
        <f>IFERROR(__xludf.DUMMYFUNCTION("""COMPUTED_VALUE"""),-14180.0)</f>
        <v>-14180</v>
      </c>
      <c r="G16" t="str">
        <f>IFERROR(__xludf.DUMMYFUNCTION("""COMPUTED_VALUE"""),"Démocrate")</f>
        <v>Démocrate</v>
      </c>
      <c r="H16" t="str">
        <f>IFERROR(__xludf.DUMMYFUNCTION("""COMPUTED_VALUE"""),"[o]")</f>
        <v>[o]</v>
      </c>
    </row>
    <row r="17">
      <c r="A17">
        <f>IFERROR(__xludf.DUMMYFUNCTION("""COMPUTED_VALUE"""),16.0)</f>
        <v>16</v>
      </c>
      <c r="B17" t="str">
        <f>IFERROR(__xludf.DUMMYFUNCTION("""COMPUTED_VALUE"""),"*Abraham Lincoln*
(1809-1865)
IL")</f>
        <v>*Abraham Lincoln*
(1809-1865)
IL</v>
      </c>
      <c r="D17" s="13">
        <f>IFERROR(__xludf.DUMMYFUNCTION("""COMPUTED_VALUE"""),-14180.0)</f>
        <v>-14180</v>
      </c>
      <c r="E17" s="13">
        <f>IFERROR(__xludf.DUMMYFUNCTION("""COMPUTED_VALUE"""),-12677.0)</f>
        <v>-12677</v>
      </c>
      <c r="G17" t="str">
        <f>IFERROR(__xludf.DUMMYFUNCTION("""COMPUTED_VALUE"""),"Républicain
------------------------------
Union (en)")</f>
        <v>Républicain
------------------------------
Union (en)</v>
      </c>
      <c r="H17" t="str">
        <f>IFERROR(__xludf.DUMMYFUNCTION("""COMPUTED_VALUE"""),"[p]")</f>
        <v>[p]</v>
      </c>
    </row>
    <row r="18">
      <c r="A18">
        <f>IFERROR(__xludf.DUMMYFUNCTION("""COMPUTED_VALUE"""),17.0)</f>
        <v>17</v>
      </c>
      <c r="B18" t="str">
        <f>IFERROR(__xludf.DUMMYFUNCTION("""COMPUTED_VALUE"""),"*Andrew Johnson*
(1808-1875)
TN")</f>
        <v>*Andrew Johnson*
(1808-1875)
TN</v>
      </c>
      <c r="D18" s="13">
        <f>IFERROR(__xludf.DUMMYFUNCTION("""COMPUTED_VALUE"""),-12677.0)</f>
        <v>-12677</v>
      </c>
      <c r="E18" s="13">
        <f>IFERROR(__xludf.DUMMYFUNCTION("""COMPUTED_VALUE"""),-11258.0)</f>
        <v>-11258</v>
      </c>
      <c r="G18" t="str">
        <f>IFERROR(__xludf.DUMMYFUNCTION("""COMPUTED_VALUE"""),"Union (en)
------------------------------
Démocrate")</f>
        <v>Union (en)
------------------------------
Démocrate</v>
      </c>
      <c r="H18" t="str">
        <f>IFERROR(__xludf.DUMMYFUNCTION("""COMPUTED_VALUE"""),"[q]")</f>
        <v>[q]</v>
      </c>
    </row>
    <row r="19">
      <c r="A19">
        <f>IFERROR(__xludf.DUMMYFUNCTION("""COMPUTED_VALUE"""),18.0)</f>
        <v>18</v>
      </c>
      <c r="B19" t="str">
        <f>IFERROR(__xludf.DUMMYFUNCTION("""COMPUTED_VALUE"""),"*Ulysses S. Grant*
(1822-1885)
IL")</f>
        <v>*Ulysses S. Grant*
(1822-1885)
IL</v>
      </c>
      <c r="D19" s="13">
        <f>IFERROR(__xludf.DUMMYFUNCTION("""COMPUTED_VALUE"""),-11258.0)</f>
        <v>-11258</v>
      </c>
      <c r="E19" s="13">
        <f>IFERROR(__xludf.DUMMYFUNCTION("""COMPUTED_VALUE"""),-8336.0)</f>
        <v>-8336</v>
      </c>
      <c r="G19" t="str">
        <f>IFERROR(__xludf.DUMMYFUNCTION("""COMPUTED_VALUE"""),"Républicain")</f>
        <v>Républicain</v>
      </c>
      <c r="H19" t="str">
        <f>IFERROR(__xludf.DUMMYFUNCTION("""COMPUTED_VALUE"""),"[r]")</f>
        <v>[r]</v>
      </c>
    </row>
    <row r="20">
      <c r="A20">
        <f>IFERROR(__xludf.DUMMYFUNCTION("""COMPUTED_VALUE"""),19.0)</f>
        <v>19</v>
      </c>
      <c r="B20" t="str">
        <f>IFERROR(__xludf.DUMMYFUNCTION("""COMPUTED_VALUE"""),"*Rutherford B. Hayes*
(1822-1893)
OH")</f>
        <v>*Rutherford B. Hayes*
(1822-1893)
OH</v>
      </c>
      <c r="D20" s="13">
        <f>IFERROR(__xludf.DUMMYFUNCTION("""COMPUTED_VALUE"""),-8336.0)</f>
        <v>-8336</v>
      </c>
      <c r="E20" s="13">
        <f>IFERROR(__xludf.DUMMYFUNCTION("""COMPUTED_VALUE"""),-6875.0)</f>
        <v>-6875</v>
      </c>
      <c r="G20" t="str">
        <f>IFERROR(__xludf.DUMMYFUNCTION("""COMPUTED_VALUE"""),"Républicain")</f>
        <v>Républicain</v>
      </c>
      <c r="H20" t="str">
        <f>IFERROR(__xludf.DUMMYFUNCTION("""COMPUTED_VALUE"""),"[s]")</f>
        <v>[s]</v>
      </c>
    </row>
    <row r="21">
      <c r="A21">
        <f>IFERROR(__xludf.DUMMYFUNCTION("""COMPUTED_VALUE"""),20.0)</f>
        <v>20</v>
      </c>
      <c r="B21" t="str">
        <f>IFERROR(__xludf.DUMMYFUNCTION("""COMPUTED_VALUE"""),"*James A. Garfield*
(1831-1881)
OH")</f>
        <v>*James A. Garfield*
(1831-1881)
OH</v>
      </c>
      <c r="D21" s="13">
        <f>IFERROR(__xludf.DUMMYFUNCTION("""COMPUTED_VALUE"""),-6875.0)</f>
        <v>-6875</v>
      </c>
      <c r="E21" s="13">
        <f>IFERROR(__xludf.DUMMYFUNCTION("""COMPUTED_VALUE"""),-6676.0)</f>
        <v>-6676</v>
      </c>
      <c r="G21" t="str">
        <f>IFERROR(__xludf.DUMMYFUNCTION("""COMPUTED_VALUE"""),"Républicain")</f>
        <v>Républicain</v>
      </c>
      <c r="H21" t="str">
        <f>IFERROR(__xludf.DUMMYFUNCTION("""COMPUTED_VALUE"""),"[t]")</f>
        <v>[t]</v>
      </c>
    </row>
    <row r="22">
      <c r="A22">
        <f>IFERROR(__xludf.DUMMYFUNCTION("""COMPUTED_VALUE"""),21.0)</f>
        <v>21</v>
      </c>
      <c r="B22" t="str">
        <f>IFERROR(__xludf.DUMMYFUNCTION("""COMPUTED_VALUE"""),"*Chester A. Arthur*
(1829-1886)
NY")</f>
        <v>*Chester A. Arthur*
(1829-1886)
NY</v>
      </c>
      <c r="D22" s="13">
        <f>IFERROR(__xludf.DUMMYFUNCTION("""COMPUTED_VALUE"""),-6676.0)</f>
        <v>-6676</v>
      </c>
      <c r="E22" s="13">
        <f>IFERROR(__xludf.DUMMYFUNCTION("""COMPUTED_VALUE"""),-5414.0)</f>
        <v>-5414</v>
      </c>
      <c r="G22" t="str">
        <f>IFERROR(__xludf.DUMMYFUNCTION("""COMPUTED_VALUE"""),"Républicain")</f>
        <v>Républicain</v>
      </c>
      <c r="H22" t="str">
        <f>IFERROR(__xludf.DUMMYFUNCTION("""COMPUTED_VALUE"""),"[u]")</f>
        <v>[u]</v>
      </c>
    </row>
    <row r="23">
      <c r="A23">
        <f>IFERROR(__xludf.DUMMYFUNCTION("""COMPUTED_VALUE"""),22.0)</f>
        <v>22</v>
      </c>
      <c r="B23" t="str">
        <f>IFERROR(__xludf.DUMMYFUNCTION("""COMPUTED_VALUE"""),"*Grover Cleveland*
(1837-1908)
NY
*1re fois*")</f>
        <v>*Grover Cleveland*
(1837-1908)
NY
*1re fois*</v>
      </c>
      <c r="D23" s="13">
        <f>IFERROR(__xludf.DUMMYFUNCTION("""COMPUTED_VALUE"""),-5414.0)</f>
        <v>-5414</v>
      </c>
      <c r="E23" s="13">
        <f>IFERROR(__xludf.DUMMYFUNCTION("""COMPUTED_VALUE"""),-3953.0)</f>
        <v>-3953</v>
      </c>
      <c r="G23" t="str">
        <f>IFERROR(__xludf.DUMMYFUNCTION("""COMPUTED_VALUE"""),"Démocrate")</f>
        <v>Démocrate</v>
      </c>
      <c r="H23" t="str">
        <f>IFERROR(__xludf.DUMMYFUNCTION("""COMPUTED_VALUE"""),"[v]")</f>
        <v>[v]</v>
      </c>
    </row>
    <row r="24">
      <c r="A24">
        <f>IFERROR(__xludf.DUMMYFUNCTION("""COMPUTED_VALUE"""),23.0)</f>
        <v>23</v>
      </c>
      <c r="B24" t="str">
        <f>IFERROR(__xludf.DUMMYFUNCTION("""COMPUTED_VALUE"""),"*Benjamin Harrison*
(1833-1901)
IN")</f>
        <v>*Benjamin Harrison*
(1833-1901)
IN</v>
      </c>
      <c r="D24" s="13">
        <f>IFERROR(__xludf.DUMMYFUNCTION("""COMPUTED_VALUE"""),-3953.0)</f>
        <v>-3953</v>
      </c>
      <c r="E24" s="13">
        <f>IFERROR(__xludf.DUMMYFUNCTION("""COMPUTED_VALUE"""),-2492.0)</f>
        <v>-2492</v>
      </c>
      <c r="G24" t="str">
        <f>IFERROR(__xludf.DUMMYFUNCTION("""COMPUTED_VALUE"""),"Républicain")</f>
        <v>Républicain</v>
      </c>
      <c r="H24" t="str">
        <f>IFERROR(__xludf.DUMMYFUNCTION("""COMPUTED_VALUE"""),"[w]")</f>
        <v>[w]</v>
      </c>
    </row>
    <row r="25">
      <c r="A25">
        <f>IFERROR(__xludf.DUMMYFUNCTION("""COMPUTED_VALUE"""),24.0)</f>
        <v>24</v>
      </c>
      <c r="B25" t="str">
        <f>IFERROR(__xludf.DUMMYFUNCTION("""COMPUTED_VALUE"""),"*Grover Cleveland*
(1837-1908)
NY
*2de fois*")</f>
        <v>*Grover Cleveland*
(1837-1908)
NY
*2de fois*</v>
      </c>
      <c r="D25" s="13">
        <f>IFERROR(__xludf.DUMMYFUNCTION("""COMPUTED_VALUE"""),-2492.0)</f>
        <v>-2492</v>
      </c>
      <c r="E25" s="13">
        <f>IFERROR(__xludf.DUMMYFUNCTION("""COMPUTED_VALUE"""),-1031.0)</f>
        <v>-1031</v>
      </c>
      <c r="G25" t="str">
        <f>IFERROR(__xludf.DUMMYFUNCTION("""COMPUTED_VALUE"""),"Démocrate")</f>
        <v>Démocrate</v>
      </c>
      <c r="H25" t="str">
        <f>IFERROR(__xludf.DUMMYFUNCTION("""COMPUTED_VALUE"""),"[x]")</f>
        <v>[x]</v>
      </c>
    </row>
    <row r="26">
      <c r="A26">
        <f>IFERROR(__xludf.DUMMYFUNCTION("""COMPUTED_VALUE"""),25.0)</f>
        <v>25</v>
      </c>
      <c r="B26" t="str">
        <f>IFERROR(__xludf.DUMMYFUNCTION("""COMPUTED_VALUE"""),"*William McKinley*
(1843-1901)
OH")</f>
        <v>*William McKinley*
(1843-1901)
OH</v>
      </c>
      <c r="D26" s="13">
        <f>IFERROR(__xludf.DUMMYFUNCTION("""COMPUTED_VALUE"""),-1031.0)</f>
        <v>-1031</v>
      </c>
      <c r="E26" s="13">
        <f>IFERROR(__xludf.DUMMYFUNCTION("""COMPUTED_VALUE"""),623.0)</f>
        <v>623</v>
      </c>
      <c r="G26" t="str">
        <f>IFERROR(__xludf.DUMMYFUNCTION("""COMPUTED_VALUE"""),"Républicain")</f>
        <v>Républicain</v>
      </c>
      <c r="H26" t="str">
        <f>IFERROR(__xludf.DUMMYFUNCTION("""COMPUTED_VALUE"""),"[y]")</f>
        <v>[y]</v>
      </c>
    </row>
    <row r="27">
      <c r="A27">
        <f>IFERROR(__xludf.DUMMYFUNCTION("""COMPUTED_VALUE"""),26.0)</f>
        <v>26</v>
      </c>
      <c r="B27" t="str">
        <f>IFERROR(__xludf.DUMMYFUNCTION("""COMPUTED_VALUE"""),"*Theodore Roosevelt*
(1858-1919)
NY")</f>
        <v>*Theodore Roosevelt*
(1858-1919)
NY</v>
      </c>
      <c r="D27" s="13">
        <f>IFERROR(__xludf.DUMMYFUNCTION("""COMPUTED_VALUE"""),623.0)</f>
        <v>623</v>
      </c>
      <c r="E27" s="13">
        <f>IFERROR(__xludf.DUMMYFUNCTION("""COMPUTED_VALUE"""),3351.0)</f>
        <v>3351</v>
      </c>
      <c r="G27" t="str">
        <f>IFERROR(__xludf.DUMMYFUNCTION("""COMPUTED_VALUE"""),"Républicain")</f>
        <v>Républicain</v>
      </c>
      <c r="H27" t="str">
        <f>IFERROR(__xludf.DUMMYFUNCTION("""COMPUTED_VALUE"""),"[z]")</f>
        <v>[z]</v>
      </c>
    </row>
    <row r="28">
      <c r="A28">
        <f>IFERROR(__xludf.DUMMYFUNCTION("""COMPUTED_VALUE"""),27.0)</f>
        <v>27</v>
      </c>
      <c r="B28" t="str">
        <f>IFERROR(__xludf.DUMMYFUNCTION("""COMPUTED_VALUE"""),"*William H. Taft*
(1857-1930)
OH")</f>
        <v>*William H. Taft*
(1857-1930)
OH</v>
      </c>
      <c r="D28" s="13">
        <f>IFERROR(__xludf.DUMMYFUNCTION("""COMPUTED_VALUE"""),3351.0)</f>
        <v>3351</v>
      </c>
      <c r="E28" s="13">
        <f>IFERROR(__xludf.DUMMYFUNCTION("""COMPUTED_VALUE"""),4812.0)</f>
        <v>4812</v>
      </c>
      <c r="G28" t="str">
        <f>IFERROR(__xludf.DUMMYFUNCTION("""COMPUTED_VALUE"""),"Républicain")</f>
        <v>Républicain</v>
      </c>
      <c r="H28" t="str">
        <f>IFERROR(__xludf.DUMMYFUNCTION("""COMPUTED_VALUE"""),"[aa]")</f>
        <v>[aa]</v>
      </c>
    </row>
    <row r="29">
      <c r="A29">
        <f>IFERROR(__xludf.DUMMYFUNCTION("""COMPUTED_VALUE"""),28.0)</f>
        <v>28</v>
      </c>
      <c r="B29" t="str">
        <f>IFERROR(__xludf.DUMMYFUNCTION("""COMPUTED_VALUE"""),"*Woodrow Wilson*
(1856-1924)
NJ")</f>
        <v>*Woodrow Wilson*
(1856-1924)
NJ</v>
      </c>
      <c r="D29" s="13">
        <f>IFERROR(__xludf.DUMMYFUNCTION("""COMPUTED_VALUE"""),4812.0)</f>
        <v>4812</v>
      </c>
      <c r="E29" s="13">
        <f>IFERROR(__xludf.DUMMYFUNCTION("""COMPUTED_VALUE"""),7734.0)</f>
        <v>7734</v>
      </c>
      <c r="G29" t="str">
        <f>IFERROR(__xludf.DUMMYFUNCTION("""COMPUTED_VALUE"""),"Démocrate")</f>
        <v>Démocrate</v>
      </c>
      <c r="H29" t="str">
        <f>IFERROR(__xludf.DUMMYFUNCTION("""COMPUTED_VALUE"""),"[ab]")</f>
        <v>[ab]</v>
      </c>
    </row>
    <row r="30">
      <c r="A30">
        <f>IFERROR(__xludf.DUMMYFUNCTION("""COMPUTED_VALUE"""),29.0)</f>
        <v>29</v>
      </c>
      <c r="B30" t="str">
        <f>IFERROR(__xludf.DUMMYFUNCTION("""COMPUTED_VALUE"""),"*Warren G. Harding*
(1865-1923)
OH")</f>
        <v>*Warren G. Harding*
(1865-1923)
OH</v>
      </c>
      <c r="D30" s="13">
        <f>IFERROR(__xludf.DUMMYFUNCTION("""COMPUTED_VALUE"""),7734.0)</f>
        <v>7734</v>
      </c>
      <c r="E30" s="13">
        <f>IFERROR(__xludf.DUMMYFUNCTION("""COMPUTED_VALUE"""),8615.0)</f>
        <v>8615</v>
      </c>
      <c r="G30" t="str">
        <f>IFERROR(__xludf.DUMMYFUNCTION("""COMPUTED_VALUE"""),"Républicain")</f>
        <v>Républicain</v>
      </c>
      <c r="H30" t="str">
        <f>IFERROR(__xludf.DUMMYFUNCTION("""COMPUTED_VALUE"""),"[ac]")</f>
        <v>[ac]</v>
      </c>
    </row>
    <row r="31">
      <c r="A31">
        <f>IFERROR(__xludf.DUMMYFUNCTION("""COMPUTED_VALUE"""),30.0)</f>
        <v>30</v>
      </c>
      <c r="B31" t="str">
        <f>IFERROR(__xludf.DUMMYFUNCTION("""COMPUTED_VALUE"""),"*Calvin Coolidge*
(1872-1933)
MA")</f>
        <v>*Calvin Coolidge*
(1872-1933)
MA</v>
      </c>
      <c r="D31" s="13">
        <f>IFERROR(__xludf.DUMMYFUNCTION("""COMPUTED_VALUE"""),8615.0)</f>
        <v>8615</v>
      </c>
      <c r="E31" s="13">
        <f>IFERROR(__xludf.DUMMYFUNCTION("""COMPUTED_VALUE"""),10656.0)</f>
        <v>10656</v>
      </c>
      <c r="G31" t="str">
        <f>IFERROR(__xludf.DUMMYFUNCTION("""COMPUTED_VALUE"""),"Républicain")</f>
        <v>Républicain</v>
      </c>
      <c r="H31" t="str">
        <f>IFERROR(__xludf.DUMMYFUNCTION("""COMPUTED_VALUE"""),"[ad]")</f>
        <v>[ad]</v>
      </c>
    </row>
    <row r="32">
      <c r="A32">
        <f>IFERROR(__xludf.DUMMYFUNCTION("""COMPUTED_VALUE"""),31.0)</f>
        <v>31</v>
      </c>
      <c r="B32" t="str">
        <f>IFERROR(__xludf.DUMMYFUNCTION("""COMPUTED_VALUE"""),"*Herbert Hoover*
(1874-1964)
CA")</f>
        <v>*Herbert Hoover*
(1874-1964)
CA</v>
      </c>
      <c r="D32" s="13">
        <f>IFERROR(__xludf.DUMMYFUNCTION("""COMPUTED_VALUE"""),10656.0)</f>
        <v>10656</v>
      </c>
      <c r="E32" s="13">
        <f>IFERROR(__xludf.DUMMYFUNCTION("""COMPUTED_VALUE"""),12117.0)</f>
        <v>12117</v>
      </c>
      <c r="G32" t="str">
        <f>IFERROR(__xludf.DUMMYFUNCTION("""COMPUTED_VALUE"""),"Républicain")</f>
        <v>Républicain</v>
      </c>
      <c r="H32" t="str">
        <f>IFERROR(__xludf.DUMMYFUNCTION("""COMPUTED_VALUE"""),"[ae]")</f>
        <v>[ae]</v>
      </c>
    </row>
    <row r="33">
      <c r="A33">
        <f>IFERROR(__xludf.DUMMYFUNCTION("""COMPUTED_VALUE"""),32.0)</f>
        <v>32</v>
      </c>
      <c r="B33" t="str">
        <f>IFERROR(__xludf.DUMMYFUNCTION("""COMPUTED_VALUE"""),"*Franklin Delano Roosevelt*
(1882-1945)
NY")</f>
        <v>*Franklin Delano Roosevelt*
(1882-1945)
NY</v>
      </c>
      <c r="D33" s="13">
        <f>IFERROR(__xludf.DUMMYFUNCTION("""COMPUTED_VALUE"""),12117.0)</f>
        <v>12117</v>
      </c>
      <c r="E33" s="13">
        <f>IFERROR(__xludf.DUMMYFUNCTION("""COMPUTED_VALUE"""),16539.0)</f>
        <v>16539</v>
      </c>
      <c r="G33" t="str">
        <f>IFERROR(__xludf.DUMMYFUNCTION("""COMPUTED_VALUE"""),"Démocrate")</f>
        <v>Démocrate</v>
      </c>
      <c r="H33" t="str">
        <f>IFERROR(__xludf.DUMMYFUNCTION("""COMPUTED_VALUE"""),"[af]")</f>
        <v>[af]</v>
      </c>
    </row>
    <row r="34">
      <c r="A34">
        <f>IFERROR(__xludf.DUMMYFUNCTION("""COMPUTED_VALUE"""),33.0)</f>
        <v>33</v>
      </c>
      <c r="B34" t="str">
        <f>IFERROR(__xludf.DUMMYFUNCTION("""COMPUTED_VALUE"""),"*Harry S. Truman*
(1884-1972)
MO")</f>
        <v>*Harry S. Truman*
(1884-1972)
MO</v>
      </c>
      <c r="D34" s="13">
        <f>IFERROR(__xludf.DUMMYFUNCTION("""COMPUTED_VALUE"""),16539.0)</f>
        <v>16539</v>
      </c>
      <c r="E34" s="13">
        <f>IFERROR(__xludf.DUMMYFUNCTION("""COMPUTED_VALUE"""),19379.0)</f>
        <v>19379</v>
      </c>
      <c r="G34" t="str">
        <f>IFERROR(__xludf.DUMMYFUNCTION("""COMPUTED_VALUE"""),"Démocrate")</f>
        <v>Démocrate</v>
      </c>
      <c r="H34" t="str">
        <f>IFERROR(__xludf.DUMMYFUNCTION("""COMPUTED_VALUE"""),"[ag]")</f>
        <v>[ag]</v>
      </c>
    </row>
    <row r="35">
      <c r="A35">
        <f>IFERROR(__xludf.DUMMYFUNCTION("""COMPUTED_VALUE"""),34.0)</f>
        <v>34</v>
      </c>
      <c r="B35" t="str">
        <f>IFERROR(__xludf.DUMMYFUNCTION("""COMPUTED_VALUE"""),"*Dwight D. Eisenhower*
(1890-1969)
KS")</f>
        <v>*Dwight D. Eisenhower*
(1890-1969)
KS</v>
      </c>
      <c r="D35" s="13">
        <f>IFERROR(__xludf.DUMMYFUNCTION("""COMPUTED_VALUE"""),19379.0)</f>
        <v>19379</v>
      </c>
      <c r="E35" s="13">
        <f>IFERROR(__xludf.DUMMYFUNCTION("""COMPUTED_VALUE"""),22301.0)</f>
        <v>22301</v>
      </c>
      <c r="G35" t="str">
        <f>IFERROR(__xludf.DUMMYFUNCTION("""COMPUTED_VALUE"""),"Républicain")</f>
        <v>Républicain</v>
      </c>
      <c r="H35" t="str">
        <f>IFERROR(__xludf.DUMMYFUNCTION("""COMPUTED_VALUE"""),"[ah]")</f>
        <v>[ah]</v>
      </c>
    </row>
    <row r="36">
      <c r="A36">
        <f>IFERROR(__xludf.DUMMYFUNCTION("""COMPUTED_VALUE"""),35.0)</f>
        <v>35</v>
      </c>
      <c r="B36" t="str">
        <f>IFERROR(__xludf.DUMMYFUNCTION("""COMPUTED_VALUE"""),"*John Fitzgerald Kennedy*
(1917-1963)
MA")</f>
        <v>*John Fitzgerald Kennedy*
(1917-1963)
MA</v>
      </c>
      <c r="D36" s="13">
        <f>IFERROR(__xludf.DUMMYFUNCTION("""COMPUTED_VALUE"""),22301.0)</f>
        <v>22301</v>
      </c>
      <c r="E36" s="13">
        <f>IFERROR(__xludf.DUMMYFUNCTION("""COMPUTED_VALUE"""),23337.0)</f>
        <v>23337</v>
      </c>
      <c r="G36" t="str">
        <f>IFERROR(__xludf.DUMMYFUNCTION("""COMPUTED_VALUE"""),"Démocrate")</f>
        <v>Démocrate</v>
      </c>
      <c r="H36" t="str">
        <f>IFERROR(__xludf.DUMMYFUNCTION("""COMPUTED_VALUE"""),"[ai]")</f>
        <v>[ai]</v>
      </c>
    </row>
    <row r="37">
      <c r="A37">
        <f>IFERROR(__xludf.DUMMYFUNCTION("""COMPUTED_VALUE"""),36.0)</f>
        <v>36</v>
      </c>
      <c r="B37" t="str">
        <f>IFERROR(__xludf.DUMMYFUNCTION("""COMPUTED_VALUE"""),"*Lyndon B. Johnson*
(1908-1973)
TX")</f>
        <v>*Lyndon B. Johnson*
(1908-1973)
TX</v>
      </c>
      <c r="D37" s="13">
        <f>IFERROR(__xludf.DUMMYFUNCTION("""COMPUTED_VALUE"""),23337.0)</f>
        <v>23337</v>
      </c>
      <c r="E37" s="13">
        <f>IFERROR(__xludf.DUMMYFUNCTION("""COMPUTED_VALUE"""),25223.0)</f>
        <v>25223</v>
      </c>
      <c r="G37" t="str">
        <f>IFERROR(__xludf.DUMMYFUNCTION("""COMPUTED_VALUE"""),"Démocrate")</f>
        <v>Démocrate</v>
      </c>
      <c r="H37" t="str">
        <f>IFERROR(__xludf.DUMMYFUNCTION("""COMPUTED_VALUE"""),"[aj]")</f>
        <v>[aj]</v>
      </c>
    </row>
    <row r="38">
      <c r="A38">
        <f>IFERROR(__xludf.DUMMYFUNCTION("""COMPUTED_VALUE"""),37.0)</f>
        <v>37</v>
      </c>
      <c r="B38" t="str">
        <f>IFERROR(__xludf.DUMMYFUNCTION("""COMPUTED_VALUE"""),"*Richard Nixon*
(1913-1994)
CA")</f>
        <v>*Richard Nixon*
(1913-1994)
CA</v>
      </c>
      <c r="D38" s="13">
        <f>IFERROR(__xludf.DUMMYFUNCTION("""COMPUTED_VALUE"""),25223.0)</f>
        <v>25223</v>
      </c>
      <c r="E38" s="13">
        <f>IFERROR(__xludf.DUMMYFUNCTION("""COMPUTED_VALUE"""),27250.0)</f>
        <v>27250</v>
      </c>
      <c r="G38" t="str">
        <f>IFERROR(__xludf.DUMMYFUNCTION("""COMPUTED_VALUE"""),"Républicain")</f>
        <v>Républicain</v>
      </c>
      <c r="H38" t="str">
        <f>IFERROR(__xludf.DUMMYFUNCTION("""COMPUTED_VALUE"""),"[ak]")</f>
        <v>[ak]</v>
      </c>
    </row>
    <row r="39">
      <c r="A39">
        <f>IFERROR(__xludf.DUMMYFUNCTION("""COMPUTED_VALUE"""),38.0)</f>
        <v>38</v>
      </c>
      <c r="B39" t="str">
        <f>IFERROR(__xludf.DUMMYFUNCTION("""COMPUTED_VALUE"""),"*Gerald Ford*
(1913-2006)
MI")</f>
        <v>*Gerald Ford*
(1913-2006)
MI</v>
      </c>
      <c r="D39" s="13">
        <f>IFERROR(__xludf.DUMMYFUNCTION("""COMPUTED_VALUE"""),27250.0)</f>
        <v>27250</v>
      </c>
      <c r="E39" s="13">
        <f>IFERROR(__xludf.DUMMYFUNCTION("""COMPUTED_VALUE"""),28145.0)</f>
        <v>28145</v>
      </c>
      <c r="G39" t="str">
        <f>IFERROR(__xludf.DUMMYFUNCTION("""COMPUTED_VALUE"""),"Républicain")</f>
        <v>Républicain</v>
      </c>
      <c r="H39" t="str">
        <f>IFERROR(__xludf.DUMMYFUNCTION("""COMPUTED_VALUE"""),"[al]")</f>
        <v>[al]</v>
      </c>
    </row>
    <row r="40">
      <c r="A40">
        <f>IFERROR(__xludf.DUMMYFUNCTION("""COMPUTED_VALUE"""),39.0)</f>
        <v>39</v>
      </c>
      <c r="B40" t="str">
        <f>IFERROR(__xludf.DUMMYFUNCTION("""COMPUTED_VALUE"""),"*Jimmy Carter*
(1924-2024)
GA")</f>
        <v>*Jimmy Carter*
(1924-2024)
GA</v>
      </c>
      <c r="D40" s="13">
        <f>IFERROR(__xludf.DUMMYFUNCTION("""COMPUTED_VALUE"""),28145.0)</f>
        <v>28145</v>
      </c>
      <c r="E40" s="13">
        <f>IFERROR(__xludf.DUMMYFUNCTION("""COMPUTED_VALUE"""),29606.0)</f>
        <v>29606</v>
      </c>
      <c r="G40" t="str">
        <f>IFERROR(__xludf.DUMMYFUNCTION("""COMPUTED_VALUE"""),"Démocrate")</f>
        <v>Démocrate</v>
      </c>
      <c r="H40" t="str">
        <f>IFERROR(__xludf.DUMMYFUNCTION("""COMPUTED_VALUE"""),"[am]")</f>
        <v>[am]</v>
      </c>
    </row>
    <row r="41">
      <c r="A41">
        <f>IFERROR(__xludf.DUMMYFUNCTION("""COMPUTED_VALUE"""),40.0)</f>
        <v>40</v>
      </c>
      <c r="B41" t="str">
        <f>IFERROR(__xludf.DUMMYFUNCTION("""COMPUTED_VALUE"""),"*Ronald Reagan*
(1911-2004)
CA")</f>
        <v>*Ronald Reagan*
(1911-2004)
CA</v>
      </c>
      <c r="D41" s="13">
        <f>IFERROR(__xludf.DUMMYFUNCTION("""COMPUTED_VALUE"""),29606.0)</f>
        <v>29606</v>
      </c>
      <c r="E41" s="13">
        <f>IFERROR(__xludf.DUMMYFUNCTION("""COMPUTED_VALUE"""),32528.0)</f>
        <v>32528</v>
      </c>
      <c r="G41" t="str">
        <f>IFERROR(__xludf.DUMMYFUNCTION("""COMPUTED_VALUE"""),"Républicain")</f>
        <v>Républicain</v>
      </c>
      <c r="H41" t="str">
        <f>IFERROR(__xludf.DUMMYFUNCTION("""COMPUTED_VALUE"""),"[an]")</f>
        <v>[an]</v>
      </c>
    </row>
    <row r="42">
      <c r="A42">
        <f>IFERROR(__xludf.DUMMYFUNCTION("""COMPUTED_VALUE"""),41.0)</f>
        <v>41</v>
      </c>
      <c r="B42" t="str">
        <f>IFERROR(__xludf.DUMMYFUNCTION("""COMPUTED_VALUE"""),"*George H. W. Bush*
(1924-2018)
TX")</f>
        <v>*George H. W. Bush*
(1924-2018)
TX</v>
      </c>
      <c r="D42" s="13">
        <f>IFERROR(__xludf.DUMMYFUNCTION("""COMPUTED_VALUE"""),32528.0)</f>
        <v>32528</v>
      </c>
      <c r="E42" s="13">
        <f>IFERROR(__xludf.DUMMYFUNCTION("""COMPUTED_VALUE"""),33989.0)</f>
        <v>33989</v>
      </c>
      <c r="G42" t="str">
        <f>IFERROR(__xludf.DUMMYFUNCTION("""COMPUTED_VALUE"""),"Républicain")</f>
        <v>Républicain</v>
      </c>
      <c r="H42" t="str">
        <f>IFERROR(__xludf.DUMMYFUNCTION("""COMPUTED_VALUE"""),"[ao]")</f>
        <v>[ao]</v>
      </c>
    </row>
    <row r="43">
      <c r="A43">
        <f>IFERROR(__xludf.DUMMYFUNCTION("""COMPUTED_VALUE"""),42.0)</f>
        <v>42</v>
      </c>
      <c r="B43" t="str">
        <f>IFERROR(__xludf.DUMMYFUNCTION("""COMPUTED_VALUE"""),"*Bill Clinton*
(né en 1946)
AR")</f>
        <v>*Bill Clinton*
(né en 1946)
AR</v>
      </c>
      <c r="D43" s="13">
        <f>IFERROR(__xludf.DUMMYFUNCTION("""COMPUTED_VALUE"""),33989.0)</f>
        <v>33989</v>
      </c>
      <c r="E43" s="13">
        <f>IFERROR(__xludf.DUMMYFUNCTION("""COMPUTED_VALUE"""),36911.0)</f>
        <v>36911</v>
      </c>
      <c r="G43" t="str">
        <f>IFERROR(__xludf.DUMMYFUNCTION("""COMPUTED_VALUE"""),"Démocrate")</f>
        <v>Démocrate</v>
      </c>
      <c r="H43" t="str">
        <f>IFERROR(__xludf.DUMMYFUNCTION("""COMPUTED_VALUE"""),"[ap]")</f>
        <v>[ap]</v>
      </c>
    </row>
    <row r="44">
      <c r="A44">
        <f>IFERROR(__xludf.DUMMYFUNCTION("""COMPUTED_VALUE"""),43.0)</f>
        <v>43</v>
      </c>
      <c r="B44" t="str">
        <f>IFERROR(__xludf.DUMMYFUNCTION("""COMPUTED_VALUE"""),"*George W. Bush*
(né en 1946)
TX")</f>
        <v>*George W. Bush*
(né en 1946)
TX</v>
      </c>
      <c r="D44" s="13">
        <f>IFERROR(__xludf.DUMMYFUNCTION("""COMPUTED_VALUE"""),36911.0)</f>
        <v>36911</v>
      </c>
      <c r="E44" s="13">
        <f>IFERROR(__xludf.DUMMYFUNCTION("""COMPUTED_VALUE"""),39833.0)</f>
        <v>39833</v>
      </c>
      <c r="G44" t="str">
        <f>IFERROR(__xludf.DUMMYFUNCTION("""COMPUTED_VALUE"""),"Républicain")</f>
        <v>Républicain</v>
      </c>
      <c r="H44" t="str">
        <f>IFERROR(__xludf.DUMMYFUNCTION("""COMPUTED_VALUE"""),"[aq]")</f>
        <v>[aq]</v>
      </c>
    </row>
    <row r="45">
      <c r="A45">
        <f>IFERROR(__xludf.DUMMYFUNCTION("""COMPUTED_VALUE"""),44.0)</f>
        <v>44</v>
      </c>
      <c r="B45" t="str">
        <f>IFERROR(__xludf.DUMMYFUNCTION("""COMPUTED_VALUE"""),"*Barack Obama*
(né en 1961)
IL")</f>
        <v>*Barack Obama*
(né en 1961)
IL</v>
      </c>
      <c r="D45" s="13">
        <f>IFERROR(__xludf.DUMMYFUNCTION("""COMPUTED_VALUE"""),39833.0)</f>
        <v>39833</v>
      </c>
      <c r="E45" s="13">
        <f>IFERROR(__xludf.DUMMYFUNCTION("""COMPUTED_VALUE"""),42755.0)</f>
        <v>42755</v>
      </c>
      <c r="G45" t="str">
        <f>IFERROR(__xludf.DUMMYFUNCTION("""COMPUTED_VALUE"""),"Démocrate")</f>
        <v>Démocrate</v>
      </c>
      <c r="H45" t="str">
        <f>IFERROR(__xludf.DUMMYFUNCTION("""COMPUTED_VALUE"""),"[ar]")</f>
        <v>[ar]</v>
      </c>
    </row>
    <row r="46">
      <c r="A46">
        <f>IFERROR(__xludf.DUMMYFUNCTION("""COMPUTED_VALUE"""),45.0)</f>
        <v>45</v>
      </c>
      <c r="B46" t="str">
        <f>IFERROR(__xludf.DUMMYFUNCTION("""COMPUTED_VALUE"""),"*Donald Trump*
(né en 1946)
NY
*1re fois*")</f>
        <v>*Donald Trump*
(né en 1946)
NY
*1re fois*</v>
      </c>
      <c r="D46" s="13">
        <f>IFERROR(__xludf.DUMMYFUNCTION("""COMPUTED_VALUE"""),42755.0)</f>
        <v>42755</v>
      </c>
      <c r="E46" s="13">
        <f>IFERROR(__xludf.DUMMYFUNCTION("""COMPUTED_VALUE"""),44216.0)</f>
        <v>44216</v>
      </c>
      <c r="G46" t="str">
        <f>IFERROR(__xludf.DUMMYFUNCTION("""COMPUTED_VALUE"""),"Républicain")</f>
        <v>Républicain</v>
      </c>
      <c r="H46" t="str">
        <f>IFERROR(__xludf.DUMMYFUNCTION("""COMPUTED_VALUE"""),"[as]")</f>
        <v>[as]</v>
      </c>
    </row>
    <row r="47">
      <c r="A47">
        <f>IFERROR(__xludf.DUMMYFUNCTION("""COMPUTED_VALUE"""),46.0)</f>
        <v>46</v>
      </c>
      <c r="B47" t="str">
        <f>IFERROR(__xludf.DUMMYFUNCTION("""COMPUTED_VALUE"""),"*Joe Biden*
(né en 1942)
PA")</f>
        <v>*Joe Biden*
(né en 1942)
PA</v>
      </c>
      <c r="D47" s="13">
        <f>IFERROR(__xludf.DUMMYFUNCTION("""COMPUTED_VALUE"""),44216.0)</f>
        <v>44216</v>
      </c>
      <c r="E47" s="13">
        <f>IFERROR(__xludf.DUMMYFUNCTION("""COMPUTED_VALUE"""),45677.0)</f>
        <v>45677</v>
      </c>
      <c r="G47" t="str">
        <f>IFERROR(__xludf.DUMMYFUNCTION("""COMPUTED_VALUE"""),"Démocrate")</f>
        <v>Démocrate</v>
      </c>
      <c r="H47" t="str">
        <f>IFERROR(__xludf.DUMMYFUNCTION("""COMPUTED_VALUE"""),"[at]")</f>
        <v>[at]</v>
      </c>
    </row>
    <row r="48">
      <c r="A48">
        <f>IFERROR(__xludf.DUMMYFUNCTION("""COMPUTED_VALUE"""),47.0)</f>
        <v>47</v>
      </c>
      <c r="B48" t="str">
        <f>IFERROR(__xludf.DUMMYFUNCTION("""COMPUTED_VALUE"""),"*Donald Trump*
(né en 1946)
NY
*2de fois*")</f>
        <v>*Donald Trump*
(né en 1946)
NY
*2de fois*</v>
      </c>
      <c r="D48" s="13">
        <f>IFERROR(__xludf.DUMMYFUNCTION("""COMPUTED_VALUE"""),45677.0)</f>
        <v>45677</v>
      </c>
      <c r="E48" t="str">
        <f>IFERROR(__xludf.DUMMYFUNCTION("""COMPUTED_VALUE"""),"*En cours*")</f>
        <v>*En cours*</v>
      </c>
      <c r="G48" t="str">
        <f>IFERROR(__xludf.DUMMYFUNCTION("""COMPUTED_VALUE"""),"Républicain")</f>
        <v>Républicain</v>
      </c>
      <c r="H48" t="str">
        <f>IFERROR(__xludf.DUMMYFUNCTION("""COMPUTED_VALUE"""),"[au]")</f>
        <v>[au]</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IFERROR(__xludf.DUMMYFUNCTION("IMPORTHTML(""https://fr.wikipedia.org/wiki/Liste_des_présidents_des_États-Unis"",""table"")"),"N°")</f>
        <v>N°</v>
      </c>
      <c r="B1" t="str">
        <f>IFERROR(__xludf.DUMMYFUNCTION("""COMPUTED_VALUE"""),"Titulaire
(Naissance-Mort)
État d'origine")</f>
        <v>Titulaire
(Naissance-Mort)
État d'origine</v>
      </c>
      <c r="D1" t="str">
        <f>IFERROR(__xludf.DUMMYFUNCTION("""COMPUTED_VALUE"""),"Début de mandat")</f>
        <v>Début de mandat</v>
      </c>
      <c r="E1" t="str">
        <f>IFERROR(__xludf.DUMMYFUNCTION("""COMPUTED_VALUE"""),"Fin de mandat")</f>
        <v>Fin de mandat</v>
      </c>
      <c r="F1" t="str">
        <f>IFERROR(__xludf.DUMMYFUNCTION("""COMPUTED_VALUE"""),"Parti")</f>
        <v>Parti</v>
      </c>
      <c r="H1" t="str">
        <f>IFERROR(__xludf.DUMMYFUNCTION("""COMPUTED_VALUE"""),"Notes")</f>
        <v>Notes</v>
      </c>
    </row>
    <row r="2">
      <c r="A2">
        <f>IFERROR(__xludf.DUMMYFUNCTION("""COMPUTED_VALUE"""),1.0)</f>
        <v>1</v>
      </c>
      <c r="B2" t="str">
        <f>IFERROR(__xludf.DUMMYFUNCTION("""COMPUTED_VALUE"""),"*George Washington*
(1732-1799)
VA")</f>
        <v>*George Washington*
(1732-1799)
VA</v>
      </c>
      <c r="D2" s="13">
        <f>IFERROR(__xludf.DUMMYFUNCTION("""COMPUTED_VALUE"""),-40420.0)</f>
        <v>-40420</v>
      </c>
      <c r="E2" s="13">
        <f>IFERROR(__xludf.DUMMYFUNCTION("""COMPUTED_VALUE"""),-37555.0)</f>
        <v>-37555</v>
      </c>
      <c r="G2" t="str">
        <f>IFERROR(__xludf.DUMMYFUNCTION("""COMPUTED_VALUE"""),"Indépendant")</f>
        <v>Indépendant</v>
      </c>
      <c r="H2" t="str">
        <f>IFERROR(__xludf.DUMMYFUNCTION("""COMPUTED_VALUE"""),"[a]")</f>
        <v>[a]</v>
      </c>
    </row>
    <row r="3">
      <c r="A3">
        <f>IFERROR(__xludf.DUMMYFUNCTION("""COMPUTED_VALUE"""),2.0)</f>
        <v>2</v>
      </c>
      <c r="B3" t="str">
        <f>IFERROR(__xludf.DUMMYFUNCTION("""COMPUTED_VALUE"""),"*John Adams*
(1735-1826)
MA")</f>
        <v>*John Adams*
(1735-1826)
MA</v>
      </c>
      <c r="D3" s="13">
        <f>IFERROR(__xludf.DUMMYFUNCTION("""COMPUTED_VALUE"""),-37555.0)</f>
        <v>-37555</v>
      </c>
      <c r="E3" s="13">
        <f>IFERROR(__xludf.DUMMYFUNCTION("""COMPUTED_VALUE"""),-36095.0)</f>
        <v>-36095</v>
      </c>
      <c r="G3" t="str">
        <f>IFERROR(__xludf.DUMMYFUNCTION("""COMPUTED_VALUE"""),"Fédéraliste")</f>
        <v>Fédéraliste</v>
      </c>
      <c r="H3" t="str">
        <f>IFERROR(__xludf.DUMMYFUNCTION("""COMPUTED_VALUE"""),"[b]")</f>
        <v>[b]</v>
      </c>
    </row>
    <row r="4">
      <c r="A4">
        <f>IFERROR(__xludf.DUMMYFUNCTION("""COMPUTED_VALUE"""),3.0)</f>
        <v>3</v>
      </c>
      <c r="B4" t="str">
        <f>IFERROR(__xludf.DUMMYFUNCTION("""COMPUTED_VALUE"""),"*Thomas Jefferson*
(1743-1826)
VA")</f>
        <v>*Thomas Jefferson*
(1743-1826)
VA</v>
      </c>
      <c r="D4" s="13">
        <f>IFERROR(__xludf.DUMMYFUNCTION("""COMPUTED_VALUE"""),-36095.0)</f>
        <v>-36095</v>
      </c>
      <c r="E4" s="13">
        <f>IFERROR(__xludf.DUMMYFUNCTION("""COMPUTED_VALUE"""),-33173.0)</f>
        <v>-33173</v>
      </c>
      <c r="G4" t="str">
        <f>IFERROR(__xludf.DUMMYFUNCTION("""COMPUTED_VALUE"""),"Républicain-
démocrate")</f>
        <v>Républicain-
démocrate</v>
      </c>
      <c r="H4" t="str">
        <f>IFERROR(__xludf.DUMMYFUNCTION("""COMPUTED_VALUE"""),"[c]")</f>
        <v>[c]</v>
      </c>
    </row>
    <row r="5">
      <c r="A5">
        <f>IFERROR(__xludf.DUMMYFUNCTION("""COMPUTED_VALUE"""),4.0)</f>
        <v>4</v>
      </c>
      <c r="B5" t="str">
        <f>IFERROR(__xludf.DUMMYFUNCTION("""COMPUTED_VALUE"""),"*James Madison*
(1751-1836)
VA")</f>
        <v>*James Madison*
(1751-1836)
VA</v>
      </c>
      <c r="D5" s="13">
        <f>IFERROR(__xludf.DUMMYFUNCTION("""COMPUTED_VALUE"""),-33173.0)</f>
        <v>-33173</v>
      </c>
      <c r="E5" s="13">
        <f>IFERROR(__xludf.DUMMYFUNCTION("""COMPUTED_VALUE"""),-30251.0)</f>
        <v>-30251</v>
      </c>
      <c r="G5" t="str">
        <f>IFERROR(__xludf.DUMMYFUNCTION("""COMPUTED_VALUE"""),"Républicain-
démocrate")</f>
        <v>Républicain-
démocrate</v>
      </c>
      <c r="H5" t="str">
        <f>IFERROR(__xludf.DUMMYFUNCTION("""COMPUTED_VALUE"""),"[d]")</f>
        <v>[d]</v>
      </c>
    </row>
    <row r="6">
      <c r="A6">
        <f>IFERROR(__xludf.DUMMYFUNCTION("""COMPUTED_VALUE"""),5.0)</f>
        <v>5</v>
      </c>
      <c r="B6" t="str">
        <f>IFERROR(__xludf.DUMMYFUNCTION("""COMPUTED_VALUE"""),"*James Monroe*
(1758-1831)
VA")</f>
        <v>*James Monroe*
(1758-1831)
VA</v>
      </c>
      <c r="D6" s="13">
        <f>IFERROR(__xludf.DUMMYFUNCTION("""COMPUTED_VALUE"""),-30251.0)</f>
        <v>-30251</v>
      </c>
      <c r="E6" s="13">
        <f>IFERROR(__xludf.DUMMYFUNCTION("""COMPUTED_VALUE"""),-27329.0)</f>
        <v>-27329</v>
      </c>
      <c r="G6" t="str">
        <f>IFERROR(__xludf.DUMMYFUNCTION("""COMPUTED_VALUE"""),"Républicain-
démocrate")</f>
        <v>Républicain-
démocrate</v>
      </c>
      <c r="H6" t="str">
        <f>IFERROR(__xludf.DUMMYFUNCTION("""COMPUTED_VALUE"""),"[e]")</f>
        <v>[e]</v>
      </c>
    </row>
    <row r="7">
      <c r="A7">
        <f>IFERROR(__xludf.DUMMYFUNCTION("""COMPUTED_VALUE"""),6.0)</f>
        <v>6</v>
      </c>
      <c r="B7" t="str">
        <f>IFERROR(__xludf.DUMMYFUNCTION("""COMPUTED_VALUE"""),"*John Quincy Adams*
(1767-1848)
MA")</f>
        <v>*John Quincy Adams*
(1767-1848)
MA</v>
      </c>
      <c r="D7" s="13">
        <f>IFERROR(__xludf.DUMMYFUNCTION("""COMPUTED_VALUE"""),-27329.0)</f>
        <v>-27329</v>
      </c>
      <c r="E7" s="13">
        <f>IFERROR(__xludf.DUMMYFUNCTION("""COMPUTED_VALUE"""),-25868.0)</f>
        <v>-25868</v>
      </c>
      <c r="G7" t="str">
        <f>IFERROR(__xludf.DUMMYFUNCTION("""COMPUTED_VALUE"""),"Républicain-
démocrate
------------------------------
National-républicain")</f>
        <v>Républicain-
démocrate
------------------------------
National-républicain</v>
      </c>
      <c r="H7" t="str">
        <f>IFERROR(__xludf.DUMMYFUNCTION("""COMPUTED_VALUE"""),"[f]")</f>
        <v>[f]</v>
      </c>
    </row>
    <row r="8">
      <c r="A8">
        <f>IFERROR(__xludf.DUMMYFUNCTION("""COMPUTED_VALUE"""),7.0)</f>
        <v>7</v>
      </c>
      <c r="B8" t="str">
        <f>IFERROR(__xludf.DUMMYFUNCTION("""COMPUTED_VALUE"""),"*Andrew Jackson*
(1767-1845)
TN")</f>
        <v>*Andrew Jackson*
(1767-1845)
TN</v>
      </c>
      <c r="D8" s="13">
        <f>IFERROR(__xludf.DUMMYFUNCTION("""COMPUTED_VALUE"""),-25868.0)</f>
        <v>-25868</v>
      </c>
      <c r="E8" s="13">
        <f>IFERROR(__xludf.DUMMYFUNCTION("""COMPUTED_VALUE"""),-22946.0)</f>
        <v>-22946</v>
      </c>
      <c r="G8" t="str">
        <f>IFERROR(__xludf.DUMMYFUNCTION("""COMPUTED_VALUE"""),"Démocrate")</f>
        <v>Démocrate</v>
      </c>
      <c r="H8" t="str">
        <f>IFERROR(__xludf.DUMMYFUNCTION("""COMPUTED_VALUE"""),"[g]")</f>
        <v>[g]</v>
      </c>
    </row>
    <row r="9">
      <c r="A9">
        <f>IFERROR(__xludf.DUMMYFUNCTION("""COMPUTED_VALUE"""),8.0)</f>
        <v>8</v>
      </c>
      <c r="B9" t="str">
        <f>IFERROR(__xludf.DUMMYFUNCTION("""COMPUTED_VALUE"""),"*Martin Van Buren*
(1782-1862)
NY")</f>
        <v>*Martin Van Buren*
(1782-1862)
NY</v>
      </c>
      <c r="D9" s="13">
        <f>IFERROR(__xludf.DUMMYFUNCTION("""COMPUTED_VALUE"""),-22946.0)</f>
        <v>-22946</v>
      </c>
      <c r="E9" s="13">
        <f>IFERROR(__xludf.DUMMYFUNCTION("""COMPUTED_VALUE"""),-21485.0)</f>
        <v>-21485</v>
      </c>
      <c r="G9" t="str">
        <f>IFERROR(__xludf.DUMMYFUNCTION("""COMPUTED_VALUE"""),"Démocrate")</f>
        <v>Démocrate</v>
      </c>
      <c r="H9" t="str">
        <f>IFERROR(__xludf.DUMMYFUNCTION("""COMPUTED_VALUE"""),"[h]")</f>
        <v>[h]</v>
      </c>
    </row>
    <row r="10">
      <c r="A10">
        <f>IFERROR(__xludf.DUMMYFUNCTION("""COMPUTED_VALUE"""),9.0)</f>
        <v>9</v>
      </c>
      <c r="B10" t="str">
        <f>IFERROR(__xludf.DUMMYFUNCTION("""COMPUTED_VALUE"""),"*William Henry Harrison*
(1773-1841)
OH")</f>
        <v>*William Henry Harrison*
(1773-1841)
OH</v>
      </c>
      <c r="D10" s="13">
        <f>IFERROR(__xludf.DUMMYFUNCTION("""COMPUTED_VALUE"""),-21485.0)</f>
        <v>-21485</v>
      </c>
      <c r="E10" s="13">
        <f>IFERROR(__xludf.DUMMYFUNCTION("""COMPUTED_VALUE"""),-21454.0)</f>
        <v>-21454</v>
      </c>
      <c r="G10" t="str">
        <f>IFERROR(__xludf.DUMMYFUNCTION("""COMPUTED_VALUE"""),"Whig")</f>
        <v>Whig</v>
      </c>
      <c r="H10" t="str">
        <f>IFERROR(__xludf.DUMMYFUNCTION("""COMPUTED_VALUE"""),"[i]")</f>
        <v>[i]</v>
      </c>
    </row>
    <row r="11">
      <c r="A11">
        <f>IFERROR(__xludf.DUMMYFUNCTION("""COMPUTED_VALUE"""),10.0)</f>
        <v>10</v>
      </c>
      <c r="B11" t="str">
        <f>IFERROR(__xludf.DUMMYFUNCTION("""COMPUTED_VALUE"""),"*John Tyler*
(1790-1862)
VA")</f>
        <v>*John Tyler*
(1790-1862)
VA</v>
      </c>
      <c r="D11" s="13">
        <f>IFERROR(__xludf.DUMMYFUNCTION("""COMPUTED_VALUE"""),-21454.0)</f>
        <v>-21454</v>
      </c>
      <c r="E11" s="13">
        <f>IFERROR(__xludf.DUMMYFUNCTION("""COMPUTED_VALUE"""),-20024.0)</f>
        <v>-20024</v>
      </c>
      <c r="G11" t="str">
        <f>IFERROR(__xludf.DUMMYFUNCTION("""COMPUTED_VALUE"""),"Indépendant")</f>
        <v>Indépendant</v>
      </c>
      <c r="H11" t="str">
        <f>IFERROR(__xludf.DUMMYFUNCTION("""COMPUTED_VALUE"""),"[j]")</f>
        <v>[j]</v>
      </c>
    </row>
    <row r="12">
      <c r="A12">
        <f>IFERROR(__xludf.DUMMYFUNCTION("""COMPUTED_VALUE"""),11.0)</f>
        <v>11</v>
      </c>
      <c r="B12" t="str">
        <f>IFERROR(__xludf.DUMMYFUNCTION("""COMPUTED_VALUE"""),"*James K. Polk*
(1795-1849)
TN")</f>
        <v>*James K. Polk*
(1795-1849)
TN</v>
      </c>
      <c r="D12" s="13">
        <f>IFERROR(__xludf.DUMMYFUNCTION("""COMPUTED_VALUE"""),-20024.0)</f>
        <v>-20024</v>
      </c>
      <c r="E12" s="13">
        <f>IFERROR(__xludf.DUMMYFUNCTION("""COMPUTED_VALUE"""),-18563.0)</f>
        <v>-18563</v>
      </c>
      <c r="G12" t="str">
        <f>IFERROR(__xludf.DUMMYFUNCTION("""COMPUTED_VALUE"""),"Démocrate")</f>
        <v>Démocrate</v>
      </c>
      <c r="H12" t="str">
        <f>IFERROR(__xludf.DUMMYFUNCTION("""COMPUTED_VALUE"""),"[k]")</f>
        <v>[k]</v>
      </c>
    </row>
    <row r="13">
      <c r="A13">
        <f>IFERROR(__xludf.DUMMYFUNCTION("""COMPUTED_VALUE"""),12.0)</f>
        <v>12</v>
      </c>
      <c r="B13" t="str">
        <f>IFERROR(__xludf.DUMMYFUNCTION("""COMPUTED_VALUE"""),"*Zachary Taylor*
(1784-1850)
KY")</f>
        <v>*Zachary Taylor*
(1784-1850)
KY</v>
      </c>
      <c r="D13" s="13">
        <f>IFERROR(__xludf.DUMMYFUNCTION("""COMPUTED_VALUE"""),-18563.0)</f>
        <v>-18563</v>
      </c>
      <c r="E13" s="13">
        <f>IFERROR(__xludf.DUMMYFUNCTION("""COMPUTED_VALUE"""),-18071.0)</f>
        <v>-18071</v>
      </c>
      <c r="G13" t="str">
        <f>IFERROR(__xludf.DUMMYFUNCTION("""COMPUTED_VALUE"""),"Whig")</f>
        <v>Whig</v>
      </c>
      <c r="H13" t="str">
        <f>IFERROR(__xludf.DUMMYFUNCTION("""COMPUTED_VALUE"""),"[l]")</f>
        <v>[l]</v>
      </c>
    </row>
    <row r="14">
      <c r="A14">
        <f>IFERROR(__xludf.DUMMYFUNCTION("""COMPUTED_VALUE"""),13.0)</f>
        <v>13</v>
      </c>
      <c r="B14" t="str">
        <f>IFERROR(__xludf.DUMMYFUNCTION("""COMPUTED_VALUE"""),"*Millard Fillmore*
(1800-1874)
NY")</f>
        <v>*Millard Fillmore*
(1800-1874)
NY</v>
      </c>
      <c r="D14" s="13">
        <f>IFERROR(__xludf.DUMMYFUNCTION("""COMPUTED_VALUE"""),-18071.0)</f>
        <v>-18071</v>
      </c>
      <c r="E14" s="13">
        <f>IFERROR(__xludf.DUMMYFUNCTION("""COMPUTED_VALUE"""),-17102.0)</f>
        <v>-17102</v>
      </c>
      <c r="G14" t="str">
        <f>IFERROR(__xludf.DUMMYFUNCTION("""COMPUTED_VALUE"""),"Whig")</f>
        <v>Whig</v>
      </c>
      <c r="H14" t="str">
        <f>IFERROR(__xludf.DUMMYFUNCTION("""COMPUTED_VALUE"""),"[m]")</f>
        <v>[m]</v>
      </c>
    </row>
    <row r="15">
      <c r="A15">
        <f>IFERROR(__xludf.DUMMYFUNCTION("""COMPUTED_VALUE"""),14.0)</f>
        <v>14</v>
      </c>
      <c r="B15" t="str">
        <f>IFERROR(__xludf.DUMMYFUNCTION("""COMPUTED_VALUE"""),"*Franklin Pierce*
(1804-1869)
NH")</f>
        <v>*Franklin Pierce*
(1804-1869)
NH</v>
      </c>
      <c r="D15" s="13">
        <f>IFERROR(__xludf.DUMMYFUNCTION("""COMPUTED_VALUE"""),-17102.0)</f>
        <v>-17102</v>
      </c>
      <c r="E15" s="13">
        <f>IFERROR(__xludf.DUMMYFUNCTION("""COMPUTED_VALUE"""),-15641.0)</f>
        <v>-15641</v>
      </c>
      <c r="G15" t="str">
        <f>IFERROR(__xludf.DUMMYFUNCTION("""COMPUTED_VALUE"""),"Démocrate")</f>
        <v>Démocrate</v>
      </c>
      <c r="H15" t="str">
        <f>IFERROR(__xludf.DUMMYFUNCTION("""COMPUTED_VALUE"""),"[n]")</f>
        <v>[n]</v>
      </c>
    </row>
    <row r="16">
      <c r="A16">
        <f>IFERROR(__xludf.DUMMYFUNCTION("""COMPUTED_VALUE"""),15.0)</f>
        <v>15</v>
      </c>
      <c r="B16" t="str">
        <f>IFERROR(__xludf.DUMMYFUNCTION("""COMPUTED_VALUE"""),"*James Buchanan*
(1791-1868)
PA")</f>
        <v>*James Buchanan*
(1791-1868)
PA</v>
      </c>
      <c r="D16" s="13">
        <f>IFERROR(__xludf.DUMMYFUNCTION("""COMPUTED_VALUE"""),-15641.0)</f>
        <v>-15641</v>
      </c>
      <c r="E16" s="13">
        <f>IFERROR(__xludf.DUMMYFUNCTION("""COMPUTED_VALUE"""),-14180.0)</f>
        <v>-14180</v>
      </c>
      <c r="G16" t="str">
        <f>IFERROR(__xludf.DUMMYFUNCTION("""COMPUTED_VALUE"""),"Démocrate")</f>
        <v>Démocrate</v>
      </c>
      <c r="H16" t="str">
        <f>IFERROR(__xludf.DUMMYFUNCTION("""COMPUTED_VALUE"""),"[o]")</f>
        <v>[o]</v>
      </c>
    </row>
    <row r="17">
      <c r="A17">
        <f>IFERROR(__xludf.DUMMYFUNCTION("""COMPUTED_VALUE"""),16.0)</f>
        <v>16</v>
      </c>
      <c r="B17" t="str">
        <f>IFERROR(__xludf.DUMMYFUNCTION("""COMPUTED_VALUE"""),"*Abraham Lincoln*
(1809-1865)
IL")</f>
        <v>*Abraham Lincoln*
(1809-1865)
IL</v>
      </c>
      <c r="D17" s="13">
        <f>IFERROR(__xludf.DUMMYFUNCTION("""COMPUTED_VALUE"""),-14180.0)</f>
        <v>-14180</v>
      </c>
      <c r="E17" s="13">
        <f>IFERROR(__xludf.DUMMYFUNCTION("""COMPUTED_VALUE"""),-12677.0)</f>
        <v>-12677</v>
      </c>
      <c r="G17" t="str">
        <f>IFERROR(__xludf.DUMMYFUNCTION("""COMPUTED_VALUE"""),"Républicain
------------------------------
Union (en)")</f>
        <v>Républicain
------------------------------
Union (en)</v>
      </c>
      <c r="H17" t="str">
        <f>IFERROR(__xludf.DUMMYFUNCTION("""COMPUTED_VALUE"""),"[p]")</f>
        <v>[p]</v>
      </c>
    </row>
    <row r="18">
      <c r="A18">
        <f>IFERROR(__xludf.DUMMYFUNCTION("""COMPUTED_VALUE"""),17.0)</f>
        <v>17</v>
      </c>
      <c r="B18" t="str">
        <f>IFERROR(__xludf.DUMMYFUNCTION("""COMPUTED_VALUE"""),"*Andrew Johnson*
(1808-1875)
TN")</f>
        <v>*Andrew Johnson*
(1808-1875)
TN</v>
      </c>
      <c r="D18" s="13">
        <f>IFERROR(__xludf.DUMMYFUNCTION("""COMPUTED_VALUE"""),-12677.0)</f>
        <v>-12677</v>
      </c>
      <c r="E18" s="13">
        <f>IFERROR(__xludf.DUMMYFUNCTION("""COMPUTED_VALUE"""),-11258.0)</f>
        <v>-11258</v>
      </c>
      <c r="G18" t="str">
        <f>IFERROR(__xludf.DUMMYFUNCTION("""COMPUTED_VALUE"""),"Union (en)
------------------------------
Démocrate")</f>
        <v>Union (en)
------------------------------
Démocrate</v>
      </c>
      <c r="H18" t="str">
        <f>IFERROR(__xludf.DUMMYFUNCTION("""COMPUTED_VALUE"""),"[q]")</f>
        <v>[q]</v>
      </c>
    </row>
    <row r="19">
      <c r="A19">
        <f>IFERROR(__xludf.DUMMYFUNCTION("""COMPUTED_VALUE"""),18.0)</f>
        <v>18</v>
      </c>
      <c r="B19" t="str">
        <f>IFERROR(__xludf.DUMMYFUNCTION("""COMPUTED_VALUE"""),"*Ulysses S. Grant*
(1822-1885)
IL")</f>
        <v>*Ulysses S. Grant*
(1822-1885)
IL</v>
      </c>
      <c r="D19" s="13">
        <f>IFERROR(__xludf.DUMMYFUNCTION("""COMPUTED_VALUE"""),-11258.0)</f>
        <v>-11258</v>
      </c>
      <c r="E19" s="13">
        <f>IFERROR(__xludf.DUMMYFUNCTION("""COMPUTED_VALUE"""),-8336.0)</f>
        <v>-8336</v>
      </c>
      <c r="G19" t="str">
        <f>IFERROR(__xludf.DUMMYFUNCTION("""COMPUTED_VALUE"""),"Républicain")</f>
        <v>Républicain</v>
      </c>
      <c r="H19" t="str">
        <f>IFERROR(__xludf.DUMMYFUNCTION("""COMPUTED_VALUE"""),"[r]")</f>
        <v>[r]</v>
      </c>
    </row>
    <row r="20">
      <c r="A20">
        <f>IFERROR(__xludf.DUMMYFUNCTION("""COMPUTED_VALUE"""),19.0)</f>
        <v>19</v>
      </c>
      <c r="B20" t="str">
        <f>IFERROR(__xludf.DUMMYFUNCTION("""COMPUTED_VALUE"""),"*Rutherford B. Hayes*
(1822-1893)
OH")</f>
        <v>*Rutherford B. Hayes*
(1822-1893)
OH</v>
      </c>
      <c r="D20" s="13">
        <f>IFERROR(__xludf.DUMMYFUNCTION("""COMPUTED_VALUE"""),-8336.0)</f>
        <v>-8336</v>
      </c>
      <c r="E20" s="13">
        <f>IFERROR(__xludf.DUMMYFUNCTION("""COMPUTED_VALUE"""),-6875.0)</f>
        <v>-6875</v>
      </c>
      <c r="G20" t="str">
        <f>IFERROR(__xludf.DUMMYFUNCTION("""COMPUTED_VALUE"""),"Républicain")</f>
        <v>Républicain</v>
      </c>
      <c r="H20" t="str">
        <f>IFERROR(__xludf.DUMMYFUNCTION("""COMPUTED_VALUE"""),"[s]")</f>
        <v>[s]</v>
      </c>
    </row>
    <row r="21">
      <c r="A21">
        <f>IFERROR(__xludf.DUMMYFUNCTION("""COMPUTED_VALUE"""),20.0)</f>
        <v>20</v>
      </c>
      <c r="B21" t="str">
        <f>IFERROR(__xludf.DUMMYFUNCTION("""COMPUTED_VALUE"""),"*James A. Garfield*
(1831-1881)
OH")</f>
        <v>*James A. Garfield*
(1831-1881)
OH</v>
      </c>
      <c r="D21" s="13">
        <f>IFERROR(__xludf.DUMMYFUNCTION("""COMPUTED_VALUE"""),-6875.0)</f>
        <v>-6875</v>
      </c>
      <c r="E21" s="13">
        <f>IFERROR(__xludf.DUMMYFUNCTION("""COMPUTED_VALUE"""),-6676.0)</f>
        <v>-6676</v>
      </c>
      <c r="G21" t="str">
        <f>IFERROR(__xludf.DUMMYFUNCTION("""COMPUTED_VALUE"""),"Républicain")</f>
        <v>Républicain</v>
      </c>
      <c r="H21" t="str">
        <f>IFERROR(__xludf.DUMMYFUNCTION("""COMPUTED_VALUE"""),"[t]")</f>
        <v>[t]</v>
      </c>
    </row>
    <row r="22">
      <c r="A22">
        <f>IFERROR(__xludf.DUMMYFUNCTION("""COMPUTED_VALUE"""),21.0)</f>
        <v>21</v>
      </c>
      <c r="B22" t="str">
        <f>IFERROR(__xludf.DUMMYFUNCTION("""COMPUTED_VALUE"""),"*Chester A. Arthur*
(1829-1886)
NY")</f>
        <v>*Chester A. Arthur*
(1829-1886)
NY</v>
      </c>
      <c r="D22" s="13">
        <f>IFERROR(__xludf.DUMMYFUNCTION("""COMPUTED_VALUE"""),-6676.0)</f>
        <v>-6676</v>
      </c>
      <c r="E22" s="13">
        <f>IFERROR(__xludf.DUMMYFUNCTION("""COMPUTED_VALUE"""),-5414.0)</f>
        <v>-5414</v>
      </c>
      <c r="G22" t="str">
        <f>IFERROR(__xludf.DUMMYFUNCTION("""COMPUTED_VALUE"""),"Républicain")</f>
        <v>Républicain</v>
      </c>
      <c r="H22" t="str">
        <f>IFERROR(__xludf.DUMMYFUNCTION("""COMPUTED_VALUE"""),"[u]")</f>
        <v>[u]</v>
      </c>
    </row>
    <row r="23">
      <c r="A23">
        <f>IFERROR(__xludf.DUMMYFUNCTION("""COMPUTED_VALUE"""),22.0)</f>
        <v>22</v>
      </c>
      <c r="B23" t="str">
        <f>IFERROR(__xludf.DUMMYFUNCTION("""COMPUTED_VALUE"""),"*Grover Cleveland*
(1837-1908)
NY
*1re fois*")</f>
        <v>*Grover Cleveland*
(1837-1908)
NY
*1re fois*</v>
      </c>
      <c r="D23" s="13">
        <f>IFERROR(__xludf.DUMMYFUNCTION("""COMPUTED_VALUE"""),-5414.0)</f>
        <v>-5414</v>
      </c>
      <c r="E23" s="13">
        <f>IFERROR(__xludf.DUMMYFUNCTION("""COMPUTED_VALUE"""),-3953.0)</f>
        <v>-3953</v>
      </c>
      <c r="G23" t="str">
        <f>IFERROR(__xludf.DUMMYFUNCTION("""COMPUTED_VALUE"""),"Démocrate")</f>
        <v>Démocrate</v>
      </c>
      <c r="H23" t="str">
        <f>IFERROR(__xludf.DUMMYFUNCTION("""COMPUTED_VALUE"""),"[v]")</f>
        <v>[v]</v>
      </c>
    </row>
    <row r="24">
      <c r="A24">
        <f>IFERROR(__xludf.DUMMYFUNCTION("""COMPUTED_VALUE"""),23.0)</f>
        <v>23</v>
      </c>
      <c r="B24" t="str">
        <f>IFERROR(__xludf.DUMMYFUNCTION("""COMPUTED_VALUE"""),"*Benjamin Harrison*
(1833-1901)
IN")</f>
        <v>*Benjamin Harrison*
(1833-1901)
IN</v>
      </c>
      <c r="D24" s="13">
        <f>IFERROR(__xludf.DUMMYFUNCTION("""COMPUTED_VALUE"""),-3953.0)</f>
        <v>-3953</v>
      </c>
      <c r="E24" s="13">
        <f>IFERROR(__xludf.DUMMYFUNCTION("""COMPUTED_VALUE"""),-2492.0)</f>
        <v>-2492</v>
      </c>
      <c r="G24" t="str">
        <f>IFERROR(__xludf.DUMMYFUNCTION("""COMPUTED_VALUE"""),"Républicain")</f>
        <v>Républicain</v>
      </c>
      <c r="H24" t="str">
        <f>IFERROR(__xludf.DUMMYFUNCTION("""COMPUTED_VALUE"""),"[w]")</f>
        <v>[w]</v>
      </c>
    </row>
    <row r="25">
      <c r="A25">
        <f>IFERROR(__xludf.DUMMYFUNCTION("""COMPUTED_VALUE"""),24.0)</f>
        <v>24</v>
      </c>
      <c r="B25" t="str">
        <f>IFERROR(__xludf.DUMMYFUNCTION("""COMPUTED_VALUE"""),"*Grover Cleveland*
(1837-1908)
NY
*2de fois*")</f>
        <v>*Grover Cleveland*
(1837-1908)
NY
*2de fois*</v>
      </c>
      <c r="D25" s="13">
        <f>IFERROR(__xludf.DUMMYFUNCTION("""COMPUTED_VALUE"""),-2492.0)</f>
        <v>-2492</v>
      </c>
      <c r="E25" s="13">
        <f>IFERROR(__xludf.DUMMYFUNCTION("""COMPUTED_VALUE"""),-1031.0)</f>
        <v>-1031</v>
      </c>
      <c r="G25" t="str">
        <f>IFERROR(__xludf.DUMMYFUNCTION("""COMPUTED_VALUE"""),"Démocrate")</f>
        <v>Démocrate</v>
      </c>
      <c r="H25" t="str">
        <f>IFERROR(__xludf.DUMMYFUNCTION("""COMPUTED_VALUE"""),"[x]")</f>
        <v>[x]</v>
      </c>
    </row>
    <row r="26">
      <c r="A26">
        <f>IFERROR(__xludf.DUMMYFUNCTION("""COMPUTED_VALUE"""),25.0)</f>
        <v>25</v>
      </c>
      <c r="B26" t="str">
        <f>IFERROR(__xludf.DUMMYFUNCTION("""COMPUTED_VALUE"""),"*William McKinley*
(1843-1901)
OH")</f>
        <v>*William McKinley*
(1843-1901)
OH</v>
      </c>
      <c r="D26" s="13">
        <f>IFERROR(__xludf.DUMMYFUNCTION("""COMPUTED_VALUE"""),-1031.0)</f>
        <v>-1031</v>
      </c>
      <c r="E26" s="13">
        <f>IFERROR(__xludf.DUMMYFUNCTION("""COMPUTED_VALUE"""),623.0)</f>
        <v>623</v>
      </c>
      <c r="G26" t="str">
        <f>IFERROR(__xludf.DUMMYFUNCTION("""COMPUTED_VALUE"""),"Républicain")</f>
        <v>Républicain</v>
      </c>
      <c r="H26" t="str">
        <f>IFERROR(__xludf.DUMMYFUNCTION("""COMPUTED_VALUE"""),"[y]")</f>
        <v>[y]</v>
      </c>
    </row>
    <row r="27">
      <c r="A27">
        <f>IFERROR(__xludf.DUMMYFUNCTION("""COMPUTED_VALUE"""),26.0)</f>
        <v>26</v>
      </c>
      <c r="B27" t="str">
        <f>IFERROR(__xludf.DUMMYFUNCTION("""COMPUTED_VALUE"""),"*Theodore Roosevelt*
(1858-1919)
NY")</f>
        <v>*Theodore Roosevelt*
(1858-1919)
NY</v>
      </c>
      <c r="D27" s="13">
        <f>IFERROR(__xludf.DUMMYFUNCTION("""COMPUTED_VALUE"""),623.0)</f>
        <v>623</v>
      </c>
      <c r="E27" s="13">
        <f>IFERROR(__xludf.DUMMYFUNCTION("""COMPUTED_VALUE"""),3351.0)</f>
        <v>3351</v>
      </c>
      <c r="G27" t="str">
        <f>IFERROR(__xludf.DUMMYFUNCTION("""COMPUTED_VALUE"""),"Républicain")</f>
        <v>Républicain</v>
      </c>
      <c r="H27" t="str">
        <f>IFERROR(__xludf.DUMMYFUNCTION("""COMPUTED_VALUE"""),"[z]")</f>
        <v>[z]</v>
      </c>
    </row>
    <row r="28">
      <c r="A28">
        <f>IFERROR(__xludf.DUMMYFUNCTION("""COMPUTED_VALUE"""),27.0)</f>
        <v>27</v>
      </c>
      <c r="B28" t="str">
        <f>IFERROR(__xludf.DUMMYFUNCTION("""COMPUTED_VALUE"""),"*William H. Taft*
(1857-1930)
OH")</f>
        <v>*William H. Taft*
(1857-1930)
OH</v>
      </c>
      <c r="D28" s="13">
        <f>IFERROR(__xludf.DUMMYFUNCTION("""COMPUTED_VALUE"""),3351.0)</f>
        <v>3351</v>
      </c>
      <c r="E28" s="13">
        <f>IFERROR(__xludf.DUMMYFUNCTION("""COMPUTED_VALUE"""),4812.0)</f>
        <v>4812</v>
      </c>
      <c r="G28" t="str">
        <f>IFERROR(__xludf.DUMMYFUNCTION("""COMPUTED_VALUE"""),"Républicain")</f>
        <v>Républicain</v>
      </c>
      <c r="H28" t="str">
        <f>IFERROR(__xludf.DUMMYFUNCTION("""COMPUTED_VALUE"""),"[aa]")</f>
        <v>[aa]</v>
      </c>
    </row>
    <row r="29">
      <c r="A29">
        <f>IFERROR(__xludf.DUMMYFUNCTION("""COMPUTED_VALUE"""),28.0)</f>
        <v>28</v>
      </c>
      <c r="B29" t="str">
        <f>IFERROR(__xludf.DUMMYFUNCTION("""COMPUTED_VALUE"""),"*Woodrow Wilson*
(1856-1924)
NJ")</f>
        <v>*Woodrow Wilson*
(1856-1924)
NJ</v>
      </c>
      <c r="D29" s="13">
        <f>IFERROR(__xludf.DUMMYFUNCTION("""COMPUTED_VALUE"""),4812.0)</f>
        <v>4812</v>
      </c>
      <c r="E29" s="13">
        <f>IFERROR(__xludf.DUMMYFUNCTION("""COMPUTED_VALUE"""),7734.0)</f>
        <v>7734</v>
      </c>
      <c r="G29" t="str">
        <f>IFERROR(__xludf.DUMMYFUNCTION("""COMPUTED_VALUE"""),"Démocrate")</f>
        <v>Démocrate</v>
      </c>
      <c r="H29" t="str">
        <f>IFERROR(__xludf.DUMMYFUNCTION("""COMPUTED_VALUE"""),"[ab]")</f>
        <v>[ab]</v>
      </c>
    </row>
    <row r="30">
      <c r="A30">
        <f>IFERROR(__xludf.DUMMYFUNCTION("""COMPUTED_VALUE"""),29.0)</f>
        <v>29</v>
      </c>
      <c r="B30" t="str">
        <f>IFERROR(__xludf.DUMMYFUNCTION("""COMPUTED_VALUE"""),"*Warren G. Harding*
(1865-1923)
OH")</f>
        <v>*Warren G. Harding*
(1865-1923)
OH</v>
      </c>
      <c r="D30" s="13">
        <f>IFERROR(__xludf.DUMMYFUNCTION("""COMPUTED_VALUE"""),7734.0)</f>
        <v>7734</v>
      </c>
      <c r="E30" s="13">
        <f>IFERROR(__xludf.DUMMYFUNCTION("""COMPUTED_VALUE"""),8615.0)</f>
        <v>8615</v>
      </c>
      <c r="G30" t="str">
        <f>IFERROR(__xludf.DUMMYFUNCTION("""COMPUTED_VALUE"""),"Républicain")</f>
        <v>Républicain</v>
      </c>
      <c r="H30" t="str">
        <f>IFERROR(__xludf.DUMMYFUNCTION("""COMPUTED_VALUE"""),"[ac]")</f>
        <v>[ac]</v>
      </c>
    </row>
    <row r="31">
      <c r="A31">
        <f>IFERROR(__xludf.DUMMYFUNCTION("""COMPUTED_VALUE"""),30.0)</f>
        <v>30</v>
      </c>
      <c r="B31" t="str">
        <f>IFERROR(__xludf.DUMMYFUNCTION("""COMPUTED_VALUE"""),"*Calvin Coolidge*
(1872-1933)
MA")</f>
        <v>*Calvin Coolidge*
(1872-1933)
MA</v>
      </c>
      <c r="D31" s="13">
        <f>IFERROR(__xludf.DUMMYFUNCTION("""COMPUTED_VALUE"""),8615.0)</f>
        <v>8615</v>
      </c>
      <c r="E31" s="13">
        <f>IFERROR(__xludf.DUMMYFUNCTION("""COMPUTED_VALUE"""),10656.0)</f>
        <v>10656</v>
      </c>
      <c r="G31" t="str">
        <f>IFERROR(__xludf.DUMMYFUNCTION("""COMPUTED_VALUE"""),"Républicain")</f>
        <v>Républicain</v>
      </c>
      <c r="H31" t="str">
        <f>IFERROR(__xludf.DUMMYFUNCTION("""COMPUTED_VALUE"""),"[ad]")</f>
        <v>[ad]</v>
      </c>
    </row>
    <row r="32">
      <c r="A32">
        <f>IFERROR(__xludf.DUMMYFUNCTION("""COMPUTED_VALUE"""),31.0)</f>
        <v>31</v>
      </c>
      <c r="B32" t="str">
        <f>IFERROR(__xludf.DUMMYFUNCTION("""COMPUTED_VALUE"""),"*Herbert Hoover*
(1874-1964)
CA")</f>
        <v>*Herbert Hoover*
(1874-1964)
CA</v>
      </c>
      <c r="D32" s="13">
        <f>IFERROR(__xludf.DUMMYFUNCTION("""COMPUTED_VALUE"""),10656.0)</f>
        <v>10656</v>
      </c>
      <c r="E32" s="13">
        <f>IFERROR(__xludf.DUMMYFUNCTION("""COMPUTED_VALUE"""),12117.0)</f>
        <v>12117</v>
      </c>
      <c r="G32" t="str">
        <f>IFERROR(__xludf.DUMMYFUNCTION("""COMPUTED_VALUE"""),"Républicain")</f>
        <v>Républicain</v>
      </c>
      <c r="H32" t="str">
        <f>IFERROR(__xludf.DUMMYFUNCTION("""COMPUTED_VALUE"""),"[ae]")</f>
        <v>[ae]</v>
      </c>
    </row>
    <row r="33">
      <c r="A33">
        <f>IFERROR(__xludf.DUMMYFUNCTION("""COMPUTED_VALUE"""),32.0)</f>
        <v>32</v>
      </c>
      <c r="B33" t="str">
        <f>IFERROR(__xludf.DUMMYFUNCTION("""COMPUTED_VALUE"""),"*Franklin Delano Roosevelt*
(1882-1945)
NY")</f>
        <v>*Franklin Delano Roosevelt*
(1882-1945)
NY</v>
      </c>
      <c r="D33" s="13">
        <f>IFERROR(__xludf.DUMMYFUNCTION("""COMPUTED_VALUE"""),12117.0)</f>
        <v>12117</v>
      </c>
      <c r="E33" s="13">
        <f>IFERROR(__xludf.DUMMYFUNCTION("""COMPUTED_VALUE"""),16539.0)</f>
        <v>16539</v>
      </c>
      <c r="G33" t="str">
        <f>IFERROR(__xludf.DUMMYFUNCTION("""COMPUTED_VALUE"""),"Démocrate")</f>
        <v>Démocrate</v>
      </c>
      <c r="H33" t="str">
        <f>IFERROR(__xludf.DUMMYFUNCTION("""COMPUTED_VALUE"""),"[af]")</f>
        <v>[af]</v>
      </c>
    </row>
    <row r="34">
      <c r="A34">
        <f>IFERROR(__xludf.DUMMYFUNCTION("""COMPUTED_VALUE"""),33.0)</f>
        <v>33</v>
      </c>
      <c r="B34" t="str">
        <f>IFERROR(__xludf.DUMMYFUNCTION("""COMPUTED_VALUE"""),"*Harry S. Truman*
(1884-1972)
MO")</f>
        <v>*Harry S. Truman*
(1884-1972)
MO</v>
      </c>
      <c r="D34" s="13">
        <f>IFERROR(__xludf.DUMMYFUNCTION("""COMPUTED_VALUE"""),16539.0)</f>
        <v>16539</v>
      </c>
      <c r="E34" s="13">
        <f>IFERROR(__xludf.DUMMYFUNCTION("""COMPUTED_VALUE"""),19379.0)</f>
        <v>19379</v>
      </c>
      <c r="G34" t="str">
        <f>IFERROR(__xludf.DUMMYFUNCTION("""COMPUTED_VALUE"""),"Démocrate")</f>
        <v>Démocrate</v>
      </c>
      <c r="H34" t="str">
        <f>IFERROR(__xludf.DUMMYFUNCTION("""COMPUTED_VALUE"""),"[ag]")</f>
        <v>[ag]</v>
      </c>
    </row>
    <row r="35">
      <c r="A35">
        <f>IFERROR(__xludf.DUMMYFUNCTION("""COMPUTED_VALUE"""),34.0)</f>
        <v>34</v>
      </c>
      <c r="B35" t="str">
        <f>IFERROR(__xludf.DUMMYFUNCTION("""COMPUTED_VALUE"""),"*Dwight D. Eisenhower*
(1890-1969)
KS")</f>
        <v>*Dwight D. Eisenhower*
(1890-1969)
KS</v>
      </c>
      <c r="D35" s="13">
        <f>IFERROR(__xludf.DUMMYFUNCTION("""COMPUTED_VALUE"""),19379.0)</f>
        <v>19379</v>
      </c>
      <c r="E35" s="13">
        <f>IFERROR(__xludf.DUMMYFUNCTION("""COMPUTED_VALUE"""),22301.0)</f>
        <v>22301</v>
      </c>
      <c r="G35" t="str">
        <f>IFERROR(__xludf.DUMMYFUNCTION("""COMPUTED_VALUE"""),"Républicain")</f>
        <v>Républicain</v>
      </c>
      <c r="H35" t="str">
        <f>IFERROR(__xludf.DUMMYFUNCTION("""COMPUTED_VALUE"""),"[ah]")</f>
        <v>[ah]</v>
      </c>
    </row>
    <row r="36">
      <c r="A36">
        <f>IFERROR(__xludf.DUMMYFUNCTION("""COMPUTED_VALUE"""),35.0)</f>
        <v>35</v>
      </c>
      <c r="B36" t="str">
        <f>IFERROR(__xludf.DUMMYFUNCTION("""COMPUTED_VALUE"""),"*John Fitzgerald Kennedy*
(1917-1963)
MA")</f>
        <v>*John Fitzgerald Kennedy*
(1917-1963)
MA</v>
      </c>
      <c r="D36" s="13">
        <f>IFERROR(__xludf.DUMMYFUNCTION("""COMPUTED_VALUE"""),22301.0)</f>
        <v>22301</v>
      </c>
      <c r="E36" s="13">
        <f>IFERROR(__xludf.DUMMYFUNCTION("""COMPUTED_VALUE"""),23337.0)</f>
        <v>23337</v>
      </c>
      <c r="G36" t="str">
        <f>IFERROR(__xludf.DUMMYFUNCTION("""COMPUTED_VALUE"""),"Démocrate")</f>
        <v>Démocrate</v>
      </c>
      <c r="H36" t="str">
        <f>IFERROR(__xludf.DUMMYFUNCTION("""COMPUTED_VALUE"""),"[ai]")</f>
        <v>[ai]</v>
      </c>
    </row>
    <row r="37">
      <c r="A37">
        <f>IFERROR(__xludf.DUMMYFUNCTION("""COMPUTED_VALUE"""),36.0)</f>
        <v>36</v>
      </c>
      <c r="B37" t="str">
        <f>IFERROR(__xludf.DUMMYFUNCTION("""COMPUTED_VALUE"""),"*Lyndon B. Johnson*
(1908-1973)
TX")</f>
        <v>*Lyndon B. Johnson*
(1908-1973)
TX</v>
      </c>
      <c r="D37" s="13">
        <f>IFERROR(__xludf.DUMMYFUNCTION("""COMPUTED_VALUE"""),23337.0)</f>
        <v>23337</v>
      </c>
      <c r="E37" s="13">
        <f>IFERROR(__xludf.DUMMYFUNCTION("""COMPUTED_VALUE"""),25223.0)</f>
        <v>25223</v>
      </c>
      <c r="G37" t="str">
        <f>IFERROR(__xludf.DUMMYFUNCTION("""COMPUTED_VALUE"""),"Démocrate")</f>
        <v>Démocrate</v>
      </c>
      <c r="H37" t="str">
        <f>IFERROR(__xludf.DUMMYFUNCTION("""COMPUTED_VALUE"""),"[aj]")</f>
        <v>[aj]</v>
      </c>
    </row>
    <row r="38">
      <c r="A38">
        <f>IFERROR(__xludf.DUMMYFUNCTION("""COMPUTED_VALUE"""),37.0)</f>
        <v>37</v>
      </c>
      <c r="B38" t="str">
        <f>IFERROR(__xludf.DUMMYFUNCTION("""COMPUTED_VALUE"""),"*Richard Nixon*
(1913-1994)
CA")</f>
        <v>*Richard Nixon*
(1913-1994)
CA</v>
      </c>
      <c r="D38" s="13">
        <f>IFERROR(__xludf.DUMMYFUNCTION("""COMPUTED_VALUE"""),25223.0)</f>
        <v>25223</v>
      </c>
      <c r="E38" s="13">
        <f>IFERROR(__xludf.DUMMYFUNCTION("""COMPUTED_VALUE"""),27250.0)</f>
        <v>27250</v>
      </c>
      <c r="G38" t="str">
        <f>IFERROR(__xludf.DUMMYFUNCTION("""COMPUTED_VALUE"""),"Républicain")</f>
        <v>Républicain</v>
      </c>
      <c r="H38" t="str">
        <f>IFERROR(__xludf.DUMMYFUNCTION("""COMPUTED_VALUE"""),"[ak]")</f>
        <v>[ak]</v>
      </c>
    </row>
    <row r="39">
      <c r="A39">
        <f>IFERROR(__xludf.DUMMYFUNCTION("""COMPUTED_VALUE"""),38.0)</f>
        <v>38</v>
      </c>
      <c r="B39" t="str">
        <f>IFERROR(__xludf.DUMMYFUNCTION("""COMPUTED_VALUE"""),"*Gerald Ford*
(1913-2006)
MI")</f>
        <v>*Gerald Ford*
(1913-2006)
MI</v>
      </c>
      <c r="D39" s="13">
        <f>IFERROR(__xludf.DUMMYFUNCTION("""COMPUTED_VALUE"""),27250.0)</f>
        <v>27250</v>
      </c>
      <c r="E39" s="13">
        <f>IFERROR(__xludf.DUMMYFUNCTION("""COMPUTED_VALUE"""),28145.0)</f>
        <v>28145</v>
      </c>
      <c r="G39" t="str">
        <f>IFERROR(__xludf.DUMMYFUNCTION("""COMPUTED_VALUE"""),"Républicain")</f>
        <v>Républicain</v>
      </c>
      <c r="H39" t="str">
        <f>IFERROR(__xludf.DUMMYFUNCTION("""COMPUTED_VALUE"""),"[al]")</f>
        <v>[al]</v>
      </c>
    </row>
    <row r="40">
      <c r="A40">
        <f>IFERROR(__xludf.DUMMYFUNCTION("""COMPUTED_VALUE"""),39.0)</f>
        <v>39</v>
      </c>
      <c r="B40" t="str">
        <f>IFERROR(__xludf.DUMMYFUNCTION("""COMPUTED_VALUE"""),"*Jimmy Carter*
(1924-2024)
GA")</f>
        <v>*Jimmy Carter*
(1924-2024)
GA</v>
      </c>
      <c r="D40" s="13">
        <f>IFERROR(__xludf.DUMMYFUNCTION("""COMPUTED_VALUE"""),28145.0)</f>
        <v>28145</v>
      </c>
      <c r="E40" s="13">
        <f>IFERROR(__xludf.DUMMYFUNCTION("""COMPUTED_VALUE"""),29606.0)</f>
        <v>29606</v>
      </c>
      <c r="G40" t="str">
        <f>IFERROR(__xludf.DUMMYFUNCTION("""COMPUTED_VALUE"""),"Démocrate")</f>
        <v>Démocrate</v>
      </c>
      <c r="H40" t="str">
        <f>IFERROR(__xludf.DUMMYFUNCTION("""COMPUTED_VALUE"""),"[am]")</f>
        <v>[am]</v>
      </c>
    </row>
    <row r="41">
      <c r="A41">
        <f>IFERROR(__xludf.DUMMYFUNCTION("""COMPUTED_VALUE"""),40.0)</f>
        <v>40</v>
      </c>
      <c r="B41" t="str">
        <f>IFERROR(__xludf.DUMMYFUNCTION("""COMPUTED_VALUE"""),"*Ronald Reagan*
(1911-2004)
CA")</f>
        <v>*Ronald Reagan*
(1911-2004)
CA</v>
      </c>
      <c r="D41" s="13">
        <f>IFERROR(__xludf.DUMMYFUNCTION("""COMPUTED_VALUE"""),29606.0)</f>
        <v>29606</v>
      </c>
      <c r="E41" s="13">
        <f>IFERROR(__xludf.DUMMYFUNCTION("""COMPUTED_VALUE"""),32528.0)</f>
        <v>32528</v>
      </c>
      <c r="G41" t="str">
        <f>IFERROR(__xludf.DUMMYFUNCTION("""COMPUTED_VALUE"""),"Républicain")</f>
        <v>Républicain</v>
      </c>
      <c r="H41" t="str">
        <f>IFERROR(__xludf.DUMMYFUNCTION("""COMPUTED_VALUE"""),"[an]")</f>
        <v>[an]</v>
      </c>
    </row>
    <row r="42">
      <c r="A42">
        <f>IFERROR(__xludf.DUMMYFUNCTION("""COMPUTED_VALUE"""),41.0)</f>
        <v>41</v>
      </c>
      <c r="B42" t="str">
        <f>IFERROR(__xludf.DUMMYFUNCTION("""COMPUTED_VALUE"""),"*George H. W. Bush*
(1924-2018)
TX")</f>
        <v>*George H. W. Bush*
(1924-2018)
TX</v>
      </c>
      <c r="D42" s="13">
        <f>IFERROR(__xludf.DUMMYFUNCTION("""COMPUTED_VALUE"""),32528.0)</f>
        <v>32528</v>
      </c>
      <c r="E42" s="13">
        <f>IFERROR(__xludf.DUMMYFUNCTION("""COMPUTED_VALUE"""),33989.0)</f>
        <v>33989</v>
      </c>
      <c r="G42" t="str">
        <f>IFERROR(__xludf.DUMMYFUNCTION("""COMPUTED_VALUE"""),"Républicain")</f>
        <v>Républicain</v>
      </c>
      <c r="H42" t="str">
        <f>IFERROR(__xludf.DUMMYFUNCTION("""COMPUTED_VALUE"""),"[ao]")</f>
        <v>[ao]</v>
      </c>
    </row>
    <row r="43">
      <c r="A43">
        <f>IFERROR(__xludf.DUMMYFUNCTION("""COMPUTED_VALUE"""),42.0)</f>
        <v>42</v>
      </c>
      <c r="B43" t="str">
        <f>IFERROR(__xludf.DUMMYFUNCTION("""COMPUTED_VALUE"""),"*Bill Clinton*
(né en 1946)
AR")</f>
        <v>*Bill Clinton*
(né en 1946)
AR</v>
      </c>
      <c r="D43" s="13">
        <f>IFERROR(__xludf.DUMMYFUNCTION("""COMPUTED_VALUE"""),33989.0)</f>
        <v>33989</v>
      </c>
      <c r="E43" s="13">
        <f>IFERROR(__xludf.DUMMYFUNCTION("""COMPUTED_VALUE"""),36911.0)</f>
        <v>36911</v>
      </c>
      <c r="G43" t="str">
        <f>IFERROR(__xludf.DUMMYFUNCTION("""COMPUTED_VALUE"""),"Démocrate")</f>
        <v>Démocrate</v>
      </c>
      <c r="H43" t="str">
        <f>IFERROR(__xludf.DUMMYFUNCTION("""COMPUTED_VALUE"""),"[ap]")</f>
        <v>[ap]</v>
      </c>
    </row>
    <row r="44">
      <c r="A44">
        <f>IFERROR(__xludf.DUMMYFUNCTION("""COMPUTED_VALUE"""),43.0)</f>
        <v>43</v>
      </c>
      <c r="B44" t="str">
        <f>IFERROR(__xludf.DUMMYFUNCTION("""COMPUTED_VALUE"""),"*George W. Bush*
(né en 1946)
TX")</f>
        <v>*George W. Bush*
(né en 1946)
TX</v>
      </c>
      <c r="D44" s="13">
        <f>IFERROR(__xludf.DUMMYFUNCTION("""COMPUTED_VALUE"""),36911.0)</f>
        <v>36911</v>
      </c>
      <c r="E44" s="13">
        <f>IFERROR(__xludf.DUMMYFUNCTION("""COMPUTED_VALUE"""),39833.0)</f>
        <v>39833</v>
      </c>
      <c r="G44" t="str">
        <f>IFERROR(__xludf.DUMMYFUNCTION("""COMPUTED_VALUE"""),"Républicain")</f>
        <v>Républicain</v>
      </c>
      <c r="H44" t="str">
        <f>IFERROR(__xludf.DUMMYFUNCTION("""COMPUTED_VALUE"""),"[aq]")</f>
        <v>[aq]</v>
      </c>
    </row>
    <row r="45">
      <c r="A45">
        <f>IFERROR(__xludf.DUMMYFUNCTION("""COMPUTED_VALUE"""),44.0)</f>
        <v>44</v>
      </c>
      <c r="B45" t="str">
        <f>IFERROR(__xludf.DUMMYFUNCTION("""COMPUTED_VALUE"""),"*Barack Obama*
(né en 1961)
IL")</f>
        <v>*Barack Obama*
(né en 1961)
IL</v>
      </c>
      <c r="D45" s="13">
        <f>IFERROR(__xludf.DUMMYFUNCTION("""COMPUTED_VALUE"""),39833.0)</f>
        <v>39833</v>
      </c>
      <c r="E45" s="13">
        <f>IFERROR(__xludf.DUMMYFUNCTION("""COMPUTED_VALUE"""),42755.0)</f>
        <v>42755</v>
      </c>
      <c r="G45" t="str">
        <f>IFERROR(__xludf.DUMMYFUNCTION("""COMPUTED_VALUE"""),"Démocrate")</f>
        <v>Démocrate</v>
      </c>
      <c r="H45" t="str">
        <f>IFERROR(__xludf.DUMMYFUNCTION("""COMPUTED_VALUE"""),"[ar]")</f>
        <v>[ar]</v>
      </c>
    </row>
    <row r="46">
      <c r="A46">
        <f>IFERROR(__xludf.DUMMYFUNCTION("""COMPUTED_VALUE"""),45.0)</f>
        <v>45</v>
      </c>
      <c r="B46" t="str">
        <f>IFERROR(__xludf.DUMMYFUNCTION("""COMPUTED_VALUE"""),"*Donald Trump*
(né en 1946)
NY
*1re fois*")</f>
        <v>*Donald Trump*
(né en 1946)
NY
*1re fois*</v>
      </c>
      <c r="D46" s="13">
        <f>IFERROR(__xludf.DUMMYFUNCTION("""COMPUTED_VALUE"""),42755.0)</f>
        <v>42755</v>
      </c>
      <c r="E46" s="13">
        <f>IFERROR(__xludf.DUMMYFUNCTION("""COMPUTED_VALUE"""),44216.0)</f>
        <v>44216</v>
      </c>
      <c r="G46" t="str">
        <f>IFERROR(__xludf.DUMMYFUNCTION("""COMPUTED_VALUE"""),"Républicain")</f>
        <v>Républicain</v>
      </c>
      <c r="H46" t="str">
        <f>IFERROR(__xludf.DUMMYFUNCTION("""COMPUTED_VALUE"""),"[as]")</f>
        <v>[as]</v>
      </c>
    </row>
    <row r="47">
      <c r="A47">
        <f>IFERROR(__xludf.DUMMYFUNCTION("""COMPUTED_VALUE"""),46.0)</f>
        <v>46</v>
      </c>
      <c r="B47" t="str">
        <f>IFERROR(__xludf.DUMMYFUNCTION("""COMPUTED_VALUE"""),"*Joe Biden*
(né en 1942)
PA")</f>
        <v>*Joe Biden*
(né en 1942)
PA</v>
      </c>
      <c r="D47" s="13">
        <f>IFERROR(__xludf.DUMMYFUNCTION("""COMPUTED_VALUE"""),44216.0)</f>
        <v>44216</v>
      </c>
      <c r="E47" s="13">
        <f>IFERROR(__xludf.DUMMYFUNCTION("""COMPUTED_VALUE"""),45677.0)</f>
        <v>45677</v>
      </c>
      <c r="G47" t="str">
        <f>IFERROR(__xludf.DUMMYFUNCTION("""COMPUTED_VALUE"""),"Démocrate")</f>
        <v>Démocrate</v>
      </c>
      <c r="H47" t="str">
        <f>IFERROR(__xludf.DUMMYFUNCTION("""COMPUTED_VALUE"""),"[at]")</f>
        <v>[at]</v>
      </c>
    </row>
    <row r="48">
      <c r="A48">
        <f>IFERROR(__xludf.DUMMYFUNCTION("""COMPUTED_VALUE"""),47.0)</f>
        <v>47</v>
      </c>
      <c r="B48" t="str">
        <f>IFERROR(__xludf.DUMMYFUNCTION("""COMPUTED_VALUE"""),"*Donald Trump*
(né en 1946)
NY
*2de fois*")</f>
        <v>*Donald Trump*
(né en 1946)
NY
*2de fois*</v>
      </c>
      <c r="D48" s="13">
        <f>IFERROR(__xludf.DUMMYFUNCTION("""COMPUTED_VALUE"""),45677.0)</f>
        <v>45677</v>
      </c>
      <c r="E48" t="str">
        <f>IFERROR(__xludf.DUMMYFUNCTION("""COMPUTED_VALUE"""),"*En cours*")</f>
        <v>*En cours*</v>
      </c>
      <c r="G48" t="str">
        <f>IFERROR(__xludf.DUMMYFUNCTION("""COMPUTED_VALUE"""),"Républicain")</f>
        <v>Républicain</v>
      </c>
      <c r="H48" t="str">
        <f>IFERROR(__xludf.DUMMYFUNCTION("""COMPUTED_VALUE"""),"[au]")</f>
        <v>[au]</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IFERROR(__xludf.DUMMYFUNCTION("IMPORTHTML(""http://en.wikipedia.org/wiki/List_of_Presidents_of_the_United_States"", ""table"")"),"No.[a]")</f>
        <v>No.[a]</v>
      </c>
      <c r="B1" t="str">
        <f>IFERROR(__xludf.DUMMYFUNCTION("""COMPUTED_VALUE"""),"Portrait")</f>
        <v>Portrait</v>
      </c>
      <c r="C1" t="str">
        <f>IFERROR(__xludf.DUMMYFUNCTION("""COMPUTED_VALUE"""),"Name
(birth–death)")</f>
        <v>Name
(birth–death)</v>
      </c>
      <c r="D1" t="str">
        <f>IFERROR(__xludf.DUMMYFUNCTION("""COMPUTED_VALUE"""),"Term[16]")</f>
        <v>Term[16]</v>
      </c>
      <c r="E1" t="str">
        <f>IFERROR(__xludf.DUMMYFUNCTION("""COMPUTED_VALUE"""),"Party[b][17]")</f>
        <v>Party[b][17]</v>
      </c>
      <c r="G1" t="str">
        <f>IFERROR(__xludf.DUMMYFUNCTION("""COMPUTED_VALUE"""),"Election")</f>
        <v>Election</v>
      </c>
      <c r="H1" t="str">
        <f>IFERROR(__xludf.DUMMYFUNCTION("""COMPUTED_VALUE"""),"Vice President[18]")</f>
        <v>Vice President[18]</v>
      </c>
    </row>
    <row r="2">
      <c r="A2">
        <f>IFERROR(__xludf.DUMMYFUNCTION("""COMPUTED_VALUE"""),1.0)</f>
        <v>1</v>
      </c>
      <c r="C2" t="str">
        <f>IFERROR(__xludf.DUMMYFUNCTION("""COMPUTED_VALUE"""),"*George Washington*
(1732–1799)
[19]")</f>
        <v>*George Washington*
(1732–1799)
[19]</v>
      </c>
      <c r="D2" t="str">
        <f>IFERROR(__xludf.DUMMYFUNCTION("""COMPUTED_VALUE"""),"April 30, 1789
–
March 4, 1797")</f>
        <v>April 30, 1789
–
March 4, 1797</v>
      </c>
      <c r="F2" t="str">
        <f>IFERROR(__xludf.DUMMYFUNCTION("""COMPUTED_VALUE"""),"*Unaffiliated*")</f>
        <v>*Unaffiliated*</v>
      </c>
      <c r="G2" t="str">
        <f>IFERROR(__xludf.DUMMYFUNCTION("""COMPUTED_VALUE"""),"1788–89")</f>
        <v>1788–89</v>
      </c>
      <c r="H2" t="str">
        <f>IFERROR(__xludf.DUMMYFUNCTION("""COMPUTED_VALUE"""),"John Adams[c]")</f>
        <v>John Adams[c]</v>
      </c>
    </row>
    <row r="3">
      <c r="G3">
        <f>IFERROR(__xludf.DUMMYFUNCTION("""COMPUTED_VALUE"""),1792.0)</f>
        <v>1792</v>
      </c>
    </row>
    <row r="4">
      <c r="A4">
        <f>IFERROR(__xludf.DUMMYFUNCTION("""COMPUTED_VALUE"""),2.0)</f>
        <v>2</v>
      </c>
      <c r="C4" t="str">
        <f>IFERROR(__xludf.DUMMYFUNCTION("""COMPUTED_VALUE"""),"*John Adams*
(1735–1826)
[21]")</f>
        <v>*John Adams*
(1735–1826)
[21]</v>
      </c>
      <c r="D4" t="str">
        <f>IFERROR(__xludf.DUMMYFUNCTION("""COMPUTED_VALUE"""),"March 4, 1797
–
March 4, 1801")</f>
        <v>March 4, 1797
–
March 4, 1801</v>
      </c>
      <c r="F4" t="str">
        <f>IFERROR(__xludf.DUMMYFUNCTION("""COMPUTED_VALUE"""),"Federalist")</f>
        <v>Federalist</v>
      </c>
      <c r="G4">
        <f>IFERROR(__xludf.DUMMYFUNCTION("""COMPUTED_VALUE"""),1796.0)</f>
        <v>1796</v>
      </c>
      <c r="H4" t="str">
        <f>IFERROR(__xludf.DUMMYFUNCTION("""COMPUTED_VALUE"""),"Thomas Jefferson[d]")</f>
        <v>Thomas Jefferson[d]</v>
      </c>
    </row>
    <row r="5">
      <c r="A5">
        <f>IFERROR(__xludf.DUMMYFUNCTION("""COMPUTED_VALUE"""),3.0)</f>
        <v>3</v>
      </c>
      <c r="C5" t="str">
        <f>IFERROR(__xludf.DUMMYFUNCTION("""COMPUTED_VALUE"""),"*Thomas Jefferson*
(1743–1826)
[23]")</f>
        <v>*Thomas Jefferson*
(1743–1826)
[23]</v>
      </c>
      <c r="D5" t="str">
        <f>IFERROR(__xludf.DUMMYFUNCTION("""COMPUTED_VALUE"""),"March 4, 1801
–
March 4, 1809")</f>
        <v>March 4, 1801
–
March 4, 1809</v>
      </c>
      <c r="F5" t="str">
        <f>IFERROR(__xludf.DUMMYFUNCTION("""COMPUTED_VALUE"""),"Democratic-
Republican")</f>
        <v>Democratic-
Republican</v>
      </c>
      <c r="G5">
        <f>IFERROR(__xludf.DUMMYFUNCTION("""COMPUTED_VALUE"""),1800.0)</f>
        <v>1800</v>
      </c>
      <c r="H5" t="str">
        <f>IFERROR(__xludf.DUMMYFUNCTION("""COMPUTED_VALUE"""),"Aaron Burr")</f>
        <v>Aaron Burr</v>
      </c>
    </row>
    <row r="6">
      <c r="G6">
        <f>IFERROR(__xludf.DUMMYFUNCTION("""COMPUTED_VALUE"""),1804.0)</f>
        <v>1804</v>
      </c>
      <c r="H6" t="str">
        <f>IFERROR(__xludf.DUMMYFUNCTION("""COMPUTED_VALUE"""),"George Clinton")</f>
        <v>George Clinton</v>
      </c>
    </row>
    <row r="7">
      <c r="A7">
        <f>IFERROR(__xludf.DUMMYFUNCTION("""COMPUTED_VALUE"""),4.0)</f>
        <v>4</v>
      </c>
      <c r="C7" t="str">
        <f>IFERROR(__xludf.DUMMYFUNCTION("""COMPUTED_VALUE"""),"*James Madison*
(1751–1836)
[24]")</f>
        <v>*James Madison*
(1751–1836)
[24]</v>
      </c>
      <c r="D7" t="str">
        <f>IFERROR(__xludf.DUMMYFUNCTION("""COMPUTED_VALUE"""),"March 4, 1809
–
March 4, 1817")</f>
        <v>March 4, 1809
–
March 4, 1817</v>
      </c>
      <c r="F7" t="str">
        <f>IFERROR(__xludf.DUMMYFUNCTION("""COMPUTED_VALUE"""),"Democratic-
Republican")</f>
        <v>Democratic-
Republican</v>
      </c>
      <c r="G7">
        <f>IFERROR(__xludf.DUMMYFUNCTION("""COMPUTED_VALUE"""),1808.0)</f>
        <v>1808</v>
      </c>
      <c r="H7" t="str">
        <f>IFERROR(__xludf.DUMMYFUNCTION("""COMPUTED_VALUE"""),"George Clinton[e]")</f>
        <v>George Clinton[e]</v>
      </c>
    </row>
    <row r="8">
      <c r="H8" t="str">
        <f>IFERROR(__xludf.DUMMYFUNCTION("""COMPUTED_VALUE"""),"*Vacant afterApril 20, 1812*")</f>
        <v>*Vacant afterApril 20, 1812*</v>
      </c>
    </row>
    <row r="9">
      <c r="G9">
        <f>IFERROR(__xludf.DUMMYFUNCTION("""COMPUTED_VALUE"""),1812.0)</f>
        <v>1812</v>
      </c>
      <c r="H9" t="str">
        <f>IFERROR(__xludf.DUMMYFUNCTION("""COMPUTED_VALUE"""),"Elbridge Gerry[e]")</f>
        <v>Elbridge Gerry[e]</v>
      </c>
    </row>
    <row r="10">
      <c r="H10" t="str">
        <f>IFERROR(__xludf.DUMMYFUNCTION("""COMPUTED_VALUE"""),"*Vacant afterNovember 23, 1814*")</f>
        <v>*Vacant afterNovember 23, 1814*</v>
      </c>
    </row>
    <row r="11">
      <c r="A11">
        <f>IFERROR(__xludf.DUMMYFUNCTION("""COMPUTED_VALUE"""),5.0)</f>
        <v>5</v>
      </c>
      <c r="C11" t="str">
        <f>IFERROR(__xludf.DUMMYFUNCTION("""COMPUTED_VALUE"""),"*James Monroe*
(1758–1831)
[26]")</f>
        <v>*James Monroe*
(1758–1831)
[26]</v>
      </c>
      <c r="D11" t="str">
        <f>IFERROR(__xludf.DUMMYFUNCTION("""COMPUTED_VALUE"""),"March 4, 1817
–
March 4, 1825")</f>
        <v>March 4, 1817
–
March 4, 1825</v>
      </c>
      <c r="F11" t="str">
        <f>IFERROR(__xludf.DUMMYFUNCTION("""COMPUTED_VALUE"""),"Democratic-
Republican")</f>
        <v>Democratic-
Republican</v>
      </c>
      <c r="G11">
        <f>IFERROR(__xludf.DUMMYFUNCTION("""COMPUTED_VALUE"""),1816.0)</f>
        <v>1816</v>
      </c>
      <c r="H11" t="str">
        <f>IFERROR(__xludf.DUMMYFUNCTION("""COMPUTED_VALUE"""),"Daniel D. Tompkins")</f>
        <v>Daniel D. Tompkins</v>
      </c>
    </row>
    <row r="12">
      <c r="G12">
        <f>IFERROR(__xludf.DUMMYFUNCTION("""COMPUTED_VALUE"""),1820.0)</f>
        <v>1820</v>
      </c>
    </row>
    <row r="13">
      <c r="A13">
        <f>IFERROR(__xludf.DUMMYFUNCTION("""COMPUTED_VALUE"""),6.0)</f>
        <v>6</v>
      </c>
      <c r="C13" t="str">
        <f>IFERROR(__xludf.DUMMYFUNCTION("""COMPUTED_VALUE"""),"*John Quincy Adams*
(1767–1848)
[27]")</f>
        <v>*John Quincy Adams*
(1767–1848)
[27]</v>
      </c>
      <c r="D13" t="str">
        <f>IFERROR(__xludf.DUMMYFUNCTION("""COMPUTED_VALUE"""),"March 4, 1825
–
March 4, 1829")</f>
        <v>March 4, 1825
–
March 4, 1829</v>
      </c>
      <c r="F13" t="str">
        <f>IFERROR(__xludf.DUMMYFUNCTION("""COMPUTED_VALUE"""),"Democratic-
Republican[f]")</f>
        <v>Democratic-
Republican[f]</v>
      </c>
      <c r="G13">
        <f>IFERROR(__xludf.DUMMYFUNCTION("""COMPUTED_VALUE"""),1824.0)</f>
        <v>1824</v>
      </c>
      <c r="H13" t="str">
        <f>IFERROR(__xludf.DUMMYFUNCTION("""COMPUTED_VALUE"""),"John C. Calhoun[g]")</f>
        <v>John C. Calhoun[g]</v>
      </c>
    </row>
    <row r="14">
      <c r="F14" t="str">
        <f>IFERROR(__xludf.DUMMYFUNCTION("""COMPUTED_VALUE"""),"National Republican")</f>
        <v>National Republican</v>
      </c>
    </row>
    <row r="15">
      <c r="A15">
        <f>IFERROR(__xludf.DUMMYFUNCTION("""COMPUTED_VALUE"""),7.0)</f>
        <v>7</v>
      </c>
      <c r="C15" t="str">
        <f>IFERROR(__xludf.DUMMYFUNCTION("""COMPUTED_VALUE"""),"*Andrew Jackson*
(1767–1845)
[30]")</f>
        <v>*Andrew Jackson*
(1767–1845)
[30]</v>
      </c>
      <c r="D15" t="str">
        <f>IFERROR(__xludf.DUMMYFUNCTION("""COMPUTED_VALUE"""),"March 4, 1829
–
March 4, 1837")</f>
        <v>March 4, 1829
–
March 4, 1837</v>
      </c>
      <c r="F15" t="str">
        <f>IFERROR(__xludf.DUMMYFUNCTION("""COMPUTED_VALUE"""),"Democratic")</f>
        <v>Democratic</v>
      </c>
      <c r="G15">
        <f>IFERROR(__xludf.DUMMYFUNCTION("""COMPUTED_VALUE"""),1828.0)</f>
        <v>1828</v>
      </c>
      <c r="H15" t="str">
        <f>IFERROR(__xludf.DUMMYFUNCTION("""COMPUTED_VALUE"""),"John C. Calhoun[h]")</f>
        <v>John C. Calhoun[h]</v>
      </c>
    </row>
    <row r="16">
      <c r="H16" t="str">
        <f>IFERROR(__xludf.DUMMYFUNCTION("""COMPUTED_VALUE"""),"*Vacant afterDecember 28, 1832*")</f>
        <v>*Vacant afterDecember 28, 1832*</v>
      </c>
    </row>
    <row r="17">
      <c r="G17">
        <f>IFERROR(__xludf.DUMMYFUNCTION("""COMPUTED_VALUE"""),1832.0)</f>
        <v>1832</v>
      </c>
      <c r="H17" t="str">
        <f>IFERROR(__xludf.DUMMYFUNCTION("""COMPUTED_VALUE"""),"Martin Van Buren")</f>
        <v>Martin Van Buren</v>
      </c>
    </row>
    <row r="18">
      <c r="A18">
        <f>IFERROR(__xludf.DUMMYFUNCTION("""COMPUTED_VALUE"""),8.0)</f>
        <v>8</v>
      </c>
      <c r="C18" t="str">
        <f>IFERROR(__xludf.DUMMYFUNCTION("""COMPUTED_VALUE"""),"*Martin Van Buren*
(1782–1862)
[31]")</f>
        <v>*Martin Van Buren*
(1782–1862)
[31]</v>
      </c>
      <c r="D18" t="str">
        <f>IFERROR(__xludf.DUMMYFUNCTION("""COMPUTED_VALUE"""),"March 4, 1837
–
March 4, 1841")</f>
        <v>March 4, 1837
–
March 4, 1841</v>
      </c>
      <c r="F18" t="str">
        <f>IFERROR(__xludf.DUMMYFUNCTION("""COMPUTED_VALUE"""),"Democratic")</f>
        <v>Democratic</v>
      </c>
      <c r="G18">
        <f>IFERROR(__xludf.DUMMYFUNCTION("""COMPUTED_VALUE"""),1836.0)</f>
        <v>1836</v>
      </c>
      <c r="H18" t="str">
        <f>IFERROR(__xludf.DUMMYFUNCTION("""COMPUTED_VALUE"""),"Richard Mentor Johnson")</f>
        <v>Richard Mentor Johnson</v>
      </c>
    </row>
    <row r="19">
      <c r="A19">
        <f>IFERROR(__xludf.DUMMYFUNCTION("""COMPUTED_VALUE"""),9.0)</f>
        <v>9</v>
      </c>
      <c r="C19" t="str">
        <f>IFERROR(__xludf.DUMMYFUNCTION("""COMPUTED_VALUE"""),"*William Henry Harrison*
(1773–1841)
[32]")</f>
        <v>*William Henry Harrison*
(1773–1841)
[32]</v>
      </c>
      <c r="D19" t="str">
        <f>IFERROR(__xludf.DUMMYFUNCTION("""COMPUTED_VALUE"""),"March 4, 1841
–
April 4, 1841[e]")</f>
        <v>March 4, 1841
–
April 4, 1841[e]</v>
      </c>
      <c r="F19" t="str">
        <f>IFERROR(__xludf.DUMMYFUNCTION("""COMPUTED_VALUE"""),"Whig")</f>
        <v>Whig</v>
      </c>
      <c r="G19">
        <f>IFERROR(__xludf.DUMMYFUNCTION("""COMPUTED_VALUE"""),1840.0)</f>
        <v>1840</v>
      </c>
      <c r="H19" t="str">
        <f>IFERROR(__xludf.DUMMYFUNCTION("""COMPUTED_VALUE"""),"John Tyler")</f>
        <v>John Tyler</v>
      </c>
    </row>
    <row r="20">
      <c r="A20">
        <f>IFERROR(__xludf.DUMMYFUNCTION("""COMPUTED_VALUE"""),10.0)</f>
        <v>10</v>
      </c>
      <c r="C20" t="str">
        <f>IFERROR(__xludf.DUMMYFUNCTION("""COMPUTED_VALUE"""),"*John Tyler*
(1790–1862)
[33]")</f>
        <v>*John Tyler*
(1790–1862)
[33]</v>
      </c>
      <c r="D20" t="str">
        <f>IFERROR(__xludf.DUMMYFUNCTION("""COMPUTED_VALUE"""),"April 4, 1841[i]
–
March 4, 1845")</f>
        <v>April 4, 1841[i]
–
March 4, 1845</v>
      </c>
      <c r="F20" t="str">
        <f>IFERROR(__xludf.DUMMYFUNCTION("""COMPUTED_VALUE"""),"Whig[j]")</f>
        <v>Whig[j]</v>
      </c>
      <c r="G20" t="str">
        <f>IFERROR(__xludf.DUMMYFUNCTION("""COMPUTED_VALUE"""),"–")</f>
        <v>–</v>
      </c>
      <c r="H20" t="str">
        <f>IFERROR(__xludf.DUMMYFUNCTION("""COMPUTED_VALUE"""),"*Vacant throughoutpresidency*")</f>
        <v>*Vacant throughoutpresidency*</v>
      </c>
    </row>
    <row r="21">
      <c r="F21" t="str">
        <f>IFERROR(__xludf.DUMMYFUNCTION("""COMPUTED_VALUE"""),"*Unaffiliated*")</f>
        <v>*Unaffiliated*</v>
      </c>
    </row>
    <row r="22">
      <c r="A22">
        <f>IFERROR(__xludf.DUMMYFUNCTION("""COMPUTED_VALUE"""),11.0)</f>
        <v>11</v>
      </c>
      <c r="C22" t="str">
        <f>IFERROR(__xludf.DUMMYFUNCTION("""COMPUTED_VALUE"""),"*James K. Polk*
(1795–1849)
[36]")</f>
        <v>*James K. Polk*
(1795–1849)
[36]</v>
      </c>
      <c r="D22" t="str">
        <f>IFERROR(__xludf.DUMMYFUNCTION("""COMPUTED_VALUE"""),"March 4, 1845
–
March 4, 1849")</f>
        <v>March 4, 1845
–
March 4, 1849</v>
      </c>
      <c r="F22" t="str">
        <f>IFERROR(__xludf.DUMMYFUNCTION("""COMPUTED_VALUE"""),"Democratic")</f>
        <v>Democratic</v>
      </c>
      <c r="G22">
        <f>IFERROR(__xludf.DUMMYFUNCTION("""COMPUTED_VALUE"""),1844.0)</f>
        <v>1844</v>
      </c>
      <c r="H22" t="str">
        <f>IFERROR(__xludf.DUMMYFUNCTION("""COMPUTED_VALUE"""),"George M. Dallas")</f>
        <v>George M. Dallas</v>
      </c>
    </row>
    <row r="23">
      <c r="A23">
        <f>IFERROR(__xludf.DUMMYFUNCTION("""COMPUTED_VALUE"""),12.0)</f>
        <v>12</v>
      </c>
      <c r="C23" t="str">
        <f>IFERROR(__xludf.DUMMYFUNCTION("""COMPUTED_VALUE"""),"*Zachary Taylor*
(1784–1850)
[37]")</f>
        <v>*Zachary Taylor*
(1784–1850)
[37]</v>
      </c>
      <c r="D23" t="str">
        <f>IFERROR(__xludf.DUMMYFUNCTION("""COMPUTED_VALUE"""),"March 4, 1849
–
July 9, 1850[e]")</f>
        <v>March 4, 1849
–
July 9, 1850[e]</v>
      </c>
      <c r="F23" t="str">
        <f>IFERROR(__xludf.DUMMYFUNCTION("""COMPUTED_VALUE"""),"Whig")</f>
        <v>Whig</v>
      </c>
      <c r="G23">
        <f>IFERROR(__xludf.DUMMYFUNCTION("""COMPUTED_VALUE"""),1848.0)</f>
        <v>1848</v>
      </c>
      <c r="H23" t="str">
        <f>IFERROR(__xludf.DUMMYFUNCTION("""COMPUTED_VALUE"""),"Millard Fillmore")</f>
        <v>Millard Fillmore</v>
      </c>
    </row>
    <row r="24">
      <c r="A24">
        <f>IFERROR(__xludf.DUMMYFUNCTION("""COMPUTED_VALUE"""),13.0)</f>
        <v>13</v>
      </c>
      <c r="C24" t="str">
        <f>IFERROR(__xludf.DUMMYFUNCTION("""COMPUTED_VALUE"""),"*Millard Fillmore*
(1800–1874)
[38]")</f>
        <v>*Millard Fillmore*
(1800–1874)
[38]</v>
      </c>
      <c r="D24" t="str">
        <f>IFERROR(__xludf.DUMMYFUNCTION("""COMPUTED_VALUE"""),"July 9, 1850[k]
–
March 4, 1853")</f>
        <v>July 9, 1850[k]
–
March 4, 1853</v>
      </c>
      <c r="F24" t="str">
        <f>IFERROR(__xludf.DUMMYFUNCTION("""COMPUTED_VALUE"""),"Whig")</f>
        <v>Whig</v>
      </c>
      <c r="G24" t="str">
        <f>IFERROR(__xludf.DUMMYFUNCTION("""COMPUTED_VALUE"""),"–")</f>
        <v>–</v>
      </c>
      <c r="H24" t="str">
        <f>IFERROR(__xludf.DUMMYFUNCTION("""COMPUTED_VALUE"""),"*Vacant throughoutpresidency*")</f>
        <v>*Vacant throughoutpresidency*</v>
      </c>
    </row>
    <row r="25">
      <c r="A25">
        <f>IFERROR(__xludf.DUMMYFUNCTION("""COMPUTED_VALUE"""),14.0)</f>
        <v>14</v>
      </c>
      <c r="C25" t="str">
        <f>IFERROR(__xludf.DUMMYFUNCTION("""COMPUTED_VALUE"""),"*Franklin Pierce*
(1804–1869)
[40]")</f>
        <v>*Franklin Pierce*
(1804–1869)
[40]</v>
      </c>
      <c r="D25" t="str">
        <f>IFERROR(__xludf.DUMMYFUNCTION("""COMPUTED_VALUE"""),"March 4, 1853
–
March 4, 1857")</f>
        <v>March 4, 1853
–
March 4, 1857</v>
      </c>
      <c r="F25" t="str">
        <f>IFERROR(__xludf.DUMMYFUNCTION("""COMPUTED_VALUE"""),"Democratic")</f>
        <v>Democratic</v>
      </c>
      <c r="G25">
        <f>IFERROR(__xludf.DUMMYFUNCTION("""COMPUTED_VALUE"""),1852.0)</f>
        <v>1852</v>
      </c>
      <c r="H25" t="str">
        <f>IFERROR(__xludf.DUMMYFUNCTION("""COMPUTED_VALUE"""),"William R. King[e]")</f>
        <v>William R. King[e]</v>
      </c>
    </row>
    <row r="26">
      <c r="H26" t="str">
        <f>IFERROR(__xludf.DUMMYFUNCTION("""COMPUTED_VALUE"""),"*Vacant afterApril 18, 1853*")</f>
        <v>*Vacant afterApril 18, 1853*</v>
      </c>
    </row>
    <row r="27">
      <c r="A27">
        <f>IFERROR(__xludf.DUMMYFUNCTION("""COMPUTED_VALUE"""),15.0)</f>
        <v>15</v>
      </c>
      <c r="C27" t="str">
        <f>IFERROR(__xludf.DUMMYFUNCTION("""COMPUTED_VALUE"""),"*James Buchanan*
(1791–1868)
[41]")</f>
        <v>*James Buchanan*
(1791–1868)
[41]</v>
      </c>
      <c r="D27" t="str">
        <f>IFERROR(__xludf.DUMMYFUNCTION("""COMPUTED_VALUE"""),"March 4, 1857
–
March 4, 1861")</f>
        <v>March 4, 1857
–
March 4, 1861</v>
      </c>
      <c r="F27" t="str">
        <f>IFERROR(__xludf.DUMMYFUNCTION("""COMPUTED_VALUE"""),"Democratic")</f>
        <v>Democratic</v>
      </c>
      <c r="G27">
        <f>IFERROR(__xludf.DUMMYFUNCTION("""COMPUTED_VALUE"""),1856.0)</f>
        <v>1856</v>
      </c>
      <c r="H27" t="str">
        <f>IFERROR(__xludf.DUMMYFUNCTION("""COMPUTED_VALUE"""),"John C. Breckinridge")</f>
        <v>John C. Breckinridge</v>
      </c>
    </row>
    <row r="28">
      <c r="A28">
        <f>IFERROR(__xludf.DUMMYFUNCTION("""COMPUTED_VALUE"""),16.0)</f>
        <v>16</v>
      </c>
      <c r="C28" t="str">
        <f>IFERROR(__xludf.DUMMYFUNCTION("""COMPUTED_VALUE"""),"*Abraham Lincoln*
(1809–1865)
[42]")</f>
        <v>*Abraham Lincoln*
(1809–1865)
[42]</v>
      </c>
      <c r="D28" t="str">
        <f>IFERROR(__xludf.DUMMYFUNCTION("""COMPUTED_VALUE"""),"March 4, 1861
–
April 15, 1865[e]")</f>
        <v>March 4, 1861
–
April 15, 1865[e]</v>
      </c>
      <c r="F28" t="str">
        <f>IFERROR(__xludf.DUMMYFUNCTION("""COMPUTED_VALUE"""),"Republican")</f>
        <v>Republican</v>
      </c>
      <c r="G28">
        <f>IFERROR(__xludf.DUMMYFUNCTION("""COMPUTED_VALUE"""),1860.0)</f>
        <v>1860</v>
      </c>
      <c r="H28" t="str">
        <f>IFERROR(__xludf.DUMMYFUNCTION("""COMPUTED_VALUE"""),"Hannibal Hamlin")</f>
        <v>Hannibal Hamlin</v>
      </c>
    </row>
    <row r="29">
      <c r="F29" t="str">
        <f>IFERROR(__xludf.DUMMYFUNCTION("""COMPUTED_VALUE"""),"National Union[l]")</f>
        <v>National Union[l]</v>
      </c>
      <c r="G29">
        <f>IFERROR(__xludf.DUMMYFUNCTION("""COMPUTED_VALUE"""),1864.0)</f>
        <v>1864</v>
      </c>
      <c r="H29" t="str">
        <f>IFERROR(__xludf.DUMMYFUNCTION("""COMPUTED_VALUE"""),"Andrew Johnson")</f>
        <v>Andrew Johnson</v>
      </c>
    </row>
    <row r="30">
      <c r="A30">
        <f>IFERROR(__xludf.DUMMYFUNCTION("""COMPUTED_VALUE"""),17.0)</f>
        <v>17</v>
      </c>
      <c r="C30" t="str">
        <f>IFERROR(__xludf.DUMMYFUNCTION("""COMPUTED_VALUE"""),"*Andrew Johnson*
(1808–1875)
[44]")</f>
        <v>*Andrew Johnson*
(1808–1875)
[44]</v>
      </c>
      <c r="D30" t="str">
        <f>IFERROR(__xludf.DUMMYFUNCTION("""COMPUTED_VALUE"""),"April 15, 1865[m]
–
March 4, 1869")</f>
        <v>April 15, 1865[m]
–
March 4, 1869</v>
      </c>
      <c r="F30" t="str">
        <f>IFERROR(__xludf.DUMMYFUNCTION("""COMPUTED_VALUE"""),"National Union[n]")</f>
        <v>National Union[n]</v>
      </c>
      <c r="G30" t="str">
        <f>IFERROR(__xludf.DUMMYFUNCTION("""COMPUTED_VALUE"""),"–")</f>
        <v>–</v>
      </c>
      <c r="H30" t="str">
        <f>IFERROR(__xludf.DUMMYFUNCTION("""COMPUTED_VALUE"""),"*Vacant throughoutpresidency*")</f>
        <v>*Vacant throughoutpresidency*</v>
      </c>
    </row>
    <row r="31">
      <c r="F31" t="str">
        <f>IFERROR(__xludf.DUMMYFUNCTION("""COMPUTED_VALUE"""),"Democratic")</f>
        <v>Democratic</v>
      </c>
    </row>
    <row r="32">
      <c r="A32">
        <f>IFERROR(__xludf.DUMMYFUNCTION("""COMPUTED_VALUE"""),18.0)</f>
        <v>18</v>
      </c>
      <c r="C32" t="str">
        <f>IFERROR(__xludf.DUMMYFUNCTION("""COMPUTED_VALUE"""),"*Ulysses S. Grant*
(1822–1885)
[45]")</f>
        <v>*Ulysses S. Grant*
(1822–1885)
[45]</v>
      </c>
      <c r="D32" t="str">
        <f>IFERROR(__xludf.DUMMYFUNCTION("""COMPUTED_VALUE"""),"March 4, 1869
–
March 4, 1877")</f>
        <v>March 4, 1869
–
March 4, 1877</v>
      </c>
      <c r="F32" t="str">
        <f>IFERROR(__xludf.DUMMYFUNCTION("""COMPUTED_VALUE"""),"Republican")</f>
        <v>Republican</v>
      </c>
      <c r="G32">
        <f>IFERROR(__xludf.DUMMYFUNCTION("""COMPUTED_VALUE"""),1868.0)</f>
        <v>1868</v>
      </c>
      <c r="H32" t="str">
        <f>IFERROR(__xludf.DUMMYFUNCTION("""COMPUTED_VALUE"""),"Schuyler Colfax")</f>
        <v>Schuyler Colfax</v>
      </c>
    </row>
    <row r="33">
      <c r="G33">
        <f>IFERROR(__xludf.DUMMYFUNCTION("""COMPUTED_VALUE"""),1872.0)</f>
        <v>1872</v>
      </c>
      <c r="H33" t="str">
        <f>IFERROR(__xludf.DUMMYFUNCTION("""COMPUTED_VALUE"""),"Henry Wilson[e]")</f>
        <v>Henry Wilson[e]</v>
      </c>
    </row>
    <row r="34">
      <c r="H34" t="str">
        <f>IFERROR(__xludf.DUMMYFUNCTION("""COMPUTED_VALUE"""),"*Vacant afterNovember 22, 1875*")</f>
        <v>*Vacant afterNovember 22, 1875*</v>
      </c>
    </row>
    <row r="35">
      <c r="A35">
        <f>IFERROR(__xludf.DUMMYFUNCTION("""COMPUTED_VALUE"""),19.0)</f>
        <v>19</v>
      </c>
      <c r="C35" t="str">
        <f>IFERROR(__xludf.DUMMYFUNCTION("""COMPUTED_VALUE"""),"*Rutherford B. Hayes*
(1822–1893)
[46]")</f>
        <v>*Rutherford B. Hayes*
(1822–1893)
[46]</v>
      </c>
      <c r="D35" t="str">
        <f>IFERROR(__xludf.DUMMYFUNCTION("""COMPUTED_VALUE"""),"March 4, 1877
–
March 4, 1881")</f>
        <v>March 4, 1877
–
March 4, 1881</v>
      </c>
      <c r="F35" t="str">
        <f>IFERROR(__xludf.DUMMYFUNCTION("""COMPUTED_VALUE"""),"Republican")</f>
        <v>Republican</v>
      </c>
      <c r="G35">
        <f>IFERROR(__xludf.DUMMYFUNCTION("""COMPUTED_VALUE"""),1876.0)</f>
        <v>1876</v>
      </c>
      <c r="H35" t="str">
        <f>IFERROR(__xludf.DUMMYFUNCTION("""COMPUTED_VALUE"""),"William A. Wheeler")</f>
        <v>William A. Wheeler</v>
      </c>
    </row>
    <row r="36">
      <c r="A36">
        <f>IFERROR(__xludf.DUMMYFUNCTION("""COMPUTED_VALUE"""),20.0)</f>
        <v>20</v>
      </c>
      <c r="C36" t="str">
        <f>IFERROR(__xludf.DUMMYFUNCTION("""COMPUTED_VALUE"""),"*James A. Garfield*
(1831–1881)
[47]")</f>
        <v>*James A. Garfield*
(1831–1881)
[47]</v>
      </c>
      <c r="D36" t="str">
        <f>IFERROR(__xludf.DUMMYFUNCTION("""COMPUTED_VALUE"""),"March 4, 1881
–
September 19, 1881[e]")</f>
        <v>March 4, 1881
–
September 19, 1881[e]</v>
      </c>
      <c r="F36" t="str">
        <f>IFERROR(__xludf.DUMMYFUNCTION("""COMPUTED_VALUE"""),"Republican")</f>
        <v>Republican</v>
      </c>
      <c r="G36">
        <f>IFERROR(__xludf.DUMMYFUNCTION("""COMPUTED_VALUE"""),1880.0)</f>
        <v>1880</v>
      </c>
      <c r="H36" t="str">
        <f>IFERROR(__xludf.DUMMYFUNCTION("""COMPUTED_VALUE"""),"Chester A. Arthur")</f>
        <v>Chester A. Arthur</v>
      </c>
    </row>
    <row r="37">
      <c r="A37">
        <f>IFERROR(__xludf.DUMMYFUNCTION("""COMPUTED_VALUE"""),21.0)</f>
        <v>21</v>
      </c>
      <c r="C37" t="str">
        <f>IFERROR(__xludf.DUMMYFUNCTION("""COMPUTED_VALUE"""),"*Chester A. Arthur*
(1829–1886)
[48]")</f>
        <v>*Chester A. Arthur*
(1829–1886)
[48]</v>
      </c>
      <c r="D37" t="str">
        <f>IFERROR(__xludf.DUMMYFUNCTION("""COMPUTED_VALUE"""),"September 19, 1881[o]
–
March 4, 1885")</f>
        <v>September 19, 1881[o]
–
March 4, 1885</v>
      </c>
      <c r="F37" t="str">
        <f>IFERROR(__xludf.DUMMYFUNCTION("""COMPUTED_VALUE"""),"Republican")</f>
        <v>Republican</v>
      </c>
      <c r="G37" t="str">
        <f>IFERROR(__xludf.DUMMYFUNCTION("""COMPUTED_VALUE"""),"–")</f>
        <v>–</v>
      </c>
      <c r="H37" t="str">
        <f>IFERROR(__xludf.DUMMYFUNCTION("""COMPUTED_VALUE"""),"*Vacant throughoutpresidency*")</f>
        <v>*Vacant throughoutpresidency*</v>
      </c>
    </row>
    <row r="38">
      <c r="A38">
        <f>IFERROR(__xludf.DUMMYFUNCTION("""COMPUTED_VALUE"""),22.0)</f>
        <v>22</v>
      </c>
      <c r="C38" t="str">
        <f>IFERROR(__xludf.DUMMYFUNCTION("""COMPUTED_VALUE"""),"*Grover Cleveland*
(1837–1908)
*1st term*
[50]")</f>
        <v>*Grover Cleveland*
(1837–1908)
*1st term*
[50]</v>
      </c>
      <c r="D38" t="str">
        <f>IFERROR(__xludf.DUMMYFUNCTION("""COMPUTED_VALUE"""),"March 4, 1885
–
March 4, 1889")</f>
        <v>March 4, 1885
–
March 4, 1889</v>
      </c>
      <c r="F38" t="str">
        <f>IFERROR(__xludf.DUMMYFUNCTION("""COMPUTED_VALUE"""),"Democratic")</f>
        <v>Democratic</v>
      </c>
      <c r="G38">
        <f>IFERROR(__xludf.DUMMYFUNCTION("""COMPUTED_VALUE"""),1884.0)</f>
        <v>1884</v>
      </c>
      <c r="H38" t="str">
        <f>IFERROR(__xludf.DUMMYFUNCTION("""COMPUTED_VALUE"""),"Thomas A. Hendricks[e]")</f>
        <v>Thomas A. Hendricks[e]</v>
      </c>
    </row>
    <row r="39">
      <c r="H39" t="str">
        <f>IFERROR(__xludf.DUMMYFUNCTION("""COMPUTED_VALUE"""),"*Vacant afterNovember 25, 1885*")</f>
        <v>*Vacant afterNovember 25, 1885*</v>
      </c>
    </row>
    <row r="40">
      <c r="A40">
        <f>IFERROR(__xludf.DUMMYFUNCTION("""COMPUTED_VALUE"""),23.0)</f>
        <v>23</v>
      </c>
      <c r="C40" t="str">
        <f>IFERROR(__xludf.DUMMYFUNCTION("""COMPUTED_VALUE"""),"*Benjamin Harrison*
(1833–1901)
[51]")</f>
        <v>*Benjamin Harrison*
(1833–1901)
[51]</v>
      </c>
      <c r="D40" t="str">
        <f>IFERROR(__xludf.DUMMYFUNCTION("""COMPUTED_VALUE"""),"March 4, 1889
–
March 4, 1893")</f>
        <v>March 4, 1889
–
March 4, 1893</v>
      </c>
      <c r="F40" t="str">
        <f>IFERROR(__xludf.DUMMYFUNCTION("""COMPUTED_VALUE"""),"Republican")</f>
        <v>Republican</v>
      </c>
      <c r="G40">
        <f>IFERROR(__xludf.DUMMYFUNCTION("""COMPUTED_VALUE"""),1888.0)</f>
        <v>1888</v>
      </c>
      <c r="H40" t="str">
        <f>IFERROR(__xludf.DUMMYFUNCTION("""COMPUTED_VALUE"""),"Levi P. Morton")</f>
        <v>Levi P. Morton</v>
      </c>
    </row>
    <row r="41">
      <c r="A41">
        <f>IFERROR(__xludf.DUMMYFUNCTION("""COMPUTED_VALUE"""),24.0)</f>
        <v>24</v>
      </c>
      <c r="C41" t="str">
        <f>IFERROR(__xludf.DUMMYFUNCTION("""COMPUTED_VALUE"""),"*Grover Cleveland*
(1837–1908)
*2nd term*
[50]")</f>
        <v>*Grover Cleveland*
(1837–1908)
*2nd term*
[50]</v>
      </c>
      <c r="D41" t="str">
        <f>IFERROR(__xludf.DUMMYFUNCTION("""COMPUTED_VALUE"""),"March 4, 1893
–
March 4, 1897")</f>
        <v>March 4, 1893
–
March 4, 1897</v>
      </c>
      <c r="F41" t="str">
        <f>IFERROR(__xludf.DUMMYFUNCTION("""COMPUTED_VALUE"""),"Democratic")</f>
        <v>Democratic</v>
      </c>
      <c r="G41">
        <f>IFERROR(__xludf.DUMMYFUNCTION("""COMPUTED_VALUE"""),1892.0)</f>
        <v>1892</v>
      </c>
      <c r="H41" t="str">
        <f>IFERROR(__xludf.DUMMYFUNCTION("""COMPUTED_VALUE"""),"Adlai Stevenson I")</f>
        <v>Adlai Stevenson I</v>
      </c>
    </row>
    <row r="42">
      <c r="A42">
        <f>IFERROR(__xludf.DUMMYFUNCTION("""COMPUTED_VALUE"""),25.0)</f>
        <v>25</v>
      </c>
      <c r="C42" t="str">
        <f>IFERROR(__xludf.DUMMYFUNCTION("""COMPUTED_VALUE"""),"*William McKinley*
(1843–1901)
[52]")</f>
        <v>*William McKinley*
(1843–1901)
[52]</v>
      </c>
      <c r="D42" t="str">
        <f>IFERROR(__xludf.DUMMYFUNCTION("""COMPUTED_VALUE"""),"March 4, 1897
–
September 14, 1901[e]")</f>
        <v>March 4, 1897
–
September 14, 1901[e]</v>
      </c>
      <c r="F42" t="str">
        <f>IFERROR(__xludf.DUMMYFUNCTION("""COMPUTED_VALUE"""),"Republican")</f>
        <v>Republican</v>
      </c>
      <c r="G42">
        <f>IFERROR(__xludf.DUMMYFUNCTION("""COMPUTED_VALUE"""),1896.0)</f>
        <v>1896</v>
      </c>
      <c r="H42" t="str">
        <f>IFERROR(__xludf.DUMMYFUNCTION("""COMPUTED_VALUE"""),"Garret Hobart[e]")</f>
        <v>Garret Hobart[e]</v>
      </c>
    </row>
    <row r="43">
      <c r="H43" t="str">
        <f>IFERROR(__xludf.DUMMYFUNCTION("""COMPUTED_VALUE"""),"*Vacant afterNovember 21, 1899*")</f>
        <v>*Vacant afterNovember 21, 1899*</v>
      </c>
    </row>
    <row r="44">
      <c r="G44">
        <f>IFERROR(__xludf.DUMMYFUNCTION("""COMPUTED_VALUE"""),1900.0)</f>
        <v>1900</v>
      </c>
      <c r="H44" t="str">
        <f>IFERROR(__xludf.DUMMYFUNCTION("""COMPUTED_VALUE"""),"Theodore Roosevelt")</f>
        <v>Theodore Roosevelt</v>
      </c>
    </row>
    <row r="45">
      <c r="A45">
        <f>IFERROR(__xludf.DUMMYFUNCTION("""COMPUTED_VALUE"""),26.0)</f>
        <v>26</v>
      </c>
      <c r="C45" t="str">
        <f>IFERROR(__xludf.DUMMYFUNCTION("""COMPUTED_VALUE"""),"*Theodore Roosevelt*
(1858–1919)
[53]")</f>
        <v>*Theodore Roosevelt*
(1858–1919)
[53]</v>
      </c>
      <c r="D45" t="str">
        <f>IFERROR(__xludf.DUMMYFUNCTION("""COMPUTED_VALUE"""),"September 14, 1901[p]
–
March 4, 1909")</f>
        <v>September 14, 1901[p]
–
March 4, 1909</v>
      </c>
      <c r="F45" t="str">
        <f>IFERROR(__xludf.DUMMYFUNCTION("""COMPUTED_VALUE"""),"Republican")</f>
        <v>Republican</v>
      </c>
      <c r="G45" t="str">
        <f>IFERROR(__xludf.DUMMYFUNCTION("""COMPUTED_VALUE"""),"–")</f>
        <v>–</v>
      </c>
      <c r="H45" t="str">
        <f>IFERROR(__xludf.DUMMYFUNCTION("""COMPUTED_VALUE"""),"*Vacant throughMarch 4, 1905*")</f>
        <v>*Vacant throughMarch 4, 1905*</v>
      </c>
    </row>
    <row r="46">
      <c r="G46">
        <f>IFERROR(__xludf.DUMMYFUNCTION("""COMPUTED_VALUE"""),1904.0)</f>
        <v>1904</v>
      </c>
      <c r="H46" t="str">
        <f>IFERROR(__xludf.DUMMYFUNCTION("""COMPUTED_VALUE"""),"Charles W. Fairbanks")</f>
        <v>Charles W. Fairbanks</v>
      </c>
    </row>
    <row r="47">
      <c r="A47">
        <f>IFERROR(__xludf.DUMMYFUNCTION("""COMPUTED_VALUE"""),27.0)</f>
        <v>27</v>
      </c>
      <c r="C47" t="str">
        <f>IFERROR(__xludf.DUMMYFUNCTION("""COMPUTED_VALUE"""),"*William Howard Taft*
(1857–1930)
[55]")</f>
        <v>*William Howard Taft*
(1857–1930)
[55]</v>
      </c>
      <c r="D47" t="str">
        <f>IFERROR(__xludf.DUMMYFUNCTION("""COMPUTED_VALUE"""),"March 4, 1909
–
March 4, 1913")</f>
        <v>March 4, 1909
–
March 4, 1913</v>
      </c>
      <c r="F47" t="str">
        <f>IFERROR(__xludf.DUMMYFUNCTION("""COMPUTED_VALUE"""),"Republican")</f>
        <v>Republican</v>
      </c>
      <c r="G47">
        <f>IFERROR(__xludf.DUMMYFUNCTION("""COMPUTED_VALUE"""),1908.0)</f>
        <v>1908</v>
      </c>
      <c r="H47" t="str">
        <f>IFERROR(__xludf.DUMMYFUNCTION("""COMPUTED_VALUE"""),"James S. Sherman[e]")</f>
        <v>James S. Sherman[e]</v>
      </c>
    </row>
    <row r="48">
      <c r="H48" t="str">
        <f>IFERROR(__xludf.DUMMYFUNCTION("""COMPUTED_VALUE"""),"*Vacant afterOctober 30, 1912*")</f>
        <v>*Vacant afterOctober 30, 1912*</v>
      </c>
    </row>
    <row r="49">
      <c r="A49">
        <f>IFERROR(__xludf.DUMMYFUNCTION("""COMPUTED_VALUE"""),28.0)</f>
        <v>28</v>
      </c>
      <c r="C49" t="str">
        <f>IFERROR(__xludf.DUMMYFUNCTION("""COMPUTED_VALUE"""),"*Woodrow Wilson*
(1856–1924)
[56]")</f>
        <v>*Woodrow Wilson*
(1856–1924)
[56]</v>
      </c>
      <c r="D49" t="str">
        <f>IFERROR(__xludf.DUMMYFUNCTION("""COMPUTED_VALUE"""),"March 4, 1913
–
March 4, 1921")</f>
        <v>March 4, 1913
–
March 4, 1921</v>
      </c>
      <c r="F49" t="str">
        <f>IFERROR(__xludf.DUMMYFUNCTION("""COMPUTED_VALUE"""),"Democratic")</f>
        <v>Democratic</v>
      </c>
      <c r="G49">
        <f>IFERROR(__xludf.DUMMYFUNCTION("""COMPUTED_VALUE"""),1912.0)</f>
        <v>1912</v>
      </c>
      <c r="H49" t="str">
        <f>IFERROR(__xludf.DUMMYFUNCTION("""COMPUTED_VALUE"""),"Thomas R. Marshall")</f>
        <v>Thomas R. Marshall</v>
      </c>
    </row>
    <row r="50">
      <c r="G50">
        <f>IFERROR(__xludf.DUMMYFUNCTION("""COMPUTED_VALUE"""),1916.0)</f>
        <v>1916</v>
      </c>
    </row>
    <row r="51">
      <c r="A51">
        <f>IFERROR(__xludf.DUMMYFUNCTION("""COMPUTED_VALUE"""),29.0)</f>
        <v>29</v>
      </c>
      <c r="C51" t="str">
        <f>IFERROR(__xludf.DUMMYFUNCTION("""COMPUTED_VALUE"""),"*Warren G. Harding*
(1865–1923)
[57]")</f>
        <v>*Warren G. Harding*
(1865–1923)
[57]</v>
      </c>
      <c r="D51" t="str">
        <f>IFERROR(__xludf.DUMMYFUNCTION("""COMPUTED_VALUE"""),"March 4, 1921
–
August 2, 1923[e]")</f>
        <v>March 4, 1921
–
August 2, 1923[e]</v>
      </c>
      <c r="F51" t="str">
        <f>IFERROR(__xludf.DUMMYFUNCTION("""COMPUTED_VALUE"""),"Republican")</f>
        <v>Republican</v>
      </c>
      <c r="G51">
        <f>IFERROR(__xludf.DUMMYFUNCTION("""COMPUTED_VALUE"""),1920.0)</f>
        <v>1920</v>
      </c>
      <c r="H51" t="str">
        <f>IFERROR(__xludf.DUMMYFUNCTION("""COMPUTED_VALUE"""),"Calvin Coolidge")</f>
        <v>Calvin Coolidge</v>
      </c>
    </row>
    <row r="52">
      <c r="A52">
        <f>IFERROR(__xludf.DUMMYFUNCTION("""COMPUTED_VALUE"""),30.0)</f>
        <v>30</v>
      </c>
      <c r="C52" t="str">
        <f>IFERROR(__xludf.DUMMYFUNCTION("""COMPUTED_VALUE"""),"*Calvin Coolidge*
(1872–1933)
[58]")</f>
        <v>*Calvin Coolidge*
(1872–1933)
[58]</v>
      </c>
      <c r="D52" t="str">
        <f>IFERROR(__xludf.DUMMYFUNCTION("""COMPUTED_VALUE"""),"August 2, 1923[q]
–
March 4, 1929")</f>
        <v>August 2, 1923[q]
–
March 4, 1929</v>
      </c>
      <c r="F52" t="str">
        <f>IFERROR(__xludf.DUMMYFUNCTION("""COMPUTED_VALUE"""),"Republican")</f>
        <v>Republican</v>
      </c>
      <c r="G52" t="str">
        <f>IFERROR(__xludf.DUMMYFUNCTION("""COMPUTED_VALUE"""),"–")</f>
        <v>–</v>
      </c>
      <c r="H52" t="str">
        <f>IFERROR(__xludf.DUMMYFUNCTION("""COMPUTED_VALUE"""),"*Vacant throughMarch 4, 1925*")</f>
        <v>*Vacant throughMarch 4, 1925*</v>
      </c>
    </row>
    <row r="53">
      <c r="G53">
        <f>IFERROR(__xludf.DUMMYFUNCTION("""COMPUTED_VALUE"""),1924.0)</f>
        <v>1924</v>
      </c>
      <c r="H53" t="str">
        <f>IFERROR(__xludf.DUMMYFUNCTION("""COMPUTED_VALUE"""),"Charles G. Dawes")</f>
        <v>Charles G. Dawes</v>
      </c>
    </row>
    <row r="54">
      <c r="A54">
        <f>IFERROR(__xludf.DUMMYFUNCTION("""COMPUTED_VALUE"""),31.0)</f>
        <v>31</v>
      </c>
      <c r="C54" t="str">
        <f>IFERROR(__xludf.DUMMYFUNCTION("""COMPUTED_VALUE"""),"*Herbert Hoover*
(1874–1964)
[60]")</f>
        <v>*Herbert Hoover*
(1874–1964)
[60]</v>
      </c>
      <c r="D54" t="str">
        <f>IFERROR(__xludf.DUMMYFUNCTION("""COMPUTED_VALUE"""),"March 4, 1929
–
March 4, 1933")</f>
        <v>March 4, 1929
–
March 4, 1933</v>
      </c>
      <c r="F54" t="str">
        <f>IFERROR(__xludf.DUMMYFUNCTION("""COMPUTED_VALUE"""),"Republican")</f>
        <v>Republican</v>
      </c>
      <c r="G54">
        <f>IFERROR(__xludf.DUMMYFUNCTION("""COMPUTED_VALUE"""),1928.0)</f>
        <v>1928</v>
      </c>
      <c r="H54" t="str">
        <f>IFERROR(__xludf.DUMMYFUNCTION("""COMPUTED_VALUE"""),"Charles Curtis")</f>
        <v>Charles Curtis</v>
      </c>
    </row>
    <row r="55">
      <c r="A55">
        <f>IFERROR(__xludf.DUMMYFUNCTION("""COMPUTED_VALUE"""),32.0)</f>
        <v>32</v>
      </c>
      <c r="C55" t="str">
        <f>IFERROR(__xludf.DUMMYFUNCTION("""COMPUTED_VALUE"""),"*Franklin D. Roosevelt*
(1882–1945)
[61]")</f>
        <v>*Franklin D. Roosevelt*
(1882–1945)
[61]</v>
      </c>
      <c r="D55" t="str">
        <f>IFERROR(__xludf.DUMMYFUNCTION("""COMPUTED_VALUE"""),"March 4, 1933
–
April 12, 1945[e]")</f>
        <v>March 4, 1933
–
April 12, 1945[e]</v>
      </c>
      <c r="F55" t="str">
        <f>IFERROR(__xludf.DUMMYFUNCTION("""COMPUTED_VALUE"""),"Democratic")</f>
        <v>Democratic</v>
      </c>
      <c r="G55">
        <f>IFERROR(__xludf.DUMMYFUNCTION("""COMPUTED_VALUE"""),1932.0)</f>
        <v>1932</v>
      </c>
      <c r="H55" t="str">
        <f>IFERROR(__xludf.DUMMYFUNCTION("""COMPUTED_VALUE"""),"John Nance Garner")</f>
        <v>John Nance Garner</v>
      </c>
    </row>
    <row r="56">
      <c r="G56">
        <f>IFERROR(__xludf.DUMMYFUNCTION("""COMPUTED_VALUE"""),1936.0)</f>
        <v>1936</v>
      </c>
    </row>
    <row r="57">
      <c r="G57">
        <f>IFERROR(__xludf.DUMMYFUNCTION("""COMPUTED_VALUE"""),1940.0)</f>
        <v>1940</v>
      </c>
      <c r="H57" t="str">
        <f>IFERROR(__xludf.DUMMYFUNCTION("""COMPUTED_VALUE"""),"Henry A. Wallace")</f>
        <v>Henry A. Wallace</v>
      </c>
    </row>
    <row r="58">
      <c r="G58">
        <f>IFERROR(__xludf.DUMMYFUNCTION("""COMPUTED_VALUE"""),1944.0)</f>
        <v>1944</v>
      </c>
      <c r="H58" t="str">
        <f>IFERROR(__xludf.DUMMYFUNCTION("""COMPUTED_VALUE"""),"Harry S. Truman")</f>
        <v>Harry S. Truman</v>
      </c>
    </row>
    <row r="59">
      <c r="A59">
        <f>IFERROR(__xludf.DUMMYFUNCTION("""COMPUTED_VALUE"""),33.0)</f>
        <v>33</v>
      </c>
      <c r="C59" t="str">
        <f>IFERROR(__xludf.DUMMYFUNCTION("""COMPUTED_VALUE"""),"*Harry S. Truman*
(1884–1972)
[62]")</f>
        <v>*Harry S. Truman*
(1884–1972)
[62]</v>
      </c>
      <c r="D59" t="str">
        <f>IFERROR(__xludf.DUMMYFUNCTION("""COMPUTED_VALUE"""),"April 12, 1945[r]
–
January 20, 1953")</f>
        <v>April 12, 1945[r]
–
January 20, 1953</v>
      </c>
      <c r="F59" t="str">
        <f>IFERROR(__xludf.DUMMYFUNCTION("""COMPUTED_VALUE"""),"Democratic")</f>
        <v>Democratic</v>
      </c>
      <c r="G59" t="str">
        <f>IFERROR(__xludf.DUMMYFUNCTION("""COMPUTED_VALUE"""),"–")</f>
        <v>–</v>
      </c>
      <c r="H59" t="str">
        <f>IFERROR(__xludf.DUMMYFUNCTION("""COMPUTED_VALUE"""),"*Vacant throughJanuary 20, 1949*")</f>
        <v>*Vacant throughJanuary 20, 1949*</v>
      </c>
    </row>
    <row r="60">
      <c r="G60">
        <f>IFERROR(__xludf.DUMMYFUNCTION("""COMPUTED_VALUE"""),1948.0)</f>
        <v>1948</v>
      </c>
      <c r="H60" t="str">
        <f>IFERROR(__xludf.DUMMYFUNCTION("""COMPUTED_VALUE"""),"Alben W. Barkley")</f>
        <v>Alben W. Barkley</v>
      </c>
    </row>
    <row r="61">
      <c r="A61">
        <f>IFERROR(__xludf.DUMMYFUNCTION("""COMPUTED_VALUE"""),34.0)</f>
        <v>34</v>
      </c>
      <c r="C61" t="str">
        <f>IFERROR(__xludf.DUMMYFUNCTION("""COMPUTED_VALUE"""),"*Dwight D. Eisenhower*
(1890–1969)
[64]")</f>
        <v>*Dwight D. Eisenhower*
(1890–1969)
[64]</v>
      </c>
      <c r="D61" t="str">
        <f>IFERROR(__xludf.DUMMYFUNCTION("""COMPUTED_VALUE"""),"January 20, 1953
–
January 20, 1961")</f>
        <v>January 20, 1953
–
January 20, 1961</v>
      </c>
      <c r="F61" t="str">
        <f>IFERROR(__xludf.DUMMYFUNCTION("""COMPUTED_VALUE"""),"Republican")</f>
        <v>Republican</v>
      </c>
      <c r="G61">
        <f>IFERROR(__xludf.DUMMYFUNCTION("""COMPUTED_VALUE"""),1952.0)</f>
        <v>1952</v>
      </c>
      <c r="H61" t="str">
        <f>IFERROR(__xludf.DUMMYFUNCTION("""COMPUTED_VALUE"""),"Richard Nixon")</f>
        <v>Richard Nixon</v>
      </c>
    </row>
    <row r="62">
      <c r="G62">
        <f>IFERROR(__xludf.DUMMYFUNCTION("""COMPUTED_VALUE"""),1956.0)</f>
        <v>1956</v>
      </c>
    </row>
    <row r="63">
      <c r="A63">
        <f>IFERROR(__xludf.DUMMYFUNCTION("""COMPUTED_VALUE"""),35.0)</f>
        <v>35</v>
      </c>
      <c r="C63" t="str">
        <f>IFERROR(__xludf.DUMMYFUNCTION("""COMPUTED_VALUE"""),"*John F. Kennedy*
(1917–1963)
[65]")</f>
        <v>*John F. Kennedy*
(1917–1963)
[65]</v>
      </c>
      <c r="D63" t="str">
        <f>IFERROR(__xludf.DUMMYFUNCTION("""COMPUTED_VALUE"""),"January 20, 1961
–
November 22, 1963[e]")</f>
        <v>January 20, 1961
–
November 22, 1963[e]</v>
      </c>
      <c r="F63" t="str">
        <f>IFERROR(__xludf.DUMMYFUNCTION("""COMPUTED_VALUE"""),"Democratic")</f>
        <v>Democratic</v>
      </c>
      <c r="G63">
        <f>IFERROR(__xludf.DUMMYFUNCTION("""COMPUTED_VALUE"""),1960.0)</f>
        <v>1960</v>
      </c>
      <c r="H63" t="str">
        <f>IFERROR(__xludf.DUMMYFUNCTION("""COMPUTED_VALUE"""),"Lyndon B. Johnson")</f>
        <v>Lyndon B. Johnson</v>
      </c>
    </row>
    <row r="64">
      <c r="A64">
        <f>IFERROR(__xludf.DUMMYFUNCTION("""COMPUTED_VALUE"""),36.0)</f>
        <v>36</v>
      </c>
      <c r="C64" t="str">
        <f>IFERROR(__xludf.DUMMYFUNCTION("""COMPUTED_VALUE"""),"*Lyndon B. Johnson*
(1908–1973)
[66]")</f>
        <v>*Lyndon B. Johnson*
(1908–1973)
[66]</v>
      </c>
      <c r="D64" t="str">
        <f>IFERROR(__xludf.DUMMYFUNCTION("""COMPUTED_VALUE"""),"November 22, 1963[s]
–
January 20, 1969")</f>
        <v>November 22, 1963[s]
–
January 20, 1969</v>
      </c>
      <c r="F64" t="str">
        <f>IFERROR(__xludf.DUMMYFUNCTION("""COMPUTED_VALUE"""),"Democratic")</f>
        <v>Democratic</v>
      </c>
      <c r="G64" t="str">
        <f>IFERROR(__xludf.DUMMYFUNCTION("""COMPUTED_VALUE"""),"–")</f>
        <v>–</v>
      </c>
      <c r="H64" t="str">
        <f>IFERROR(__xludf.DUMMYFUNCTION("""COMPUTED_VALUE"""),"*Vacant throughJanuary 20, 1965*")</f>
        <v>*Vacant throughJanuary 20, 1965*</v>
      </c>
    </row>
    <row r="65">
      <c r="G65">
        <f>IFERROR(__xludf.DUMMYFUNCTION("""COMPUTED_VALUE"""),1964.0)</f>
        <v>1964</v>
      </c>
      <c r="H65" t="str">
        <f>IFERROR(__xludf.DUMMYFUNCTION("""COMPUTED_VALUE"""),"Hubert Humphrey")</f>
        <v>Hubert Humphrey</v>
      </c>
    </row>
    <row r="66">
      <c r="A66">
        <f>IFERROR(__xludf.DUMMYFUNCTION("""COMPUTED_VALUE"""),37.0)</f>
        <v>37</v>
      </c>
      <c r="C66" t="str">
        <f>IFERROR(__xludf.DUMMYFUNCTION("""COMPUTED_VALUE"""),"*Richard Nixon*
(1913–1994)
[68]")</f>
        <v>*Richard Nixon*
(1913–1994)
[68]</v>
      </c>
      <c r="D66" t="str">
        <f>IFERROR(__xludf.DUMMYFUNCTION("""COMPUTED_VALUE"""),"January 20, 1969
–
August 9, 1974[h]")</f>
        <v>January 20, 1969
–
August 9, 1974[h]</v>
      </c>
      <c r="F66" t="str">
        <f>IFERROR(__xludf.DUMMYFUNCTION("""COMPUTED_VALUE"""),"Republican")</f>
        <v>Republican</v>
      </c>
      <c r="G66">
        <f>IFERROR(__xludf.DUMMYFUNCTION("""COMPUTED_VALUE"""),1968.0)</f>
        <v>1968</v>
      </c>
      <c r="H66" t="str">
        <f>IFERROR(__xludf.DUMMYFUNCTION("""COMPUTED_VALUE"""),"Spiro Agnew[h]")</f>
        <v>Spiro Agnew[h]</v>
      </c>
    </row>
    <row r="67">
      <c r="G67">
        <f>IFERROR(__xludf.DUMMYFUNCTION("""COMPUTED_VALUE"""),1972.0)</f>
        <v>1972</v>
      </c>
    </row>
    <row r="68">
      <c r="H68" t="str">
        <f>IFERROR(__xludf.DUMMYFUNCTION("""COMPUTED_VALUE"""),"*Vacant:October 10 – December 6, 1973*")</f>
        <v>*Vacant:October 10 – December 6, 1973*</v>
      </c>
    </row>
    <row r="69">
      <c r="H69" t="str">
        <f>IFERROR(__xludf.DUMMYFUNCTION("""COMPUTED_VALUE"""),"Gerald Ford[t]")</f>
        <v>Gerald Ford[t]</v>
      </c>
    </row>
    <row r="70">
      <c r="A70">
        <f>IFERROR(__xludf.DUMMYFUNCTION("""COMPUTED_VALUE"""),38.0)</f>
        <v>38</v>
      </c>
      <c r="C70" t="str">
        <f>IFERROR(__xludf.DUMMYFUNCTION("""COMPUTED_VALUE"""),"*Gerald Ford*
(1913–2006)
[69]")</f>
        <v>*Gerald Ford*
(1913–2006)
[69]</v>
      </c>
      <c r="D70" t="str">
        <f>IFERROR(__xludf.DUMMYFUNCTION("""COMPUTED_VALUE"""),"August 9, 1974[u]
–
January 20, 1977")</f>
        <v>August 9, 1974[u]
–
January 20, 1977</v>
      </c>
      <c r="F70" t="str">
        <f>IFERROR(__xludf.DUMMYFUNCTION("""COMPUTED_VALUE"""),"Republican")</f>
        <v>Republican</v>
      </c>
      <c r="G70" t="str">
        <f>IFERROR(__xludf.DUMMYFUNCTION("""COMPUTED_VALUE"""),"–")</f>
        <v>–</v>
      </c>
      <c r="H70" t="str">
        <f>IFERROR(__xludf.DUMMYFUNCTION("""COMPUTED_VALUE"""),"*Vacant throughDecember 19, 1974*")</f>
        <v>*Vacant throughDecember 19, 1974*</v>
      </c>
    </row>
    <row r="71">
      <c r="H71" t="str">
        <f>IFERROR(__xludf.DUMMYFUNCTION("""COMPUTED_VALUE"""),"Nelson Rockefeller[t]")</f>
        <v>Nelson Rockefeller[t]</v>
      </c>
    </row>
    <row r="72">
      <c r="A72">
        <f>IFERROR(__xludf.DUMMYFUNCTION("""COMPUTED_VALUE"""),39.0)</f>
        <v>39</v>
      </c>
      <c r="C72" t="str">
        <f>IFERROR(__xludf.DUMMYFUNCTION("""COMPUTED_VALUE"""),"*Jimmy Carter*
(1924–2024)
[70]")</f>
        <v>*Jimmy Carter*
(1924–2024)
[70]</v>
      </c>
      <c r="D72" t="str">
        <f>IFERROR(__xludf.DUMMYFUNCTION("""COMPUTED_VALUE"""),"January 20, 1977
–
January 20, 1981")</f>
        <v>January 20, 1977
–
January 20, 1981</v>
      </c>
      <c r="F72" t="str">
        <f>IFERROR(__xludf.DUMMYFUNCTION("""COMPUTED_VALUE"""),"Democratic")</f>
        <v>Democratic</v>
      </c>
      <c r="G72">
        <f>IFERROR(__xludf.DUMMYFUNCTION("""COMPUTED_VALUE"""),1976.0)</f>
        <v>1976</v>
      </c>
      <c r="H72" t="str">
        <f>IFERROR(__xludf.DUMMYFUNCTION("""COMPUTED_VALUE"""),"Walter Mondale")</f>
        <v>Walter Mondale</v>
      </c>
    </row>
    <row r="73">
      <c r="A73">
        <f>IFERROR(__xludf.DUMMYFUNCTION("""COMPUTED_VALUE"""),40.0)</f>
        <v>40</v>
      </c>
      <c r="C73" t="str">
        <f>IFERROR(__xludf.DUMMYFUNCTION("""COMPUTED_VALUE"""),"*Ronald Reagan*
(1911–2004)
[71]")</f>
        <v>*Ronald Reagan*
(1911–2004)
[71]</v>
      </c>
      <c r="D73" t="str">
        <f>IFERROR(__xludf.DUMMYFUNCTION("""COMPUTED_VALUE"""),"January 20, 1981
–
January 20, 1989")</f>
        <v>January 20, 1981
–
January 20, 1989</v>
      </c>
      <c r="F73" t="str">
        <f>IFERROR(__xludf.DUMMYFUNCTION("""COMPUTED_VALUE"""),"Republican")</f>
        <v>Republican</v>
      </c>
      <c r="G73">
        <f>IFERROR(__xludf.DUMMYFUNCTION("""COMPUTED_VALUE"""),1980.0)</f>
        <v>1980</v>
      </c>
      <c r="H73" t="str">
        <f>IFERROR(__xludf.DUMMYFUNCTION("""COMPUTED_VALUE"""),"George H. W. Bush")</f>
        <v>George H. W. Bush</v>
      </c>
    </row>
    <row r="74">
      <c r="G74">
        <f>IFERROR(__xludf.DUMMYFUNCTION("""COMPUTED_VALUE"""),1984.0)</f>
        <v>1984</v>
      </c>
    </row>
    <row r="75">
      <c r="A75">
        <f>IFERROR(__xludf.DUMMYFUNCTION("""COMPUTED_VALUE"""),41.0)</f>
        <v>41</v>
      </c>
      <c r="C75" t="str">
        <f>IFERROR(__xludf.DUMMYFUNCTION("""COMPUTED_VALUE"""),"*George H. W. Bush*
(1924–2018)
[72]")</f>
        <v>*George H. W. Bush*
(1924–2018)
[72]</v>
      </c>
      <c r="D75" t="str">
        <f>IFERROR(__xludf.DUMMYFUNCTION("""COMPUTED_VALUE"""),"January 20, 1989
–
January 20, 1993")</f>
        <v>January 20, 1989
–
January 20, 1993</v>
      </c>
      <c r="F75" t="str">
        <f>IFERROR(__xludf.DUMMYFUNCTION("""COMPUTED_VALUE"""),"Republican")</f>
        <v>Republican</v>
      </c>
      <c r="G75">
        <f>IFERROR(__xludf.DUMMYFUNCTION("""COMPUTED_VALUE"""),1988.0)</f>
        <v>1988</v>
      </c>
      <c r="H75" t="str">
        <f>IFERROR(__xludf.DUMMYFUNCTION("""COMPUTED_VALUE"""),"Dan Quayle")</f>
        <v>Dan Quayle</v>
      </c>
    </row>
    <row r="76">
      <c r="A76">
        <f>IFERROR(__xludf.DUMMYFUNCTION("""COMPUTED_VALUE"""),42.0)</f>
        <v>42</v>
      </c>
      <c r="C76" t="str">
        <f>IFERROR(__xludf.DUMMYFUNCTION("""COMPUTED_VALUE"""),"*Bill Clinton*
(b. 1946)
[73]")</f>
        <v>*Bill Clinton*
(b. 1946)
[73]</v>
      </c>
      <c r="D76" t="str">
        <f>IFERROR(__xludf.DUMMYFUNCTION("""COMPUTED_VALUE"""),"January 20, 1993
–
January 20, 2001")</f>
        <v>January 20, 1993
–
January 20, 2001</v>
      </c>
      <c r="F76" t="str">
        <f>IFERROR(__xludf.DUMMYFUNCTION("""COMPUTED_VALUE"""),"Democratic")</f>
        <v>Democratic</v>
      </c>
      <c r="G76">
        <f>IFERROR(__xludf.DUMMYFUNCTION("""COMPUTED_VALUE"""),1992.0)</f>
        <v>1992</v>
      </c>
      <c r="H76" t="str">
        <f>IFERROR(__xludf.DUMMYFUNCTION("""COMPUTED_VALUE"""),"Al Gore")</f>
        <v>Al Gore</v>
      </c>
    </row>
    <row r="77">
      <c r="G77">
        <f>IFERROR(__xludf.DUMMYFUNCTION("""COMPUTED_VALUE"""),1996.0)</f>
        <v>1996</v>
      </c>
    </row>
    <row r="78">
      <c r="A78">
        <f>IFERROR(__xludf.DUMMYFUNCTION("""COMPUTED_VALUE"""),43.0)</f>
        <v>43</v>
      </c>
      <c r="C78" t="str">
        <f>IFERROR(__xludf.DUMMYFUNCTION("""COMPUTED_VALUE"""),"*George W. Bush*
(b. 1946)
[74]")</f>
        <v>*George W. Bush*
(b. 1946)
[74]</v>
      </c>
      <c r="D78" t="str">
        <f>IFERROR(__xludf.DUMMYFUNCTION("""COMPUTED_VALUE"""),"January 20, 2001
–
January 20, 2009")</f>
        <v>January 20, 2001
–
January 20, 2009</v>
      </c>
      <c r="F78" t="str">
        <f>IFERROR(__xludf.DUMMYFUNCTION("""COMPUTED_VALUE"""),"Republican")</f>
        <v>Republican</v>
      </c>
      <c r="G78">
        <f>IFERROR(__xludf.DUMMYFUNCTION("""COMPUTED_VALUE"""),2000.0)</f>
        <v>2000</v>
      </c>
      <c r="H78" t="str">
        <f>IFERROR(__xludf.DUMMYFUNCTION("""COMPUTED_VALUE"""),"Dick Cheney")</f>
        <v>Dick Cheney</v>
      </c>
    </row>
    <row r="79">
      <c r="G79">
        <f>IFERROR(__xludf.DUMMYFUNCTION("""COMPUTED_VALUE"""),2004.0)</f>
        <v>2004</v>
      </c>
    </row>
    <row r="80">
      <c r="A80">
        <f>IFERROR(__xludf.DUMMYFUNCTION("""COMPUTED_VALUE"""),44.0)</f>
        <v>44</v>
      </c>
      <c r="C80" t="str">
        <f>IFERROR(__xludf.DUMMYFUNCTION("""COMPUTED_VALUE"""),"*Barack Obama*
(b. 1961)
[75]")</f>
        <v>*Barack Obama*
(b. 1961)
[75]</v>
      </c>
      <c r="D80" t="str">
        <f>IFERROR(__xludf.DUMMYFUNCTION("""COMPUTED_VALUE"""),"January 20, 2009
–
January 20, 2017")</f>
        <v>January 20, 2009
–
January 20, 2017</v>
      </c>
      <c r="F80" t="str">
        <f>IFERROR(__xludf.DUMMYFUNCTION("""COMPUTED_VALUE"""),"Democratic")</f>
        <v>Democratic</v>
      </c>
      <c r="G80">
        <f>IFERROR(__xludf.DUMMYFUNCTION("""COMPUTED_VALUE"""),2008.0)</f>
        <v>2008</v>
      </c>
      <c r="H80" t="str">
        <f>IFERROR(__xludf.DUMMYFUNCTION("""COMPUTED_VALUE"""),"Joe Biden")</f>
        <v>Joe Biden</v>
      </c>
    </row>
    <row r="81">
      <c r="G81">
        <f>IFERROR(__xludf.DUMMYFUNCTION("""COMPUTED_VALUE"""),2012.0)</f>
        <v>2012</v>
      </c>
    </row>
    <row r="82">
      <c r="A82">
        <f>IFERROR(__xludf.DUMMYFUNCTION("""COMPUTED_VALUE"""),45.0)</f>
        <v>45</v>
      </c>
      <c r="C82" t="str">
        <f>IFERROR(__xludf.DUMMYFUNCTION("""COMPUTED_VALUE"""),"*Donald Trump*
(b. 1946)
*1st term*
[76]")</f>
        <v>*Donald Trump*
(b. 1946)
*1st term*
[76]</v>
      </c>
      <c r="D82" t="str">
        <f>IFERROR(__xludf.DUMMYFUNCTION("""COMPUTED_VALUE"""),"January 20, 2017
–
January 20, 2021")</f>
        <v>January 20, 2017
–
January 20, 2021</v>
      </c>
      <c r="F82" t="str">
        <f>IFERROR(__xludf.DUMMYFUNCTION("""COMPUTED_VALUE"""),"Republican")</f>
        <v>Republican</v>
      </c>
      <c r="G82">
        <f>IFERROR(__xludf.DUMMYFUNCTION("""COMPUTED_VALUE"""),2016.0)</f>
        <v>2016</v>
      </c>
      <c r="H82" t="str">
        <f>IFERROR(__xludf.DUMMYFUNCTION("""COMPUTED_VALUE"""),"Mike Pence")</f>
        <v>Mike Pence</v>
      </c>
    </row>
    <row r="83">
      <c r="A83">
        <f>IFERROR(__xludf.DUMMYFUNCTION("""COMPUTED_VALUE"""),46.0)</f>
        <v>46</v>
      </c>
      <c r="C83" t="str">
        <f>IFERROR(__xludf.DUMMYFUNCTION("""COMPUTED_VALUE"""),"*Joe Biden*
(b. 1942)
[77]")</f>
        <v>*Joe Biden*
(b. 1942)
[77]</v>
      </c>
      <c r="D83" t="str">
        <f>IFERROR(__xludf.DUMMYFUNCTION("""COMPUTED_VALUE"""),"January 20, 2021
–
January 20, 2025")</f>
        <v>January 20, 2021
–
January 20, 2025</v>
      </c>
      <c r="F83" t="str">
        <f>IFERROR(__xludf.DUMMYFUNCTION("""COMPUTED_VALUE"""),"Democratic")</f>
        <v>Democratic</v>
      </c>
      <c r="G83">
        <f>IFERROR(__xludf.DUMMYFUNCTION("""COMPUTED_VALUE"""),2020.0)</f>
        <v>2020</v>
      </c>
      <c r="H83" t="str">
        <f>IFERROR(__xludf.DUMMYFUNCTION("""COMPUTED_VALUE"""),"Kamala Harris")</f>
        <v>Kamala Harris</v>
      </c>
    </row>
    <row r="84">
      <c r="A84">
        <f>IFERROR(__xludf.DUMMYFUNCTION("""COMPUTED_VALUE"""),47.0)</f>
        <v>47</v>
      </c>
      <c r="C84" t="str">
        <f>IFERROR(__xludf.DUMMYFUNCTION("""COMPUTED_VALUE"""),"*Donald Trump*
(b. 1946)
*2nd term*
[76]")</f>
        <v>*Donald Trump*
(b. 1946)
*2nd term*
[76]</v>
      </c>
      <c r="D84" t="str">
        <f>IFERROR(__xludf.DUMMYFUNCTION("""COMPUTED_VALUE"""),"January 20, 2025
–
*Incumbent*")</f>
        <v>January 20, 2025
–
*Incumbent*</v>
      </c>
      <c r="F84" t="str">
        <f>IFERROR(__xludf.DUMMYFUNCTION("""COMPUTED_VALUE"""),"Republican")</f>
        <v>Republican</v>
      </c>
      <c r="G84">
        <f>IFERROR(__xludf.DUMMYFUNCTION("""COMPUTED_VALUE"""),2024.0)</f>
        <v>2024</v>
      </c>
      <c r="H84" t="str">
        <f>IFERROR(__xludf.DUMMYFUNCTION("""COMPUTED_VALUE"""),"JD Vance")</f>
        <v>JD Vance</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IFERROR(__xludf.DUMMYFUNCTION("IMPORTHTML(""https://fr.wikipedia.org/wiki/Ang%C3%A8le_(chanteuse)"", ""table"")
"),"#REF!")</f>
        <v>#REF!</v>
      </c>
    </row>
    <row r="2">
      <c r="A2" t="s">
        <v>217</v>
      </c>
      <c r="C2" t="s">
        <v>218</v>
      </c>
      <c r="E2" t="s">
        <v>219</v>
      </c>
      <c r="F2" t="s">
        <v>220</v>
      </c>
      <c r="H2" t="s">
        <v>221</v>
      </c>
      <c r="I2" t="s">
        <v>222</v>
      </c>
    </row>
    <row r="3">
      <c r="A3">
        <v>1.0</v>
      </c>
      <c r="B3" t="s">
        <v>223</v>
      </c>
      <c r="D3" t="s">
        <v>224</v>
      </c>
      <c r="E3" t="s">
        <v>225</v>
      </c>
      <c r="G3" t="s">
        <v>226</v>
      </c>
      <c r="H3" t="s">
        <v>227</v>
      </c>
      <c r="I3" t="s">
        <v>228</v>
      </c>
    </row>
    <row r="4">
      <c r="H4" t="s">
        <v>229</v>
      </c>
    </row>
    <row r="5">
      <c r="A5">
        <v>2.0</v>
      </c>
      <c r="B5" t="s">
        <v>230</v>
      </c>
      <c r="D5" t="s">
        <v>231</v>
      </c>
      <c r="E5" t="s">
        <v>232</v>
      </c>
      <c r="G5" t="s">
        <v>233</v>
      </c>
      <c r="H5" t="s">
        <v>234</v>
      </c>
      <c r="I5" t="s">
        <v>235</v>
      </c>
    </row>
    <row r="6">
      <c r="A6">
        <v>3.0</v>
      </c>
      <c r="B6" t="s">
        <v>236</v>
      </c>
      <c r="D6" t="s">
        <v>237</v>
      </c>
      <c r="E6" t="s">
        <v>238</v>
      </c>
      <c r="G6" t="s">
        <v>239</v>
      </c>
      <c r="H6" t="s">
        <v>240</v>
      </c>
      <c r="I6" t="s">
        <v>241</v>
      </c>
    </row>
    <row r="7">
      <c r="C7" s="14"/>
      <c r="H7" t="s">
        <v>242</v>
      </c>
      <c r="I7" t="s">
        <v>243</v>
      </c>
    </row>
    <row r="8">
      <c r="A8">
        <v>4.0</v>
      </c>
      <c r="B8" s="14" t="s">
        <v>244</v>
      </c>
      <c r="D8" s="14" t="s">
        <v>245</v>
      </c>
      <c r="E8" t="s">
        <v>246</v>
      </c>
      <c r="G8" t="s">
        <v>239</v>
      </c>
      <c r="H8" t="s">
        <v>247</v>
      </c>
      <c r="I8" t="s">
        <v>248</v>
      </c>
    </row>
    <row r="9">
      <c r="I9" t="s">
        <v>249</v>
      </c>
    </row>
    <row r="10">
      <c r="H10" t="s">
        <v>250</v>
      </c>
      <c r="I10" t="s">
        <v>251</v>
      </c>
    </row>
    <row r="11">
      <c r="I11" t="s">
        <v>252</v>
      </c>
    </row>
    <row r="12">
      <c r="A12">
        <v>5.0</v>
      </c>
      <c r="B12" t="s">
        <v>253</v>
      </c>
      <c r="D12" t="s">
        <v>254</v>
      </c>
      <c r="E12" t="s">
        <v>255</v>
      </c>
      <c r="G12" t="s">
        <v>239</v>
      </c>
      <c r="H12" t="s">
        <v>256</v>
      </c>
      <c r="I12" t="s">
        <v>257</v>
      </c>
    </row>
    <row r="13">
      <c r="H13" t="s">
        <v>258</v>
      </c>
    </row>
    <row r="14">
      <c r="A14">
        <v>6.0</v>
      </c>
      <c r="B14" t="s">
        <v>259</v>
      </c>
      <c r="D14" t="s">
        <v>260</v>
      </c>
      <c r="E14" t="s">
        <v>261</v>
      </c>
      <c r="G14" t="s">
        <v>239</v>
      </c>
      <c r="H14" t="s">
        <v>262</v>
      </c>
      <c r="I14" t="s">
        <v>263</v>
      </c>
    </row>
    <row r="15">
      <c r="A15">
        <v>7.0</v>
      </c>
      <c r="B15" t="s">
        <v>264</v>
      </c>
      <c r="D15" t="s">
        <v>265</v>
      </c>
      <c r="E15" t="s">
        <v>266</v>
      </c>
      <c r="G15" t="s">
        <v>267</v>
      </c>
      <c r="H15" t="s">
        <v>268</v>
      </c>
      <c r="I15" t="s">
        <v>269</v>
      </c>
    </row>
    <row r="16">
      <c r="I16" t="s">
        <v>270</v>
      </c>
    </row>
    <row r="17">
      <c r="H17" t="s">
        <v>271</v>
      </c>
      <c r="I17" t="s">
        <v>272</v>
      </c>
    </row>
    <row r="18">
      <c r="A18">
        <v>8.0</v>
      </c>
      <c r="B18" t="s">
        <v>273</v>
      </c>
      <c r="D18" t="s">
        <v>274</v>
      </c>
      <c r="E18" t="s">
        <v>275</v>
      </c>
      <c r="G18" t="s">
        <v>267</v>
      </c>
      <c r="H18" t="s">
        <v>276</v>
      </c>
      <c r="I18" t="s">
        <v>277</v>
      </c>
    </row>
    <row r="19">
      <c r="A19">
        <v>9.0</v>
      </c>
      <c r="B19" t="s">
        <v>278</v>
      </c>
      <c r="D19" t="s">
        <v>279</v>
      </c>
      <c r="E19" t="s">
        <v>280</v>
      </c>
      <c r="G19" t="s">
        <v>82</v>
      </c>
      <c r="H19" t="s">
        <v>281</v>
      </c>
      <c r="I19" t="s">
        <v>282</v>
      </c>
    </row>
    <row r="20">
      <c r="A20">
        <v>10.0</v>
      </c>
      <c r="B20" t="s">
        <v>283</v>
      </c>
      <c r="D20" t="s">
        <v>284</v>
      </c>
      <c r="E20" t="s">
        <v>285</v>
      </c>
      <c r="G20" t="s">
        <v>286</v>
      </c>
      <c r="I20" t="s">
        <v>287</v>
      </c>
    </row>
    <row r="21">
      <c r="G21" t="s">
        <v>288</v>
      </c>
    </row>
    <row r="22">
      <c r="A22">
        <v>11.0</v>
      </c>
      <c r="B22" t="s">
        <v>289</v>
      </c>
      <c r="D22" t="s">
        <v>290</v>
      </c>
      <c r="E22" t="s">
        <v>291</v>
      </c>
      <c r="G22" t="s">
        <v>267</v>
      </c>
      <c r="H22" t="s">
        <v>292</v>
      </c>
      <c r="I22" t="s">
        <v>293</v>
      </c>
    </row>
    <row r="23">
      <c r="A23">
        <v>12.0</v>
      </c>
      <c r="B23" t="s">
        <v>294</v>
      </c>
      <c r="D23" t="s">
        <v>295</v>
      </c>
      <c r="E23" t="s">
        <v>296</v>
      </c>
      <c r="G23" t="s">
        <v>82</v>
      </c>
      <c r="H23" t="s">
        <v>297</v>
      </c>
      <c r="I23" t="s">
        <v>298</v>
      </c>
    </row>
    <row r="24">
      <c r="A24">
        <v>13.0</v>
      </c>
      <c r="B24" t="s">
        <v>299</v>
      </c>
      <c r="D24" t="s">
        <v>300</v>
      </c>
      <c r="E24" t="s">
        <v>301</v>
      </c>
      <c r="G24" t="s">
        <v>82</v>
      </c>
      <c r="I24" t="s">
        <v>287</v>
      </c>
    </row>
    <row r="25">
      <c r="A25">
        <v>14.0</v>
      </c>
      <c r="B25" t="s">
        <v>302</v>
      </c>
      <c r="D25" t="s">
        <v>303</v>
      </c>
      <c r="E25" t="s">
        <v>304</v>
      </c>
      <c r="G25" t="s">
        <v>267</v>
      </c>
      <c r="H25" t="s">
        <v>305</v>
      </c>
      <c r="I25" t="s">
        <v>306</v>
      </c>
    </row>
    <row r="26">
      <c r="I26" t="s">
        <v>307</v>
      </c>
    </row>
    <row r="27">
      <c r="A27">
        <v>15.0</v>
      </c>
      <c r="B27" t="s">
        <v>308</v>
      </c>
      <c r="D27" t="s">
        <v>309</v>
      </c>
      <c r="E27" t="s">
        <v>310</v>
      </c>
      <c r="G27" t="s">
        <v>267</v>
      </c>
      <c r="H27" t="s">
        <v>311</v>
      </c>
      <c r="I27" t="s">
        <v>312</v>
      </c>
    </row>
    <row r="28">
      <c r="A28">
        <v>16.0</v>
      </c>
      <c r="B28" t="s">
        <v>313</v>
      </c>
      <c r="D28" t="s">
        <v>314</v>
      </c>
      <c r="E28" t="s">
        <v>315</v>
      </c>
      <c r="G28" t="s">
        <v>316</v>
      </c>
      <c r="H28" t="s">
        <v>317</v>
      </c>
      <c r="I28" t="s">
        <v>318</v>
      </c>
    </row>
    <row r="29">
      <c r="H29" t="s">
        <v>319</v>
      </c>
      <c r="I29" t="s">
        <v>320</v>
      </c>
    </row>
    <row r="30">
      <c r="A30">
        <v>17.0</v>
      </c>
      <c r="B30" t="s">
        <v>321</v>
      </c>
      <c r="D30" t="s">
        <v>322</v>
      </c>
      <c r="E30" t="s">
        <v>323</v>
      </c>
      <c r="G30" t="s">
        <v>324</v>
      </c>
      <c r="I30" t="s">
        <v>287</v>
      </c>
    </row>
    <row r="31">
      <c r="G31" t="s">
        <v>325</v>
      </c>
    </row>
    <row r="32">
      <c r="A32">
        <v>18.0</v>
      </c>
      <c r="B32" t="s">
        <v>326</v>
      </c>
      <c r="D32" t="s">
        <v>327</v>
      </c>
      <c r="E32" t="s">
        <v>328</v>
      </c>
      <c r="G32" t="s">
        <v>329</v>
      </c>
      <c r="H32" t="s">
        <v>330</v>
      </c>
      <c r="I32" t="s">
        <v>331</v>
      </c>
    </row>
    <row r="33">
      <c r="H33" t="s">
        <v>332</v>
      </c>
      <c r="I33" t="s">
        <v>333</v>
      </c>
    </row>
    <row r="34">
      <c r="I34" t="s">
        <v>334</v>
      </c>
    </row>
    <row r="35">
      <c r="A35">
        <v>19.0</v>
      </c>
      <c r="B35" t="s">
        <v>335</v>
      </c>
      <c r="D35" t="s">
        <v>336</v>
      </c>
      <c r="E35" t="s">
        <v>337</v>
      </c>
      <c r="G35" t="s">
        <v>329</v>
      </c>
      <c r="H35" t="s">
        <v>338</v>
      </c>
      <c r="I35" t="s">
        <v>339</v>
      </c>
    </row>
    <row r="36">
      <c r="A36">
        <v>20.0</v>
      </c>
      <c r="B36" t="s">
        <v>340</v>
      </c>
      <c r="D36" t="s">
        <v>341</v>
      </c>
      <c r="E36" t="s">
        <v>342</v>
      </c>
      <c r="G36" t="s">
        <v>329</v>
      </c>
      <c r="H36" t="s">
        <v>343</v>
      </c>
      <c r="I36" t="s">
        <v>344</v>
      </c>
    </row>
    <row r="37">
      <c r="A37">
        <v>21.0</v>
      </c>
      <c r="B37" t="s">
        <v>345</v>
      </c>
      <c r="D37" t="s">
        <v>346</v>
      </c>
      <c r="E37" t="s">
        <v>347</v>
      </c>
      <c r="G37" t="s">
        <v>329</v>
      </c>
      <c r="I37" t="s">
        <v>287</v>
      </c>
    </row>
    <row r="38">
      <c r="A38">
        <v>22.0</v>
      </c>
      <c r="B38" t="s">
        <v>348</v>
      </c>
      <c r="D38" t="s">
        <v>349</v>
      </c>
      <c r="E38" t="s">
        <v>350</v>
      </c>
      <c r="G38" t="s">
        <v>267</v>
      </c>
      <c r="H38" t="s">
        <v>351</v>
      </c>
      <c r="I38" t="s">
        <v>352</v>
      </c>
    </row>
    <row r="39">
      <c r="I39" t="s">
        <v>353</v>
      </c>
    </row>
    <row r="40">
      <c r="A40">
        <v>23.0</v>
      </c>
      <c r="B40" t="s">
        <v>354</v>
      </c>
      <c r="D40" t="s">
        <v>355</v>
      </c>
      <c r="E40" t="s">
        <v>356</v>
      </c>
      <c r="G40" t="s">
        <v>329</v>
      </c>
      <c r="H40" t="s">
        <v>357</v>
      </c>
      <c r="I40" t="s">
        <v>358</v>
      </c>
    </row>
    <row r="41">
      <c r="A41">
        <v>24.0</v>
      </c>
      <c r="B41" t="s">
        <v>359</v>
      </c>
      <c r="D41" t="s">
        <v>349</v>
      </c>
      <c r="E41" t="s">
        <v>360</v>
      </c>
      <c r="G41" t="s">
        <v>267</v>
      </c>
      <c r="H41" t="s">
        <v>361</v>
      </c>
      <c r="I41" t="s">
        <v>362</v>
      </c>
    </row>
    <row r="42">
      <c r="A42">
        <v>25.0</v>
      </c>
      <c r="B42" t="s">
        <v>363</v>
      </c>
      <c r="D42" t="s">
        <v>364</v>
      </c>
      <c r="E42" t="s">
        <v>365</v>
      </c>
      <c r="G42" t="s">
        <v>329</v>
      </c>
      <c r="H42" t="s">
        <v>366</v>
      </c>
      <c r="I42" t="s">
        <v>367</v>
      </c>
    </row>
    <row r="43">
      <c r="I43" t="s">
        <v>368</v>
      </c>
    </row>
    <row r="44">
      <c r="H44" t="s">
        <v>369</v>
      </c>
      <c r="I44" t="s">
        <v>370</v>
      </c>
    </row>
    <row r="45">
      <c r="A45">
        <v>26.0</v>
      </c>
      <c r="B45" t="s">
        <v>371</v>
      </c>
      <c r="D45" t="s">
        <v>372</v>
      </c>
      <c r="E45" t="s">
        <v>373</v>
      </c>
      <c r="G45" t="s">
        <v>329</v>
      </c>
      <c r="I45" t="s">
        <v>374</v>
      </c>
    </row>
    <row r="46">
      <c r="H46" t="s">
        <v>375</v>
      </c>
      <c r="I46" t="s">
        <v>376</v>
      </c>
    </row>
    <row r="47">
      <c r="A47">
        <v>27.0</v>
      </c>
      <c r="B47" t="s">
        <v>377</v>
      </c>
      <c r="D47" t="s">
        <v>378</v>
      </c>
      <c r="E47" t="s">
        <v>379</v>
      </c>
      <c r="G47" t="s">
        <v>329</v>
      </c>
      <c r="H47" t="s">
        <v>380</v>
      </c>
      <c r="I47" t="s">
        <v>381</v>
      </c>
    </row>
    <row r="48">
      <c r="I48" t="s">
        <v>382</v>
      </c>
    </row>
    <row r="49">
      <c r="A49">
        <v>28.0</v>
      </c>
      <c r="B49" t="s">
        <v>383</v>
      </c>
      <c r="D49" t="s">
        <v>384</v>
      </c>
      <c r="E49" t="s">
        <v>385</v>
      </c>
      <c r="G49" t="s">
        <v>267</v>
      </c>
      <c r="H49" t="s">
        <v>386</v>
      </c>
      <c r="I49" t="s">
        <v>387</v>
      </c>
    </row>
    <row r="50">
      <c r="H50" t="s">
        <v>388</v>
      </c>
    </row>
    <row r="51">
      <c r="A51">
        <v>29.0</v>
      </c>
      <c r="B51" t="s">
        <v>389</v>
      </c>
      <c r="D51" t="s">
        <v>390</v>
      </c>
      <c r="E51" t="s">
        <v>391</v>
      </c>
      <c r="G51" t="s">
        <v>329</v>
      </c>
      <c r="H51" t="s">
        <v>392</v>
      </c>
      <c r="I51" t="s">
        <v>393</v>
      </c>
    </row>
    <row r="52">
      <c r="A52">
        <v>30.0</v>
      </c>
      <c r="B52" t="s">
        <v>394</v>
      </c>
      <c r="D52" t="s">
        <v>395</v>
      </c>
      <c r="E52" t="s">
        <v>396</v>
      </c>
      <c r="G52" t="s">
        <v>329</v>
      </c>
      <c r="I52" t="s">
        <v>397</v>
      </c>
    </row>
    <row r="53">
      <c r="H53" t="s">
        <v>398</v>
      </c>
      <c r="I53" t="s">
        <v>399</v>
      </c>
    </row>
    <row r="54">
      <c r="A54">
        <v>31.0</v>
      </c>
      <c r="B54" t="s">
        <v>400</v>
      </c>
      <c r="D54" t="s">
        <v>401</v>
      </c>
      <c r="E54" t="s">
        <v>402</v>
      </c>
      <c r="G54" t="s">
        <v>329</v>
      </c>
      <c r="H54" t="s">
        <v>403</v>
      </c>
      <c r="I54" t="s">
        <v>404</v>
      </c>
    </row>
    <row r="55">
      <c r="A55">
        <v>32.0</v>
      </c>
      <c r="B55" t="s">
        <v>405</v>
      </c>
      <c r="D55" t="s">
        <v>406</v>
      </c>
      <c r="E55" t="s">
        <v>407</v>
      </c>
      <c r="G55" t="s">
        <v>267</v>
      </c>
      <c r="H55" t="s">
        <v>408</v>
      </c>
      <c r="I55" t="s">
        <v>409</v>
      </c>
    </row>
    <row r="56">
      <c r="H56" t="s">
        <v>410</v>
      </c>
    </row>
    <row r="57">
      <c r="H57" t="s">
        <v>411</v>
      </c>
      <c r="I57" t="s">
        <v>412</v>
      </c>
    </row>
    <row r="58">
      <c r="H58" t="s">
        <v>413</v>
      </c>
      <c r="I58" t="s">
        <v>414</v>
      </c>
    </row>
    <row r="59">
      <c r="A59">
        <v>33.0</v>
      </c>
      <c r="B59" t="s">
        <v>415</v>
      </c>
      <c r="D59" t="s">
        <v>416</v>
      </c>
      <c r="E59" t="s">
        <v>417</v>
      </c>
      <c r="G59" t="s">
        <v>267</v>
      </c>
      <c r="I59" t="s">
        <v>418</v>
      </c>
    </row>
    <row r="60">
      <c r="H60" t="s">
        <v>419</v>
      </c>
      <c r="I60" t="s">
        <v>420</v>
      </c>
    </row>
    <row r="61">
      <c r="A61">
        <v>34.0</v>
      </c>
      <c r="B61" t="s">
        <v>421</v>
      </c>
      <c r="D61" t="s">
        <v>422</v>
      </c>
      <c r="E61" t="s">
        <v>423</v>
      </c>
      <c r="G61" t="s">
        <v>329</v>
      </c>
      <c r="H61" t="s">
        <v>424</v>
      </c>
      <c r="I61" t="s">
        <v>425</v>
      </c>
    </row>
    <row r="62">
      <c r="H62" t="s">
        <v>426</v>
      </c>
    </row>
    <row r="63">
      <c r="A63">
        <v>35.0</v>
      </c>
      <c r="B63" t="s">
        <v>427</v>
      </c>
      <c r="D63" t="s">
        <v>428</v>
      </c>
      <c r="E63" t="s">
        <v>429</v>
      </c>
      <c r="G63" t="s">
        <v>267</v>
      </c>
      <c r="H63" t="s">
        <v>430</v>
      </c>
      <c r="I63" t="s">
        <v>431</v>
      </c>
    </row>
    <row r="64">
      <c r="A64">
        <v>36.0</v>
      </c>
      <c r="B64" t="s">
        <v>432</v>
      </c>
      <c r="D64" t="s">
        <v>433</v>
      </c>
      <c r="E64" t="s">
        <v>434</v>
      </c>
      <c r="G64" t="s">
        <v>267</v>
      </c>
      <c r="I64" t="s">
        <v>435</v>
      </c>
    </row>
    <row r="65">
      <c r="H65" t="s">
        <v>436</v>
      </c>
      <c r="I65" t="s">
        <v>437</v>
      </c>
    </row>
    <row r="66">
      <c r="A66">
        <v>37.0</v>
      </c>
      <c r="B66" t="s">
        <v>438</v>
      </c>
      <c r="D66" t="s">
        <v>439</v>
      </c>
      <c r="E66" t="s">
        <v>440</v>
      </c>
      <c r="G66" t="s">
        <v>329</v>
      </c>
      <c r="H66" t="s">
        <v>441</v>
      </c>
      <c r="I66" t="s">
        <v>442</v>
      </c>
    </row>
    <row r="67">
      <c r="H67" t="s">
        <v>443</v>
      </c>
    </row>
    <row r="68">
      <c r="I68" t="s">
        <v>444</v>
      </c>
    </row>
    <row r="69">
      <c r="I69" t="s">
        <v>445</v>
      </c>
    </row>
    <row r="70">
      <c r="A70">
        <v>38.0</v>
      </c>
      <c r="B70" t="s">
        <v>446</v>
      </c>
      <c r="D70" t="s">
        <v>447</v>
      </c>
      <c r="E70" t="s">
        <v>448</v>
      </c>
      <c r="G70" t="s">
        <v>329</v>
      </c>
      <c r="I70" t="s">
        <v>449</v>
      </c>
    </row>
    <row r="71">
      <c r="I71" t="s">
        <v>450</v>
      </c>
    </row>
    <row r="72">
      <c r="A72">
        <v>39.0</v>
      </c>
      <c r="B72" t="s">
        <v>451</v>
      </c>
      <c r="D72" t="s">
        <v>452</v>
      </c>
      <c r="E72" t="s">
        <v>453</v>
      </c>
      <c r="G72" t="s">
        <v>267</v>
      </c>
      <c r="H72" t="s">
        <v>454</v>
      </c>
      <c r="I72" t="s">
        <v>455</v>
      </c>
    </row>
    <row r="73">
      <c r="A73">
        <v>40.0</v>
      </c>
      <c r="B73" t="s">
        <v>456</v>
      </c>
      <c r="D73" t="s">
        <v>457</v>
      </c>
      <c r="E73" t="s">
        <v>458</v>
      </c>
      <c r="G73" t="s">
        <v>329</v>
      </c>
      <c r="H73" t="s">
        <v>459</v>
      </c>
      <c r="I73" t="s">
        <v>460</v>
      </c>
    </row>
    <row r="74">
      <c r="H74" t="s">
        <v>461</v>
      </c>
    </row>
    <row r="75">
      <c r="A75">
        <v>41.0</v>
      </c>
      <c r="B75" t="s">
        <v>462</v>
      </c>
      <c r="D75" t="s">
        <v>463</v>
      </c>
      <c r="E75" t="s">
        <v>464</v>
      </c>
      <c r="G75" t="s">
        <v>329</v>
      </c>
      <c r="H75" t="s">
        <v>465</v>
      </c>
      <c r="I75" t="s">
        <v>466</v>
      </c>
    </row>
    <row r="76">
      <c r="A76">
        <v>42.0</v>
      </c>
      <c r="B76" t="s">
        <v>467</v>
      </c>
      <c r="D76" t="s">
        <v>468</v>
      </c>
      <c r="E76" t="s">
        <v>469</v>
      </c>
      <c r="G76" t="s">
        <v>267</v>
      </c>
      <c r="H76" t="s">
        <v>470</v>
      </c>
      <c r="I76" t="s">
        <v>471</v>
      </c>
    </row>
    <row r="77">
      <c r="H77" t="s">
        <v>472</v>
      </c>
    </row>
    <row r="78">
      <c r="A78">
        <v>43.0</v>
      </c>
      <c r="B78" t="s">
        <v>473</v>
      </c>
      <c r="D78" t="s">
        <v>474</v>
      </c>
      <c r="E78" t="s">
        <v>475</v>
      </c>
      <c r="G78" t="s">
        <v>329</v>
      </c>
      <c r="H78" t="s">
        <v>476</v>
      </c>
      <c r="I78" t="s">
        <v>477</v>
      </c>
    </row>
    <row r="79">
      <c r="H79" t="s">
        <v>478</v>
      </c>
    </row>
    <row r="80">
      <c r="A80">
        <v>44.0</v>
      </c>
      <c r="B80" t="s">
        <v>479</v>
      </c>
      <c r="D80" t="s">
        <v>480</v>
      </c>
      <c r="E80" t="s">
        <v>481</v>
      </c>
      <c r="G80" t="s">
        <v>267</v>
      </c>
      <c r="H80" t="s">
        <v>482</v>
      </c>
      <c r="I80" t="s">
        <v>483</v>
      </c>
    </row>
    <row r="81">
      <c r="H81" t="s">
        <v>484</v>
      </c>
    </row>
    <row r="82">
      <c r="A82">
        <v>45.0</v>
      </c>
      <c r="B82" t="s">
        <v>485</v>
      </c>
      <c r="D82" t="s">
        <v>486</v>
      </c>
      <c r="E82" t="s">
        <v>487</v>
      </c>
      <c r="G82" t="s">
        <v>329</v>
      </c>
      <c r="H82" t="s">
        <v>488</v>
      </c>
      <c r="I82" t="s">
        <v>489</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IFERROR(__xludf.DUMMYFUNCTION("IMPORTHTML(""http://www.worldometers.info/fr/"",""table"",1)"),"#N/A")</f>
        <v>#N/A</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IFERROR(__xludf.DUMMYFUNCTION("IMPORTHTML(""https://fr.wikipedia.org/wiki/Ang%C3%A8le_(chanteuse)"", ""table"")"),"Nom de naissance")</f>
        <v>Nom de naissance</v>
      </c>
      <c r="B1" t="str">
        <f>IFERROR(__xludf.DUMMYFUNCTION("""COMPUTED_VALUE"""),"Angèle Joséphine Aimée Van Laeken")</f>
        <v>Angèle Joséphine Aimée Van Laeken</v>
      </c>
    </row>
    <row r="2">
      <c r="A2" t="str">
        <f>IFERROR(__xludf.DUMMYFUNCTION("""COMPUTED_VALUE"""),"Naissance")</f>
        <v>Naissance</v>
      </c>
      <c r="B2" t="str">
        <f>IFERROR(__xludf.DUMMYFUNCTION("""COMPUTED_VALUE"""),"3décembre1995(30 ans)
Uccle (Belgique)")</f>
        <v>3décembre1995(30 ans)
Uccle (Belgique)</v>
      </c>
    </row>
    <row r="3">
      <c r="A3" t="str">
        <f>IFERROR(__xludf.DUMMYFUNCTION("""COMPUTED_VALUE"""),"Nationalité")</f>
        <v>Nationalité</v>
      </c>
      <c r="B3" t="str">
        <f>IFERROR(__xludf.DUMMYFUNCTION("""COMPUTED_VALUE"""),"Belge")</f>
        <v>Belge</v>
      </c>
    </row>
    <row r="4">
      <c r="A4" t="str">
        <f>IFERROR(__xludf.DUMMYFUNCTION("""COMPUTED_VALUE"""),"Activité principale")</f>
        <v>Activité principale</v>
      </c>
      <c r="B4" t="str">
        <f>IFERROR(__xludf.DUMMYFUNCTION("""COMPUTED_VALUE"""),"Auteure-compositrice-interprète
Musicienne
Productrice
Actrice
Mannequin")</f>
        <v>Auteure-compositrice-interprète
Musicienne
Productrice
Actrice
Mannequin</v>
      </c>
    </row>
    <row r="5">
      <c r="A5" t="str">
        <f>IFERROR(__xludf.DUMMYFUNCTION("""COMPUTED_VALUE"""),"Genre musical")</f>
        <v>Genre musical</v>
      </c>
      <c r="B5" t="str">
        <f>IFERROR(__xludf.DUMMYFUNCTION("""COMPUTED_VALUE"""),"- Chanson
   - Pop")</f>
        <v>- Chanson
   - Pop</v>
      </c>
    </row>
    <row r="6">
      <c r="A6" t="str">
        <f>IFERROR(__xludf.DUMMYFUNCTION("""COMPUTED_VALUE"""),"Instruments")</f>
        <v>Instruments</v>
      </c>
      <c r="B6" t="str">
        <f>IFERROR(__xludf.DUMMYFUNCTION("""COMPUTED_VALUE"""),"- Voix
   - Piano")</f>
        <v>- Voix
   - Piano</v>
      </c>
    </row>
    <row r="7">
      <c r="A7" t="str">
        <f>IFERROR(__xludf.DUMMYFUNCTION("""COMPUTED_VALUE"""),"Années actives")</f>
        <v>Années actives</v>
      </c>
      <c r="B7" t="str">
        <f>IFERROR(__xludf.DUMMYFUNCTION("""COMPUTED_VALUE"""),"Depuis 2015")</f>
        <v>Depuis 2015</v>
      </c>
    </row>
    <row r="8">
      <c r="A8" t="str">
        <f>IFERROR(__xludf.DUMMYFUNCTION("""COMPUTED_VALUE"""),"Labels")</f>
        <v>Labels</v>
      </c>
      <c r="B8" t="str">
        <f>IFERROR(__xludf.DUMMYFUNCTION("""COMPUTED_VALUE"""),"- Angèle VL
   - Initial Artist Services
   - Universal Music France")</f>
        <v>- Angèle VL
   - Initial Artist Services
   - Universal Music France</v>
      </c>
    </row>
    <row r="9">
      <c r="A9" t="str">
        <f>IFERROR(__xludf.DUMMYFUNCTION("""COMPUTED_VALUE"""),"Site officiel")</f>
        <v>Site officiel</v>
      </c>
      <c r="B9" s="7" t="str">
        <f>IFERROR(__xludf.DUMMYFUNCTION("""COMPUTED_VALUE"""),"www.angelevl.be")</f>
        <v>www.angelevl.be</v>
      </c>
    </row>
    <row r="11">
      <c r="E11" s="1"/>
    </row>
  </sheetData>
  <hyperlinks>
    <hyperlink r:id="rId1" ref="B9"/>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IFERROR(__xludf.DUMMYFUNCTION("IMPORTHTML(""https://fr.wikipedia.org/wiki/Liste_des_présidents_des_États-Unis"",""table"",1)"),"N°")</f>
        <v>N°</v>
      </c>
      <c r="B1" t="str">
        <f>IFERROR(__xludf.DUMMYFUNCTION("""COMPUTED_VALUE"""),"Titulaire
(Naissance-Mort)
État d'origine")</f>
        <v>Titulaire
(Naissance-Mort)
État d'origine</v>
      </c>
      <c r="D1" t="str">
        <f>IFERROR(__xludf.DUMMYFUNCTION("""COMPUTED_VALUE"""),"Début de mandat")</f>
        <v>Début de mandat</v>
      </c>
      <c r="E1" t="str">
        <f>IFERROR(__xludf.DUMMYFUNCTION("""COMPUTED_VALUE"""),"Fin de mandat")</f>
        <v>Fin de mandat</v>
      </c>
      <c r="F1" t="str">
        <f>IFERROR(__xludf.DUMMYFUNCTION("""COMPUTED_VALUE"""),"Parti")</f>
        <v>Parti</v>
      </c>
      <c r="H1" t="str">
        <f>IFERROR(__xludf.DUMMYFUNCTION("""COMPUTED_VALUE"""),"Notes")</f>
        <v>Notes</v>
      </c>
    </row>
    <row r="2">
      <c r="A2">
        <f>IFERROR(__xludf.DUMMYFUNCTION("""COMPUTED_VALUE"""),1.0)</f>
        <v>1</v>
      </c>
      <c r="B2" t="str">
        <f>IFERROR(__xludf.DUMMYFUNCTION("""COMPUTED_VALUE"""),"*George Washington*
(1732-1799)
VA")</f>
        <v>*George Washington*
(1732-1799)
VA</v>
      </c>
      <c r="D2" s="13">
        <f>IFERROR(__xludf.DUMMYFUNCTION("""COMPUTED_VALUE"""),-40420.0)</f>
        <v>-40420</v>
      </c>
      <c r="E2" s="13">
        <f>IFERROR(__xludf.DUMMYFUNCTION("""COMPUTED_VALUE"""),-37555.0)</f>
        <v>-37555</v>
      </c>
      <c r="G2" t="str">
        <f>IFERROR(__xludf.DUMMYFUNCTION("""COMPUTED_VALUE"""),"Indépendant")</f>
        <v>Indépendant</v>
      </c>
      <c r="H2" t="str">
        <f>IFERROR(__xludf.DUMMYFUNCTION("""COMPUTED_VALUE"""),"[a]")</f>
        <v>[a]</v>
      </c>
    </row>
    <row r="3">
      <c r="A3">
        <f>IFERROR(__xludf.DUMMYFUNCTION("""COMPUTED_VALUE"""),2.0)</f>
        <v>2</v>
      </c>
      <c r="B3" t="str">
        <f>IFERROR(__xludf.DUMMYFUNCTION("""COMPUTED_VALUE"""),"*John Adams*
(1735-1826)
MA")</f>
        <v>*John Adams*
(1735-1826)
MA</v>
      </c>
      <c r="D3" s="13">
        <f>IFERROR(__xludf.DUMMYFUNCTION("""COMPUTED_VALUE"""),-37555.0)</f>
        <v>-37555</v>
      </c>
      <c r="E3" s="13">
        <f>IFERROR(__xludf.DUMMYFUNCTION("""COMPUTED_VALUE"""),-36095.0)</f>
        <v>-36095</v>
      </c>
      <c r="G3" t="str">
        <f>IFERROR(__xludf.DUMMYFUNCTION("""COMPUTED_VALUE"""),"Fédéraliste")</f>
        <v>Fédéraliste</v>
      </c>
      <c r="H3" t="str">
        <f>IFERROR(__xludf.DUMMYFUNCTION("""COMPUTED_VALUE"""),"[b]")</f>
        <v>[b]</v>
      </c>
    </row>
    <row r="4">
      <c r="A4">
        <f>IFERROR(__xludf.DUMMYFUNCTION("""COMPUTED_VALUE"""),3.0)</f>
        <v>3</v>
      </c>
      <c r="B4" t="str">
        <f>IFERROR(__xludf.DUMMYFUNCTION("""COMPUTED_VALUE"""),"*Thomas Jefferson*
(1743-1826)
VA")</f>
        <v>*Thomas Jefferson*
(1743-1826)
VA</v>
      </c>
      <c r="D4" s="13">
        <f>IFERROR(__xludf.DUMMYFUNCTION("""COMPUTED_VALUE"""),-36095.0)</f>
        <v>-36095</v>
      </c>
      <c r="E4" s="13">
        <f>IFERROR(__xludf.DUMMYFUNCTION("""COMPUTED_VALUE"""),-33173.0)</f>
        <v>-33173</v>
      </c>
      <c r="G4" t="str">
        <f>IFERROR(__xludf.DUMMYFUNCTION("""COMPUTED_VALUE"""),"Républicain-
démocrate")</f>
        <v>Républicain-
démocrate</v>
      </c>
      <c r="H4" t="str">
        <f>IFERROR(__xludf.DUMMYFUNCTION("""COMPUTED_VALUE"""),"[c]")</f>
        <v>[c]</v>
      </c>
    </row>
    <row r="5">
      <c r="A5">
        <f>IFERROR(__xludf.DUMMYFUNCTION("""COMPUTED_VALUE"""),4.0)</f>
        <v>4</v>
      </c>
      <c r="B5" t="str">
        <f>IFERROR(__xludf.DUMMYFUNCTION("""COMPUTED_VALUE"""),"*James Madison*
(1751-1836)
VA")</f>
        <v>*James Madison*
(1751-1836)
VA</v>
      </c>
      <c r="D5" s="13">
        <f>IFERROR(__xludf.DUMMYFUNCTION("""COMPUTED_VALUE"""),-33173.0)</f>
        <v>-33173</v>
      </c>
      <c r="E5" s="13">
        <f>IFERROR(__xludf.DUMMYFUNCTION("""COMPUTED_VALUE"""),-30251.0)</f>
        <v>-30251</v>
      </c>
      <c r="G5" t="str">
        <f>IFERROR(__xludf.DUMMYFUNCTION("""COMPUTED_VALUE"""),"Républicain-
démocrate")</f>
        <v>Républicain-
démocrate</v>
      </c>
      <c r="H5" t="str">
        <f>IFERROR(__xludf.DUMMYFUNCTION("""COMPUTED_VALUE"""),"[d]")</f>
        <v>[d]</v>
      </c>
    </row>
    <row r="6">
      <c r="A6">
        <f>IFERROR(__xludf.DUMMYFUNCTION("""COMPUTED_VALUE"""),5.0)</f>
        <v>5</v>
      </c>
      <c r="B6" t="str">
        <f>IFERROR(__xludf.DUMMYFUNCTION("""COMPUTED_VALUE"""),"*James Monroe*
(1758-1831)
VA")</f>
        <v>*James Monroe*
(1758-1831)
VA</v>
      </c>
      <c r="D6" s="13">
        <f>IFERROR(__xludf.DUMMYFUNCTION("""COMPUTED_VALUE"""),-30251.0)</f>
        <v>-30251</v>
      </c>
      <c r="E6" s="13">
        <f>IFERROR(__xludf.DUMMYFUNCTION("""COMPUTED_VALUE"""),-27329.0)</f>
        <v>-27329</v>
      </c>
      <c r="G6" t="str">
        <f>IFERROR(__xludf.DUMMYFUNCTION("""COMPUTED_VALUE"""),"Républicain-
démocrate")</f>
        <v>Républicain-
démocrate</v>
      </c>
      <c r="H6" t="str">
        <f>IFERROR(__xludf.DUMMYFUNCTION("""COMPUTED_VALUE"""),"[e]")</f>
        <v>[e]</v>
      </c>
    </row>
    <row r="7">
      <c r="A7">
        <f>IFERROR(__xludf.DUMMYFUNCTION("""COMPUTED_VALUE"""),6.0)</f>
        <v>6</v>
      </c>
      <c r="B7" t="str">
        <f>IFERROR(__xludf.DUMMYFUNCTION("""COMPUTED_VALUE"""),"*John Quincy Adams*
(1767-1848)
MA")</f>
        <v>*John Quincy Adams*
(1767-1848)
MA</v>
      </c>
      <c r="D7" s="13">
        <f>IFERROR(__xludf.DUMMYFUNCTION("""COMPUTED_VALUE"""),-27329.0)</f>
        <v>-27329</v>
      </c>
      <c r="E7" s="13">
        <f>IFERROR(__xludf.DUMMYFUNCTION("""COMPUTED_VALUE"""),-25868.0)</f>
        <v>-25868</v>
      </c>
      <c r="G7" t="str">
        <f>IFERROR(__xludf.DUMMYFUNCTION("""COMPUTED_VALUE"""),"Républicain-
démocrate
------------------------------
National-républicain")</f>
        <v>Républicain-
démocrate
------------------------------
National-républicain</v>
      </c>
      <c r="H7" t="str">
        <f>IFERROR(__xludf.DUMMYFUNCTION("""COMPUTED_VALUE"""),"[f]")</f>
        <v>[f]</v>
      </c>
    </row>
    <row r="8">
      <c r="A8">
        <f>IFERROR(__xludf.DUMMYFUNCTION("""COMPUTED_VALUE"""),7.0)</f>
        <v>7</v>
      </c>
      <c r="B8" t="str">
        <f>IFERROR(__xludf.DUMMYFUNCTION("""COMPUTED_VALUE"""),"*Andrew Jackson*
(1767-1845)
TN")</f>
        <v>*Andrew Jackson*
(1767-1845)
TN</v>
      </c>
      <c r="D8" s="13">
        <f>IFERROR(__xludf.DUMMYFUNCTION("""COMPUTED_VALUE"""),-25868.0)</f>
        <v>-25868</v>
      </c>
      <c r="E8" s="13">
        <f>IFERROR(__xludf.DUMMYFUNCTION("""COMPUTED_VALUE"""),-22946.0)</f>
        <v>-22946</v>
      </c>
      <c r="G8" t="str">
        <f>IFERROR(__xludf.DUMMYFUNCTION("""COMPUTED_VALUE"""),"Démocrate")</f>
        <v>Démocrate</v>
      </c>
      <c r="H8" t="str">
        <f>IFERROR(__xludf.DUMMYFUNCTION("""COMPUTED_VALUE"""),"[g]")</f>
        <v>[g]</v>
      </c>
    </row>
    <row r="9">
      <c r="A9">
        <f>IFERROR(__xludf.DUMMYFUNCTION("""COMPUTED_VALUE"""),8.0)</f>
        <v>8</v>
      </c>
      <c r="B9" t="str">
        <f>IFERROR(__xludf.DUMMYFUNCTION("""COMPUTED_VALUE"""),"*Martin Van Buren*
(1782-1862)
NY")</f>
        <v>*Martin Van Buren*
(1782-1862)
NY</v>
      </c>
      <c r="D9" s="13">
        <f>IFERROR(__xludf.DUMMYFUNCTION("""COMPUTED_VALUE"""),-22946.0)</f>
        <v>-22946</v>
      </c>
      <c r="E9" s="13">
        <f>IFERROR(__xludf.DUMMYFUNCTION("""COMPUTED_VALUE"""),-21485.0)</f>
        <v>-21485</v>
      </c>
      <c r="G9" t="str">
        <f>IFERROR(__xludf.DUMMYFUNCTION("""COMPUTED_VALUE"""),"Démocrate")</f>
        <v>Démocrate</v>
      </c>
      <c r="H9" t="str">
        <f>IFERROR(__xludf.DUMMYFUNCTION("""COMPUTED_VALUE"""),"[h]")</f>
        <v>[h]</v>
      </c>
    </row>
    <row r="10">
      <c r="A10">
        <f>IFERROR(__xludf.DUMMYFUNCTION("""COMPUTED_VALUE"""),9.0)</f>
        <v>9</v>
      </c>
      <c r="B10" t="str">
        <f>IFERROR(__xludf.DUMMYFUNCTION("""COMPUTED_VALUE"""),"*William Henry Harrison*
(1773-1841)
OH")</f>
        <v>*William Henry Harrison*
(1773-1841)
OH</v>
      </c>
      <c r="D10" s="13">
        <f>IFERROR(__xludf.DUMMYFUNCTION("""COMPUTED_VALUE"""),-21485.0)</f>
        <v>-21485</v>
      </c>
      <c r="E10" s="13">
        <f>IFERROR(__xludf.DUMMYFUNCTION("""COMPUTED_VALUE"""),-21454.0)</f>
        <v>-21454</v>
      </c>
      <c r="G10" t="str">
        <f>IFERROR(__xludf.DUMMYFUNCTION("""COMPUTED_VALUE"""),"Whig")</f>
        <v>Whig</v>
      </c>
      <c r="H10" t="str">
        <f>IFERROR(__xludf.DUMMYFUNCTION("""COMPUTED_VALUE"""),"[i]")</f>
        <v>[i]</v>
      </c>
    </row>
    <row r="11">
      <c r="A11">
        <f>IFERROR(__xludf.DUMMYFUNCTION("""COMPUTED_VALUE"""),10.0)</f>
        <v>10</v>
      </c>
      <c r="B11" t="str">
        <f>IFERROR(__xludf.DUMMYFUNCTION("""COMPUTED_VALUE"""),"*John Tyler*
(1790-1862)
VA")</f>
        <v>*John Tyler*
(1790-1862)
VA</v>
      </c>
      <c r="D11" s="13">
        <f>IFERROR(__xludf.DUMMYFUNCTION("""COMPUTED_VALUE"""),-21454.0)</f>
        <v>-21454</v>
      </c>
      <c r="E11" s="13">
        <f>IFERROR(__xludf.DUMMYFUNCTION("""COMPUTED_VALUE"""),-20024.0)</f>
        <v>-20024</v>
      </c>
      <c r="G11" t="str">
        <f>IFERROR(__xludf.DUMMYFUNCTION("""COMPUTED_VALUE"""),"Indépendant")</f>
        <v>Indépendant</v>
      </c>
      <c r="H11" t="str">
        <f>IFERROR(__xludf.DUMMYFUNCTION("""COMPUTED_VALUE"""),"[j]")</f>
        <v>[j]</v>
      </c>
    </row>
    <row r="12">
      <c r="A12">
        <f>IFERROR(__xludf.DUMMYFUNCTION("""COMPUTED_VALUE"""),11.0)</f>
        <v>11</v>
      </c>
      <c r="B12" t="str">
        <f>IFERROR(__xludf.DUMMYFUNCTION("""COMPUTED_VALUE"""),"*James K. Polk*
(1795-1849)
TN")</f>
        <v>*James K. Polk*
(1795-1849)
TN</v>
      </c>
      <c r="D12" s="13">
        <f>IFERROR(__xludf.DUMMYFUNCTION("""COMPUTED_VALUE"""),-20024.0)</f>
        <v>-20024</v>
      </c>
      <c r="E12" s="13">
        <f>IFERROR(__xludf.DUMMYFUNCTION("""COMPUTED_VALUE"""),-18563.0)</f>
        <v>-18563</v>
      </c>
      <c r="G12" t="str">
        <f>IFERROR(__xludf.DUMMYFUNCTION("""COMPUTED_VALUE"""),"Démocrate")</f>
        <v>Démocrate</v>
      </c>
      <c r="H12" t="str">
        <f>IFERROR(__xludf.DUMMYFUNCTION("""COMPUTED_VALUE"""),"[k]")</f>
        <v>[k]</v>
      </c>
    </row>
    <row r="13">
      <c r="A13">
        <f>IFERROR(__xludf.DUMMYFUNCTION("""COMPUTED_VALUE"""),12.0)</f>
        <v>12</v>
      </c>
      <c r="B13" t="str">
        <f>IFERROR(__xludf.DUMMYFUNCTION("""COMPUTED_VALUE"""),"*Zachary Taylor*
(1784-1850)
KY")</f>
        <v>*Zachary Taylor*
(1784-1850)
KY</v>
      </c>
      <c r="D13" s="13">
        <f>IFERROR(__xludf.DUMMYFUNCTION("""COMPUTED_VALUE"""),-18563.0)</f>
        <v>-18563</v>
      </c>
      <c r="E13" s="13">
        <f>IFERROR(__xludf.DUMMYFUNCTION("""COMPUTED_VALUE"""),-18071.0)</f>
        <v>-18071</v>
      </c>
      <c r="G13" t="str">
        <f>IFERROR(__xludf.DUMMYFUNCTION("""COMPUTED_VALUE"""),"Whig")</f>
        <v>Whig</v>
      </c>
      <c r="H13" t="str">
        <f>IFERROR(__xludf.DUMMYFUNCTION("""COMPUTED_VALUE"""),"[l]")</f>
        <v>[l]</v>
      </c>
    </row>
    <row r="14">
      <c r="A14">
        <f>IFERROR(__xludf.DUMMYFUNCTION("""COMPUTED_VALUE"""),13.0)</f>
        <v>13</v>
      </c>
      <c r="B14" t="str">
        <f>IFERROR(__xludf.DUMMYFUNCTION("""COMPUTED_VALUE"""),"*Millard Fillmore*
(1800-1874)
NY")</f>
        <v>*Millard Fillmore*
(1800-1874)
NY</v>
      </c>
      <c r="D14" s="13">
        <f>IFERROR(__xludf.DUMMYFUNCTION("""COMPUTED_VALUE"""),-18071.0)</f>
        <v>-18071</v>
      </c>
      <c r="E14" s="13">
        <f>IFERROR(__xludf.DUMMYFUNCTION("""COMPUTED_VALUE"""),-17102.0)</f>
        <v>-17102</v>
      </c>
      <c r="G14" t="str">
        <f>IFERROR(__xludf.DUMMYFUNCTION("""COMPUTED_VALUE"""),"Whig")</f>
        <v>Whig</v>
      </c>
      <c r="H14" t="str">
        <f>IFERROR(__xludf.DUMMYFUNCTION("""COMPUTED_VALUE"""),"[m]")</f>
        <v>[m]</v>
      </c>
    </row>
    <row r="15">
      <c r="A15">
        <f>IFERROR(__xludf.DUMMYFUNCTION("""COMPUTED_VALUE"""),14.0)</f>
        <v>14</v>
      </c>
      <c r="B15" t="str">
        <f>IFERROR(__xludf.DUMMYFUNCTION("""COMPUTED_VALUE"""),"*Franklin Pierce*
(1804-1869)
NH")</f>
        <v>*Franklin Pierce*
(1804-1869)
NH</v>
      </c>
      <c r="D15" s="13">
        <f>IFERROR(__xludf.DUMMYFUNCTION("""COMPUTED_VALUE"""),-17102.0)</f>
        <v>-17102</v>
      </c>
      <c r="E15" s="13">
        <f>IFERROR(__xludf.DUMMYFUNCTION("""COMPUTED_VALUE"""),-15641.0)</f>
        <v>-15641</v>
      </c>
      <c r="G15" t="str">
        <f>IFERROR(__xludf.DUMMYFUNCTION("""COMPUTED_VALUE"""),"Démocrate")</f>
        <v>Démocrate</v>
      </c>
      <c r="H15" t="str">
        <f>IFERROR(__xludf.DUMMYFUNCTION("""COMPUTED_VALUE"""),"[n]")</f>
        <v>[n]</v>
      </c>
    </row>
    <row r="16">
      <c r="A16">
        <f>IFERROR(__xludf.DUMMYFUNCTION("""COMPUTED_VALUE"""),15.0)</f>
        <v>15</v>
      </c>
      <c r="B16" t="str">
        <f>IFERROR(__xludf.DUMMYFUNCTION("""COMPUTED_VALUE"""),"*James Buchanan*
(1791-1868)
PA")</f>
        <v>*James Buchanan*
(1791-1868)
PA</v>
      </c>
      <c r="D16" s="13">
        <f>IFERROR(__xludf.DUMMYFUNCTION("""COMPUTED_VALUE"""),-15641.0)</f>
        <v>-15641</v>
      </c>
      <c r="E16" s="13">
        <f>IFERROR(__xludf.DUMMYFUNCTION("""COMPUTED_VALUE"""),-14180.0)</f>
        <v>-14180</v>
      </c>
      <c r="G16" t="str">
        <f>IFERROR(__xludf.DUMMYFUNCTION("""COMPUTED_VALUE"""),"Démocrate")</f>
        <v>Démocrate</v>
      </c>
      <c r="H16" t="str">
        <f>IFERROR(__xludf.DUMMYFUNCTION("""COMPUTED_VALUE"""),"[o]")</f>
        <v>[o]</v>
      </c>
    </row>
    <row r="17">
      <c r="A17">
        <f>IFERROR(__xludf.DUMMYFUNCTION("""COMPUTED_VALUE"""),16.0)</f>
        <v>16</v>
      </c>
      <c r="B17" t="str">
        <f>IFERROR(__xludf.DUMMYFUNCTION("""COMPUTED_VALUE"""),"*Abraham Lincoln*
(1809-1865)
IL")</f>
        <v>*Abraham Lincoln*
(1809-1865)
IL</v>
      </c>
      <c r="D17" s="13">
        <f>IFERROR(__xludf.DUMMYFUNCTION("""COMPUTED_VALUE"""),-14180.0)</f>
        <v>-14180</v>
      </c>
      <c r="E17" s="13">
        <f>IFERROR(__xludf.DUMMYFUNCTION("""COMPUTED_VALUE"""),-12677.0)</f>
        <v>-12677</v>
      </c>
      <c r="G17" t="str">
        <f>IFERROR(__xludf.DUMMYFUNCTION("""COMPUTED_VALUE"""),"Républicain
------------------------------
Union (en)")</f>
        <v>Républicain
------------------------------
Union (en)</v>
      </c>
      <c r="H17" t="str">
        <f>IFERROR(__xludf.DUMMYFUNCTION("""COMPUTED_VALUE"""),"[p]")</f>
        <v>[p]</v>
      </c>
    </row>
    <row r="18">
      <c r="A18">
        <f>IFERROR(__xludf.DUMMYFUNCTION("""COMPUTED_VALUE"""),17.0)</f>
        <v>17</v>
      </c>
      <c r="B18" t="str">
        <f>IFERROR(__xludf.DUMMYFUNCTION("""COMPUTED_VALUE"""),"*Andrew Johnson*
(1808-1875)
TN")</f>
        <v>*Andrew Johnson*
(1808-1875)
TN</v>
      </c>
      <c r="D18" s="13">
        <f>IFERROR(__xludf.DUMMYFUNCTION("""COMPUTED_VALUE"""),-12677.0)</f>
        <v>-12677</v>
      </c>
      <c r="E18" s="13">
        <f>IFERROR(__xludf.DUMMYFUNCTION("""COMPUTED_VALUE"""),-11258.0)</f>
        <v>-11258</v>
      </c>
      <c r="G18" t="str">
        <f>IFERROR(__xludf.DUMMYFUNCTION("""COMPUTED_VALUE"""),"Union (en)
------------------------------
Démocrate")</f>
        <v>Union (en)
------------------------------
Démocrate</v>
      </c>
      <c r="H18" t="str">
        <f>IFERROR(__xludf.DUMMYFUNCTION("""COMPUTED_VALUE"""),"[q]")</f>
        <v>[q]</v>
      </c>
    </row>
    <row r="19">
      <c r="A19">
        <f>IFERROR(__xludf.DUMMYFUNCTION("""COMPUTED_VALUE"""),18.0)</f>
        <v>18</v>
      </c>
      <c r="B19" t="str">
        <f>IFERROR(__xludf.DUMMYFUNCTION("""COMPUTED_VALUE"""),"*Ulysses S. Grant*
(1822-1885)
IL")</f>
        <v>*Ulysses S. Grant*
(1822-1885)
IL</v>
      </c>
      <c r="D19" s="13">
        <f>IFERROR(__xludf.DUMMYFUNCTION("""COMPUTED_VALUE"""),-11258.0)</f>
        <v>-11258</v>
      </c>
      <c r="E19" s="13">
        <f>IFERROR(__xludf.DUMMYFUNCTION("""COMPUTED_VALUE"""),-8336.0)</f>
        <v>-8336</v>
      </c>
      <c r="G19" t="str">
        <f>IFERROR(__xludf.DUMMYFUNCTION("""COMPUTED_VALUE"""),"Républicain")</f>
        <v>Républicain</v>
      </c>
      <c r="H19" t="str">
        <f>IFERROR(__xludf.DUMMYFUNCTION("""COMPUTED_VALUE"""),"[r]")</f>
        <v>[r]</v>
      </c>
    </row>
    <row r="20">
      <c r="A20">
        <f>IFERROR(__xludf.DUMMYFUNCTION("""COMPUTED_VALUE"""),19.0)</f>
        <v>19</v>
      </c>
      <c r="B20" t="str">
        <f>IFERROR(__xludf.DUMMYFUNCTION("""COMPUTED_VALUE"""),"*Rutherford B. Hayes*
(1822-1893)
OH")</f>
        <v>*Rutherford B. Hayes*
(1822-1893)
OH</v>
      </c>
      <c r="D20" s="13">
        <f>IFERROR(__xludf.DUMMYFUNCTION("""COMPUTED_VALUE"""),-8336.0)</f>
        <v>-8336</v>
      </c>
      <c r="E20" s="13">
        <f>IFERROR(__xludf.DUMMYFUNCTION("""COMPUTED_VALUE"""),-6875.0)</f>
        <v>-6875</v>
      </c>
      <c r="G20" t="str">
        <f>IFERROR(__xludf.DUMMYFUNCTION("""COMPUTED_VALUE"""),"Républicain")</f>
        <v>Républicain</v>
      </c>
      <c r="H20" t="str">
        <f>IFERROR(__xludf.DUMMYFUNCTION("""COMPUTED_VALUE"""),"[s]")</f>
        <v>[s]</v>
      </c>
    </row>
    <row r="21">
      <c r="A21">
        <f>IFERROR(__xludf.DUMMYFUNCTION("""COMPUTED_VALUE"""),20.0)</f>
        <v>20</v>
      </c>
      <c r="B21" t="str">
        <f>IFERROR(__xludf.DUMMYFUNCTION("""COMPUTED_VALUE"""),"*James A. Garfield*
(1831-1881)
OH")</f>
        <v>*James A. Garfield*
(1831-1881)
OH</v>
      </c>
      <c r="D21" s="13">
        <f>IFERROR(__xludf.DUMMYFUNCTION("""COMPUTED_VALUE"""),-6875.0)</f>
        <v>-6875</v>
      </c>
      <c r="E21" s="13">
        <f>IFERROR(__xludf.DUMMYFUNCTION("""COMPUTED_VALUE"""),-6676.0)</f>
        <v>-6676</v>
      </c>
      <c r="G21" t="str">
        <f>IFERROR(__xludf.DUMMYFUNCTION("""COMPUTED_VALUE"""),"Républicain")</f>
        <v>Républicain</v>
      </c>
      <c r="H21" t="str">
        <f>IFERROR(__xludf.DUMMYFUNCTION("""COMPUTED_VALUE"""),"[t]")</f>
        <v>[t]</v>
      </c>
    </row>
    <row r="22">
      <c r="A22">
        <f>IFERROR(__xludf.DUMMYFUNCTION("""COMPUTED_VALUE"""),21.0)</f>
        <v>21</v>
      </c>
      <c r="B22" t="str">
        <f>IFERROR(__xludf.DUMMYFUNCTION("""COMPUTED_VALUE"""),"*Chester A. Arthur*
(1829-1886)
NY")</f>
        <v>*Chester A. Arthur*
(1829-1886)
NY</v>
      </c>
      <c r="D22" s="13">
        <f>IFERROR(__xludf.DUMMYFUNCTION("""COMPUTED_VALUE"""),-6676.0)</f>
        <v>-6676</v>
      </c>
      <c r="E22" s="13">
        <f>IFERROR(__xludf.DUMMYFUNCTION("""COMPUTED_VALUE"""),-5414.0)</f>
        <v>-5414</v>
      </c>
      <c r="G22" t="str">
        <f>IFERROR(__xludf.DUMMYFUNCTION("""COMPUTED_VALUE"""),"Républicain")</f>
        <v>Républicain</v>
      </c>
      <c r="H22" t="str">
        <f>IFERROR(__xludf.DUMMYFUNCTION("""COMPUTED_VALUE"""),"[u]")</f>
        <v>[u]</v>
      </c>
    </row>
    <row r="23">
      <c r="A23">
        <f>IFERROR(__xludf.DUMMYFUNCTION("""COMPUTED_VALUE"""),22.0)</f>
        <v>22</v>
      </c>
      <c r="B23" t="str">
        <f>IFERROR(__xludf.DUMMYFUNCTION("""COMPUTED_VALUE"""),"*Grover Cleveland*
(1837-1908)
NY
*1re fois*")</f>
        <v>*Grover Cleveland*
(1837-1908)
NY
*1re fois*</v>
      </c>
      <c r="D23" s="13">
        <f>IFERROR(__xludf.DUMMYFUNCTION("""COMPUTED_VALUE"""),-5414.0)</f>
        <v>-5414</v>
      </c>
      <c r="E23" s="13">
        <f>IFERROR(__xludf.DUMMYFUNCTION("""COMPUTED_VALUE"""),-3953.0)</f>
        <v>-3953</v>
      </c>
      <c r="G23" t="str">
        <f>IFERROR(__xludf.DUMMYFUNCTION("""COMPUTED_VALUE"""),"Démocrate")</f>
        <v>Démocrate</v>
      </c>
      <c r="H23" t="str">
        <f>IFERROR(__xludf.DUMMYFUNCTION("""COMPUTED_VALUE"""),"[v]")</f>
        <v>[v]</v>
      </c>
    </row>
    <row r="24">
      <c r="A24">
        <f>IFERROR(__xludf.DUMMYFUNCTION("""COMPUTED_VALUE"""),23.0)</f>
        <v>23</v>
      </c>
      <c r="B24" t="str">
        <f>IFERROR(__xludf.DUMMYFUNCTION("""COMPUTED_VALUE"""),"*Benjamin Harrison*
(1833-1901)
IN")</f>
        <v>*Benjamin Harrison*
(1833-1901)
IN</v>
      </c>
      <c r="D24" s="13">
        <f>IFERROR(__xludf.DUMMYFUNCTION("""COMPUTED_VALUE"""),-3953.0)</f>
        <v>-3953</v>
      </c>
      <c r="E24" s="13">
        <f>IFERROR(__xludf.DUMMYFUNCTION("""COMPUTED_VALUE"""),-2492.0)</f>
        <v>-2492</v>
      </c>
      <c r="G24" t="str">
        <f>IFERROR(__xludf.DUMMYFUNCTION("""COMPUTED_VALUE"""),"Républicain")</f>
        <v>Républicain</v>
      </c>
      <c r="H24" t="str">
        <f>IFERROR(__xludf.DUMMYFUNCTION("""COMPUTED_VALUE"""),"[w]")</f>
        <v>[w]</v>
      </c>
    </row>
    <row r="25">
      <c r="A25">
        <f>IFERROR(__xludf.DUMMYFUNCTION("""COMPUTED_VALUE"""),24.0)</f>
        <v>24</v>
      </c>
      <c r="B25" t="str">
        <f>IFERROR(__xludf.DUMMYFUNCTION("""COMPUTED_VALUE"""),"*Grover Cleveland*
(1837-1908)
NY
*2de fois*")</f>
        <v>*Grover Cleveland*
(1837-1908)
NY
*2de fois*</v>
      </c>
      <c r="D25" s="13">
        <f>IFERROR(__xludf.DUMMYFUNCTION("""COMPUTED_VALUE"""),-2492.0)</f>
        <v>-2492</v>
      </c>
      <c r="E25" s="13">
        <f>IFERROR(__xludf.DUMMYFUNCTION("""COMPUTED_VALUE"""),-1031.0)</f>
        <v>-1031</v>
      </c>
      <c r="G25" t="str">
        <f>IFERROR(__xludf.DUMMYFUNCTION("""COMPUTED_VALUE"""),"Démocrate")</f>
        <v>Démocrate</v>
      </c>
      <c r="H25" t="str">
        <f>IFERROR(__xludf.DUMMYFUNCTION("""COMPUTED_VALUE"""),"[x]")</f>
        <v>[x]</v>
      </c>
    </row>
    <row r="26">
      <c r="A26">
        <f>IFERROR(__xludf.DUMMYFUNCTION("""COMPUTED_VALUE"""),25.0)</f>
        <v>25</v>
      </c>
      <c r="B26" t="str">
        <f>IFERROR(__xludf.DUMMYFUNCTION("""COMPUTED_VALUE"""),"*William McKinley*
(1843-1901)
OH")</f>
        <v>*William McKinley*
(1843-1901)
OH</v>
      </c>
      <c r="D26" s="13">
        <f>IFERROR(__xludf.DUMMYFUNCTION("""COMPUTED_VALUE"""),-1031.0)</f>
        <v>-1031</v>
      </c>
      <c r="E26" s="13">
        <f>IFERROR(__xludf.DUMMYFUNCTION("""COMPUTED_VALUE"""),623.0)</f>
        <v>623</v>
      </c>
      <c r="G26" t="str">
        <f>IFERROR(__xludf.DUMMYFUNCTION("""COMPUTED_VALUE"""),"Républicain")</f>
        <v>Républicain</v>
      </c>
      <c r="H26" t="str">
        <f>IFERROR(__xludf.DUMMYFUNCTION("""COMPUTED_VALUE"""),"[y]")</f>
        <v>[y]</v>
      </c>
    </row>
    <row r="27">
      <c r="A27">
        <f>IFERROR(__xludf.DUMMYFUNCTION("""COMPUTED_VALUE"""),26.0)</f>
        <v>26</v>
      </c>
      <c r="B27" t="str">
        <f>IFERROR(__xludf.DUMMYFUNCTION("""COMPUTED_VALUE"""),"*Theodore Roosevelt*
(1858-1919)
NY")</f>
        <v>*Theodore Roosevelt*
(1858-1919)
NY</v>
      </c>
      <c r="D27" s="13">
        <f>IFERROR(__xludf.DUMMYFUNCTION("""COMPUTED_VALUE"""),623.0)</f>
        <v>623</v>
      </c>
      <c r="E27" s="13">
        <f>IFERROR(__xludf.DUMMYFUNCTION("""COMPUTED_VALUE"""),3351.0)</f>
        <v>3351</v>
      </c>
      <c r="G27" t="str">
        <f>IFERROR(__xludf.DUMMYFUNCTION("""COMPUTED_VALUE"""),"Républicain")</f>
        <v>Républicain</v>
      </c>
      <c r="H27" t="str">
        <f>IFERROR(__xludf.DUMMYFUNCTION("""COMPUTED_VALUE"""),"[z]")</f>
        <v>[z]</v>
      </c>
    </row>
    <row r="28">
      <c r="A28">
        <f>IFERROR(__xludf.DUMMYFUNCTION("""COMPUTED_VALUE"""),27.0)</f>
        <v>27</v>
      </c>
      <c r="B28" t="str">
        <f>IFERROR(__xludf.DUMMYFUNCTION("""COMPUTED_VALUE"""),"*William H. Taft*
(1857-1930)
OH")</f>
        <v>*William H. Taft*
(1857-1930)
OH</v>
      </c>
      <c r="D28" s="13">
        <f>IFERROR(__xludf.DUMMYFUNCTION("""COMPUTED_VALUE"""),3351.0)</f>
        <v>3351</v>
      </c>
      <c r="E28" s="13">
        <f>IFERROR(__xludf.DUMMYFUNCTION("""COMPUTED_VALUE"""),4812.0)</f>
        <v>4812</v>
      </c>
      <c r="G28" t="str">
        <f>IFERROR(__xludf.DUMMYFUNCTION("""COMPUTED_VALUE"""),"Républicain")</f>
        <v>Républicain</v>
      </c>
      <c r="H28" t="str">
        <f>IFERROR(__xludf.DUMMYFUNCTION("""COMPUTED_VALUE"""),"[aa]")</f>
        <v>[aa]</v>
      </c>
    </row>
    <row r="29">
      <c r="A29">
        <f>IFERROR(__xludf.DUMMYFUNCTION("""COMPUTED_VALUE"""),28.0)</f>
        <v>28</v>
      </c>
      <c r="B29" t="str">
        <f>IFERROR(__xludf.DUMMYFUNCTION("""COMPUTED_VALUE"""),"*Woodrow Wilson*
(1856-1924)
NJ")</f>
        <v>*Woodrow Wilson*
(1856-1924)
NJ</v>
      </c>
      <c r="D29" s="13">
        <f>IFERROR(__xludf.DUMMYFUNCTION("""COMPUTED_VALUE"""),4812.0)</f>
        <v>4812</v>
      </c>
      <c r="E29" s="13">
        <f>IFERROR(__xludf.DUMMYFUNCTION("""COMPUTED_VALUE"""),7734.0)</f>
        <v>7734</v>
      </c>
      <c r="G29" t="str">
        <f>IFERROR(__xludf.DUMMYFUNCTION("""COMPUTED_VALUE"""),"Démocrate")</f>
        <v>Démocrate</v>
      </c>
      <c r="H29" t="str">
        <f>IFERROR(__xludf.DUMMYFUNCTION("""COMPUTED_VALUE"""),"[ab]")</f>
        <v>[ab]</v>
      </c>
    </row>
    <row r="30">
      <c r="A30">
        <f>IFERROR(__xludf.DUMMYFUNCTION("""COMPUTED_VALUE"""),29.0)</f>
        <v>29</v>
      </c>
      <c r="B30" t="str">
        <f>IFERROR(__xludf.DUMMYFUNCTION("""COMPUTED_VALUE"""),"*Warren G. Harding*
(1865-1923)
OH")</f>
        <v>*Warren G. Harding*
(1865-1923)
OH</v>
      </c>
      <c r="D30" s="13">
        <f>IFERROR(__xludf.DUMMYFUNCTION("""COMPUTED_VALUE"""),7734.0)</f>
        <v>7734</v>
      </c>
      <c r="E30" s="13">
        <f>IFERROR(__xludf.DUMMYFUNCTION("""COMPUTED_VALUE"""),8615.0)</f>
        <v>8615</v>
      </c>
      <c r="G30" t="str">
        <f>IFERROR(__xludf.DUMMYFUNCTION("""COMPUTED_VALUE"""),"Républicain")</f>
        <v>Républicain</v>
      </c>
      <c r="H30" t="str">
        <f>IFERROR(__xludf.DUMMYFUNCTION("""COMPUTED_VALUE"""),"[ac]")</f>
        <v>[ac]</v>
      </c>
    </row>
    <row r="31">
      <c r="A31">
        <f>IFERROR(__xludf.DUMMYFUNCTION("""COMPUTED_VALUE"""),30.0)</f>
        <v>30</v>
      </c>
      <c r="B31" t="str">
        <f>IFERROR(__xludf.DUMMYFUNCTION("""COMPUTED_VALUE"""),"*Calvin Coolidge*
(1872-1933)
MA")</f>
        <v>*Calvin Coolidge*
(1872-1933)
MA</v>
      </c>
      <c r="D31" s="13">
        <f>IFERROR(__xludf.DUMMYFUNCTION("""COMPUTED_VALUE"""),8615.0)</f>
        <v>8615</v>
      </c>
      <c r="E31" s="13">
        <f>IFERROR(__xludf.DUMMYFUNCTION("""COMPUTED_VALUE"""),10656.0)</f>
        <v>10656</v>
      </c>
      <c r="G31" t="str">
        <f>IFERROR(__xludf.DUMMYFUNCTION("""COMPUTED_VALUE"""),"Républicain")</f>
        <v>Républicain</v>
      </c>
      <c r="H31" t="str">
        <f>IFERROR(__xludf.DUMMYFUNCTION("""COMPUTED_VALUE"""),"[ad]")</f>
        <v>[ad]</v>
      </c>
    </row>
    <row r="32">
      <c r="A32">
        <f>IFERROR(__xludf.DUMMYFUNCTION("""COMPUTED_VALUE"""),31.0)</f>
        <v>31</v>
      </c>
      <c r="B32" t="str">
        <f>IFERROR(__xludf.DUMMYFUNCTION("""COMPUTED_VALUE"""),"*Herbert Hoover*
(1874-1964)
CA")</f>
        <v>*Herbert Hoover*
(1874-1964)
CA</v>
      </c>
      <c r="D32" s="13">
        <f>IFERROR(__xludf.DUMMYFUNCTION("""COMPUTED_VALUE"""),10656.0)</f>
        <v>10656</v>
      </c>
      <c r="E32" s="13">
        <f>IFERROR(__xludf.DUMMYFUNCTION("""COMPUTED_VALUE"""),12117.0)</f>
        <v>12117</v>
      </c>
      <c r="G32" t="str">
        <f>IFERROR(__xludf.DUMMYFUNCTION("""COMPUTED_VALUE"""),"Républicain")</f>
        <v>Républicain</v>
      </c>
      <c r="H32" t="str">
        <f>IFERROR(__xludf.DUMMYFUNCTION("""COMPUTED_VALUE"""),"[ae]")</f>
        <v>[ae]</v>
      </c>
    </row>
    <row r="33">
      <c r="A33">
        <f>IFERROR(__xludf.DUMMYFUNCTION("""COMPUTED_VALUE"""),32.0)</f>
        <v>32</v>
      </c>
      <c r="B33" t="str">
        <f>IFERROR(__xludf.DUMMYFUNCTION("""COMPUTED_VALUE"""),"*Franklin Delano Roosevelt*
(1882-1945)
NY")</f>
        <v>*Franklin Delano Roosevelt*
(1882-1945)
NY</v>
      </c>
      <c r="D33" s="13">
        <f>IFERROR(__xludf.DUMMYFUNCTION("""COMPUTED_VALUE"""),12117.0)</f>
        <v>12117</v>
      </c>
      <c r="E33" s="13">
        <f>IFERROR(__xludf.DUMMYFUNCTION("""COMPUTED_VALUE"""),16539.0)</f>
        <v>16539</v>
      </c>
      <c r="G33" t="str">
        <f>IFERROR(__xludf.DUMMYFUNCTION("""COMPUTED_VALUE"""),"Démocrate")</f>
        <v>Démocrate</v>
      </c>
      <c r="H33" t="str">
        <f>IFERROR(__xludf.DUMMYFUNCTION("""COMPUTED_VALUE"""),"[af]")</f>
        <v>[af]</v>
      </c>
    </row>
    <row r="34">
      <c r="A34">
        <f>IFERROR(__xludf.DUMMYFUNCTION("""COMPUTED_VALUE"""),33.0)</f>
        <v>33</v>
      </c>
      <c r="B34" t="str">
        <f>IFERROR(__xludf.DUMMYFUNCTION("""COMPUTED_VALUE"""),"*Harry S. Truman*
(1884-1972)
MO")</f>
        <v>*Harry S. Truman*
(1884-1972)
MO</v>
      </c>
      <c r="D34" s="13">
        <f>IFERROR(__xludf.DUMMYFUNCTION("""COMPUTED_VALUE"""),16539.0)</f>
        <v>16539</v>
      </c>
      <c r="E34" s="13">
        <f>IFERROR(__xludf.DUMMYFUNCTION("""COMPUTED_VALUE"""),19379.0)</f>
        <v>19379</v>
      </c>
      <c r="G34" t="str">
        <f>IFERROR(__xludf.DUMMYFUNCTION("""COMPUTED_VALUE"""),"Démocrate")</f>
        <v>Démocrate</v>
      </c>
      <c r="H34" t="str">
        <f>IFERROR(__xludf.DUMMYFUNCTION("""COMPUTED_VALUE"""),"[ag]")</f>
        <v>[ag]</v>
      </c>
    </row>
    <row r="35">
      <c r="A35">
        <f>IFERROR(__xludf.DUMMYFUNCTION("""COMPUTED_VALUE"""),34.0)</f>
        <v>34</v>
      </c>
      <c r="B35" t="str">
        <f>IFERROR(__xludf.DUMMYFUNCTION("""COMPUTED_VALUE"""),"*Dwight D. Eisenhower*
(1890-1969)
KS")</f>
        <v>*Dwight D. Eisenhower*
(1890-1969)
KS</v>
      </c>
      <c r="D35" s="13">
        <f>IFERROR(__xludf.DUMMYFUNCTION("""COMPUTED_VALUE"""),19379.0)</f>
        <v>19379</v>
      </c>
      <c r="E35" s="13">
        <f>IFERROR(__xludf.DUMMYFUNCTION("""COMPUTED_VALUE"""),22301.0)</f>
        <v>22301</v>
      </c>
      <c r="G35" t="str">
        <f>IFERROR(__xludf.DUMMYFUNCTION("""COMPUTED_VALUE"""),"Républicain")</f>
        <v>Républicain</v>
      </c>
      <c r="H35" t="str">
        <f>IFERROR(__xludf.DUMMYFUNCTION("""COMPUTED_VALUE"""),"[ah]")</f>
        <v>[ah]</v>
      </c>
    </row>
    <row r="36">
      <c r="A36">
        <f>IFERROR(__xludf.DUMMYFUNCTION("""COMPUTED_VALUE"""),35.0)</f>
        <v>35</v>
      </c>
      <c r="B36" t="str">
        <f>IFERROR(__xludf.DUMMYFUNCTION("""COMPUTED_VALUE"""),"*John Fitzgerald Kennedy*
(1917-1963)
MA")</f>
        <v>*John Fitzgerald Kennedy*
(1917-1963)
MA</v>
      </c>
      <c r="D36" s="13">
        <f>IFERROR(__xludf.DUMMYFUNCTION("""COMPUTED_VALUE"""),22301.0)</f>
        <v>22301</v>
      </c>
      <c r="E36" s="13">
        <f>IFERROR(__xludf.DUMMYFUNCTION("""COMPUTED_VALUE"""),23337.0)</f>
        <v>23337</v>
      </c>
      <c r="G36" t="str">
        <f>IFERROR(__xludf.DUMMYFUNCTION("""COMPUTED_VALUE"""),"Démocrate")</f>
        <v>Démocrate</v>
      </c>
      <c r="H36" t="str">
        <f>IFERROR(__xludf.DUMMYFUNCTION("""COMPUTED_VALUE"""),"[ai]")</f>
        <v>[ai]</v>
      </c>
    </row>
    <row r="37">
      <c r="A37">
        <f>IFERROR(__xludf.DUMMYFUNCTION("""COMPUTED_VALUE"""),36.0)</f>
        <v>36</v>
      </c>
      <c r="B37" t="str">
        <f>IFERROR(__xludf.DUMMYFUNCTION("""COMPUTED_VALUE"""),"*Lyndon B. Johnson*
(1908-1973)
TX")</f>
        <v>*Lyndon B. Johnson*
(1908-1973)
TX</v>
      </c>
      <c r="D37" s="13">
        <f>IFERROR(__xludf.DUMMYFUNCTION("""COMPUTED_VALUE"""),23337.0)</f>
        <v>23337</v>
      </c>
      <c r="E37" s="13">
        <f>IFERROR(__xludf.DUMMYFUNCTION("""COMPUTED_VALUE"""),25223.0)</f>
        <v>25223</v>
      </c>
      <c r="G37" t="str">
        <f>IFERROR(__xludf.DUMMYFUNCTION("""COMPUTED_VALUE"""),"Démocrate")</f>
        <v>Démocrate</v>
      </c>
      <c r="H37" t="str">
        <f>IFERROR(__xludf.DUMMYFUNCTION("""COMPUTED_VALUE"""),"[aj]")</f>
        <v>[aj]</v>
      </c>
    </row>
    <row r="38">
      <c r="A38">
        <f>IFERROR(__xludf.DUMMYFUNCTION("""COMPUTED_VALUE"""),37.0)</f>
        <v>37</v>
      </c>
      <c r="B38" t="str">
        <f>IFERROR(__xludf.DUMMYFUNCTION("""COMPUTED_VALUE"""),"*Richard Nixon*
(1913-1994)
CA")</f>
        <v>*Richard Nixon*
(1913-1994)
CA</v>
      </c>
      <c r="D38" s="13">
        <f>IFERROR(__xludf.DUMMYFUNCTION("""COMPUTED_VALUE"""),25223.0)</f>
        <v>25223</v>
      </c>
      <c r="E38" s="13">
        <f>IFERROR(__xludf.DUMMYFUNCTION("""COMPUTED_VALUE"""),27250.0)</f>
        <v>27250</v>
      </c>
      <c r="G38" t="str">
        <f>IFERROR(__xludf.DUMMYFUNCTION("""COMPUTED_VALUE"""),"Républicain")</f>
        <v>Républicain</v>
      </c>
      <c r="H38" t="str">
        <f>IFERROR(__xludf.DUMMYFUNCTION("""COMPUTED_VALUE"""),"[ak]")</f>
        <v>[ak]</v>
      </c>
    </row>
    <row r="39">
      <c r="A39">
        <f>IFERROR(__xludf.DUMMYFUNCTION("""COMPUTED_VALUE"""),38.0)</f>
        <v>38</v>
      </c>
      <c r="B39" t="str">
        <f>IFERROR(__xludf.DUMMYFUNCTION("""COMPUTED_VALUE"""),"*Gerald Ford*
(1913-2006)
MI")</f>
        <v>*Gerald Ford*
(1913-2006)
MI</v>
      </c>
      <c r="D39" s="13">
        <f>IFERROR(__xludf.DUMMYFUNCTION("""COMPUTED_VALUE"""),27250.0)</f>
        <v>27250</v>
      </c>
      <c r="E39" s="13">
        <f>IFERROR(__xludf.DUMMYFUNCTION("""COMPUTED_VALUE"""),28145.0)</f>
        <v>28145</v>
      </c>
      <c r="G39" t="str">
        <f>IFERROR(__xludf.DUMMYFUNCTION("""COMPUTED_VALUE"""),"Républicain")</f>
        <v>Républicain</v>
      </c>
      <c r="H39" t="str">
        <f>IFERROR(__xludf.DUMMYFUNCTION("""COMPUTED_VALUE"""),"[al]")</f>
        <v>[al]</v>
      </c>
    </row>
    <row r="40">
      <c r="A40">
        <f>IFERROR(__xludf.DUMMYFUNCTION("""COMPUTED_VALUE"""),39.0)</f>
        <v>39</v>
      </c>
      <c r="B40" t="str">
        <f>IFERROR(__xludf.DUMMYFUNCTION("""COMPUTED_VALUE"""),"*Jimmy Carter*
(1924-2024)
GA")</f>
        <v>*Jimmy Carter*
(1924-2024)
GA</v>
      </c>
      <c r="D40" s="13">
        <f>IFERROR(__xludf.DUMMYFUNCTION("""COMPUTED_VALUE"""),28145.0)</f>
        <v>28145</v>
      </c>
      <c r="E40" s="13">
        <f>IFERROR(__xludf.DUMMYFUNCTION("""COMPUTED_VALUE"""),29606.0)</f>
        <v>29606</v>
      </c>
      <c r="G40" t="str">
        <f>IFERROR(__xludf.DUMMYFUNCTION("""COMPUTED_VALUE"""),"Démocrate")</f>
        <v>Démocrate</v>
      </c>
      <c r="H40" t="str">
        <f>IFERROR(__xludf.DUMMYFUNCTION("""COMPUTED_VALUE"""),"[am]")</f>
        <v>[am]</v>
      </c>
    </row>
    <row r="41">
      <c r="A41">
        <f>IFERROR(__xludf.DUMMYFUNCTION("""COMPUTED_VALUE"""),40.0)</f>
        <v>40</v>
      </c>
      <c r="B41" t="str">
        <f>IFERROR(__xludf.DUMMYFUNCTION("""COMPUTED_VALUE"""),"*Ronald Reagan*
(1911-2004)
CA")</f>
        <v>*Ronald Reagan*
(1911-2004)
CA</v>
      </c>
      <c r="D41" s="13">
        <f>IFERROR(__xludf.DUMMYFUNCTION("""COMPUTED_VALUE"""),29606.0)</f>
        <v>29606</v>
      </c>
      <c r="E41" s="13">
        <f>IFERROR(__xludf.DUMMYFUNCTION("""COMPUTED_VALUE"""),32528.0)</f>
        <v>32528</v>
      </c>
      <c r="G41" t="str">
        <f>IFERROR(__xludf.DUMMYFUNCTION("""COMPUTED_VALUE"""),"Républicain")</f>
        <v>Républicain</v>
      </c>
      <c r="H41" t="str">
        <f>IFERROR(__xludf.DUMMYFUNCTION("""COMPUTED_VALUE"""),"[an]")</f>
        <v>[an]</v>
      </c>
    </row>
    <row r="42">
      <c r="A42">
        <f>IFERROR(__xludf.DUMMYFUNCTION("""COMPUTED_VALUE"""),41.0)</f>
        <v>41</v>
      </c>
      <c r="B42" t="str">
        <f>IFERROR(__xludf.DUMMYFUNCTION("""COMPUTED_VALUE"""),"*George H. W. Bush*
(1924-2018)
TX")</f>
        <v>*George H. W. Bush*
(1924-2018)
TX</v>
      </c>
      <c r="D42" s="13">
        <f>IFERROR(__xludf.DUMMYFUNCTION("""COMPUTED_VALUE"""),32528.0)</f>
        <v>32528</v>
      </c>
      <c r="E42" s="13">
        <f>IFERROR(__xludf.DUMMYFUNCTION("""COMPUTED_VALUE"""),33989.0)</f>
        <v>33989</v>
      </c>
      <c r="G42" t="str">
        <f>IFERROR(__xludf.DUMMYFUNCTION("""COMPUTED_VALUE"""),"Républicain")</f>
        <v>Républicain</v>
      </c>
      <c r="H42" t="str">
        <f>IFERROR(__xludf.DUMMYFUNCTION("""COMPUTED_VALUE"""),"[ao]")</f>
        <v>[ao]</v>
      </c>
    </row>
    <row r="43">
      <c r="A43">
        <f>IFERROR(__xludf.DUMMYFUNCTION("""COMPUTED_VALUE"""),42.0)</f>
        <v>42</v>
      </c>
      <c r="B43" t="str">
        <f>IFERROR(__xludf.DUMMYFUNCTION("""COMPUTED_VALUE"""),"*Bill Clinton*
(né en 1946)
AR")</f>
        <v>*Bill Clinton*
(né en 1946)
AR</v>
      </c>
      <c r="D43" s="13">
        <f>IFERROR(__xludf.DUMMYFUNCTION("""COMPUTED_VALUE"""),33989.0)</f>
        <v>33989</v>
      </c>
      <c r="E43" s="13">
        <f>IFERROR(__xludf.DUMMYFUNCTION("""COMPUTED_VALUE"""),36911.0)</f>
        <v>36911</v>
      </c>
      <c r="G43" t="str">
        <f>IFERROR(__xludf.DUMMYFUNCTION("""COMPUTED_VALUE"""),"Démocrate")</f>
        <v>Démocrate</v>
      </c>
      <c r="H43" t="str">
        <f>IFERROR(__xludf.DUMMYFUNCTION("""COMPUTED_VALUE"""),"[ap]")</f>
        <v>[ap]</v>
      </c>
    </row>
    <row r="44">
      <c r="A44">
        <f>IFERROR(__xludf.DUMMYFUNCTION("""COMPUTED_VALUE"""),43.0)</f>
        <v>43</v>
      </c>
      <c r="B44" t="str">
        <f>IFERROR(__xludf.DUMMYFUNCTION("""COMPUTED_VALUE"""),"*George W. Bush*
(né en 1946)
TX")</f>
        <v>*George W. Bush*
(né en 1946)
TX</v>
      </c>
      <c r="D44" s="13">
        <f>IFERROR(__xludf.DUMMYFUNCTION("""COMPUTED_VALUE"""),36911.0)</f>
        <v>36911</v>
      </c>
      <c r="E44" s="13">
        <f>IFERROR(__xludf.DUMMYFUNCTION("""COMPUTED_VALUE"""),39833.0)</f>
        <v>39833</v>
      </c>
      <c r="G44" t="str">
        <f>IFERROR(__xludf.DUMMYFUNCTION("""COMPUTED_VALUE"""),"Républicain")</f>
        <v>Républicain</v>
      </c>
      <c r="H44" t="str">
        <f>IFERROR(__xludf.DUMMYFUNCTION("""COMPUTED_VALUE"""),"[aq]")</f>
        <v>[aq]</v>
      </c>
    </row>
    <row r="45">
      <c r="A45">
        <f>IFERROR(__xludf.DUMMYFUNCTION("""COMPUTED_VALUE"""),44.0)</f>
        <v>44</v>
      </c>
      <c r="B45" t="str">
        <f>IFERROR(__xludf.DUMMYFUNCTION("""COMPUTED_VALUE"""),"*Barack Obama*
(né en 1961)
IL")</f>
        <v>*Barack Obama*
(né en 1961)
IL</v>
      </c>
      <c r="D45" s="13">
        <f>IFERROR(__xludf.DUMMYFUNCTION("""COMPUTED_VALUE"""),39833.0)</f>
        <v>39833</v>
      </c>
      <c r="E45" s="13">
        <f>IFERROR(__xludf.DUMMYFUNCTION("""COMPUTED_VALUE"""),42755.0)</f>
        <v>42755</v>
      </c>
      <c r="G45" t="str">
        <f>IFERROR(__xludf.DUMMYFUNCTION("""COMPUTED_VALUE"""),"Démocrate")</f>
        <v>Démocrate</v>
      </c>
      <c r="H45" t="str">
        <f>IFERROR(__xludf.DUMMYFUNCTION("""COMPUTED_VALUE"""),"[ar]")</f>
        <v>[ar]</v>
      </c>
    </row>
    <row r="46">
      <c r="A46">
        <f>IFERROR(__xludf.DUMMYFUNCTION("""COMPUTED_VALUE"""),45.0)</f>
        <v>45</v>
      </c>
      <c r="B46" t="str">
        <f>IFERROR(__xludf.DUMMYFUNCTION("""COMPUTED_VALUE"""),"*Donald Trump*
(né en 1946)
NY
*1re fois*")</f>
        <v>*Donald Trump*
(né en 1946)
NY
*1re fois*</v>
      </c>
      <c r="D46" s="13">
        <f>IFERROR(__xludf.DUMMYFUNCTION("""COMPUTED_VALUE"""),42755.0)</f>
        <v>42755</v>
      </c>
      <c r="E46" s="13">
        <f>IFERROR(__xludf.DUMMYFUNCTION("""COMPUTED_VALUE"""),44216.0)</f>
        <v>44216</v>
      </c>
      <c r="G46" t="str">
        <f>IFERROR(__xludf.DUMMYFUNCTION("""COMPUTED_VALUE"""),"Républicain")</f>
        <v>Républicain</v>
      </c>
      <c r="H46" t="str">
        <f>IFERROR(__xludf.DUMMYFUNCTION("""COMPUTED_VALUE"""),"[as]")</f>
        <v>[as]</v>
      </c>
    </row>
    <row r="47">
      <c r="A47">
        <f>IFERROR(__xludf.DUMMYFUNCTION("""COMPUTED_VALUE"""),46.0)</f>
        <v>46</v>
      </c>
      <c r="B47" t="str">
        <f>IFERROR(__xludf.DUMMYFUNCTION("""COMPUTED_VALUE"""),"*Joe Biden*
(né en 1942)
PA")</f>
        <v>*Joe Biden*
(né en 1942)
PA</v>
      </c>
      <c r="D47" s="13">
        <f>IFERROR(__xludf.DUMMYFUNCTION("""COMPUTED_VALUE"""),44216.0)</f>
        <v>44216</v>
      </c>
      <c r="E47" s="13">
        <f>IFERROR(__xludf.DUMMYFUNCTION("""COMPUTED_VALUE"""),45677.0)</f>
        <v>45677</v>
      </c>
      <c r="G47" t="str">
        <f>IFERROR(__xludf.DUMMYFUNCTION("""COMPUTED_VALUE"""),"Démocrate")</f>
        <v>Démocrate</v>
      </c>
      <c r="H47" t="str">
        <f>IFERROR(__xludf.DUMMYFUNCTION("""COMPUTED_VALUE"""),"[at]")</f>
        <v>[at]</v>
      </c>
    </row>
    <row r="48">
      <c r="A48">
        <f>IFERROR(__xludf.DUMMYFUNCTION("""COMPUTED_VALUE"""),47.0)</f>
        <v>47</v>
      </c>
      <c r="B48" t="str">
        <f>IFERROR(__xludf.DUMMYFUNCTION("""COMPUTED_VALUE"""),"*Donald Trump*
(né en 1946)
NY
*2de fois*")</f>
        <v>*Donald Trump*
(né en 1946)
NY
*2de fois*</v>
      </c>
      <c r="D48" s="13">
        <f>IFERROR(__xludf.DUMMYFUNCTION("""COMPUTED_VALUE"""),45677.0)</f>
        <v>45677</v>
      </c>
      <c r="E48" t="str">
        <f>IFERROR(__xludf.DUMMYFUNCTION("""COMPUTED_VALUE"""),"*En cours*")</f>
        <v>*En cours*</v>
      </c>
      <c r="G48" t="str">
        <f>IFERROR(__xludf.DUMMYFUNCTION("""COMPUTED_VALUE"""),"Républicain")</f>
        <v>Républicain</v>
      </c>
      <c r="H48" t="str">
        <f>IFERROR(__xludf.DUMMYFUNCTION("""COMPUTED_VALUE"""),"[au]")</f>
        <v>[au]</v>
      </c>
    </row>
  </sheetData>
  <drawing r:id="rId1"/>
</worksheet>
</file>
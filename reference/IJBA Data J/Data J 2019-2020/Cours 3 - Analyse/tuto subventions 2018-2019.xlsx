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 raw" sheetId="1" r:id="rId4"/>
    <sheet state="visible" name="etape1" sheetId="2" r:id="rId5"/>
    <sheet state="visible" name="etape2" sheetId="3" r:id="rId6"/>
    <sheet state="visible" name="2019 raw" sheetId="4" r:id="rId7"/>
    <sheet state="visible" name="2018 clean 1" sheetId="5" r:id="rId8"/>
    <sheet state="visible" name="2018 clean final" sheetId="6" r:id="rId9"/>
    <sheet state="visible" name="2019 clean final" sheetId="7" r:id="rId10"/>
    <sheet state="visible" name="Pivot Table 2" sheetId="8" r:id="rId11"/>
    <sheet state="visible" name="Pivot Table 3" sheetId="9" r:id="rId12"/>
    <sheet state="visible" name="etape4" sheetId="10" r:id="rId13"/>
    <sheet state="visible" name="comparaison 2018-2019" sheetId="11" r:id="rId14"/>
    <sheet state="visible" name="comparaison final" sheetId="12" r:id="rId15"/>
  </sheets>
  <definedNames>
    <definedName hidden="1" localSheetId="9" name="_xlnm._FilterDatabase">etape4!$F$1:$F$1001</definedName>
    <definedName hidden="1" localSheetId="6" name="Z_D98B8BFC_9BED_4DF9_B88F_EFE8593A9C1C_.wvu.FilterData">'2019 clean final'!$A$1:$O$131</definedName>
  </definedNames>
  <calcPr/>
  <customWorkbookViews>
    <customWorkbookView activeSheetId="0" maximized="1" windowHeight="0" windowWidth="0" guid="{D98B8BFC-9BED-4DF9-B88F-EFE8593A9C1C}" name="Filter 1"/>
  </customWorkbookViews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<sst xmlns="http://schemas.openxmlformats.org/spreadsheetml/2006/main" count="10010" uniqueCount="811">
  <si>
    <t>idBeneficiaire</t>
  </si>
  <si>
    <t>montant</t>
  </si>
  <si>
    <t>nomBénéficiaire</t>
  </si>
  <si>
    <t>referenceDecision</t>
  </si>
  <si>
    <t>dateConvention</t>
  </si>
  <si>
    <t>objet</t>
  </si>
  <si>
    <t>nature</t>
  </si>
  <si>
    <t>conditionsVerse
ment</t>
  </si>
  <si>
    <t>datesPériodeVersement</t>
  </si>
  <si>
    <t>idRAE</t>
  </si>
  <si>
    <t>notification
UE</t>
  </si>
  <si>
    <t>pourcenta
geSubvent
ion</t>
  </si>
  <si>
    <t>PUBLICATION DU 28/02/2018</t>
  </si>
  <si>
    <t>ADIL (asso. départ.
pour information sur
logement)</t>
  </si>
  <si>
    <t>97 740,00</t>
  </si>
  <si>
    <t>2017/739_2017-11-24</t>
  </si>
  <si>
    <t>fonctionnement</t>
  </si>
  <si>
    <t>aide en
numéraire</t>
  </si>
  <si>
    <t>échelonné</t>
  </si>
  <si>
    <t>2017-11-30_2018-05-30</t>
  </si>
  <si>
    <t>sans objet</t>
  </si>
  <si>
    <t>non</t>
  </si>
  <si>
    <t>COMPAGNONS
BATISSEURS</t>
  </si>
  <si>
    <t>95 932,00</t>
  </si>
  <si>
    <t>2017/837_2017-12-22</t>
  </si>
  <si>
    <t>actions de formation</t>
  </si>
  <si>
    <t>2017-12-22_2018-06-22</t>
  </si>
  <si>
    <t>FABRIQUE POLA</t>
  </si>
  <si>
    <t>114 000,00</t>
  </si>
  <si>
    <t>2017/747_2017-11-24</t>
  </si>
  <si>
    <t>fonctionnement 2017</t>
  </si>
  <si>
    <t>2018-01-12_2018-07-12</t>
  </si>
  <si>
    <t>UNML (UNION
NATIONALE DES
MISSIONS LOCALES)</t>
  </si>
  <si>
    <t>5 000,00</t>
  </si>
  <si>
    <t>2017/686_2017-11-24</t>
  </si>
  <si>
    <t>2017-12-08_2018-06-08</t>
  </si>
  <si>
    <t>ADMAA (ASSO
DEFENSE MUSIQUES
ALTERNATIVES)</t>
  </si>
  <si>
    <t>40 000,00</t>
  </si>
  <si>
    <t>2017/348_2017-05-19</t>
  </si>
  <si>
    <t>été métropolitain 2017</t>
  </si>
  <si>
    <t>2018-02-02_2018-08-08</t>
  </si>
  <si>
    <t>PUBLICATION DU 26/04/2018</t>
  </si>
  <si>
    <t>COS PERSONNEL
Bordeaux
Metropole</t>
  </si>
  <si>
    <t>1 680 000,00</t>
  </si>
  <si>
    <t>2017/810_2017-12-22</t>
  </si>
  <si>
    <t>UFASEC</t>
  </si>
  <si>
    <t>10 870,00</t>
  </si>
  <si>
    <t>2017/800_2017-22-12</t>
  </si>
  <si>
    <t>1 versement</t>
  </si>
  <si>
    <t>ARTS &amp; LOISIRS
D'ARLAC</t>
  </si>
  <si>
    <t>7 900,00</t>
  </si>
  <si>
    <t>2017/603_2017-11-24</t>
  </si>
  <si>
    <t>2018-01-30_2018-07-30</t>
  </si>
  <si>
    <t>CIJA</t>
  </si>
  <si>
    <t>32 000,00</t>
  </si>
  <si>
    <t>2018/001_2018-01-26</t>
  </si>
  <si>
    <t>2018-01-26_2018-26-07</t>
  </si>
  <si>
    <t>MÉMOIRE DE
BORDEAUX</t>
  </si>
  <si>
    <t>96 187,50</t>
  </si>
  <si>
    <t>2018/002_2018-01-26</t>
  </si>
  <si>
    <t>2018-01-26_2018-07-26</t>
  </si>
  <si>
    <t>AURBA</t>
  </si>
  <si>
    <t>4 372 007,00</t>
  </si>
  <si>
    <t>2017/833_2017-12-22</t>
  </si>
  <si>
    <t>2018-02-05_2018-07-05-</t>
  </si>
  <si>
    <t>UBM</t>
  </si>
  <si>
    <t>77 000,00</t>
  </si>
  <si>
    <t>2017/801_2017-12-22</t>
  </si>
  <si>
    <t>2018-02-12_2018-08-02</t>
  </si>
  <si>
    <t>JIB (JUMPING
INTERNATIONAL DE
BORDEAUX)</t>
  </si>
  <si>
    <t>34 000,00</t>
  </si>
  <si>
    <t>2018/003_2018-01-26</t>
  </si>
  <si>
    <t>22e salon du cheval</t>
  </si>
  <si>
    <t>2018-03-01_2018-09-01</t>
  </si>
  <si>
    <t>CSDL (caisse sociale de
dév local)</t>
  </si>
  <si>
    <t>38 000,00</t>
  </si>
  <si>
    <t>2017/204_2017-04-14</t>
  </si>
  <si>
    <t>2018-03-02_2018-09-02</t>
  </si>
  <si>
    <t>PAIN ET PARTAGE SAS</t>
  </si>
  <si>
    <t>60 000,00</t>
  </si>
  <si>
    <t>2018/005_2018-01-26</t>
  </si>
  <si>
    <t>aide à l'investissement</t>
  </si>
  <si>
    <t>2018/41_2018-01-26</t>
  </si>
  <si>
    <t>2018-03-13_2018-10-13</t>
  </si>
  <si>
    <t>MUSIQUES DE NUIT
DIFFUSION</t>
  </si>
  <si>
    <t>35 000,00</t>
  </si>
  <si>
    <t>2018-42_2018-01-26</t>
  </si>
  <si>
    <t>Festival afro new bell</t>
  </si>
  <si>
    <t>2018-03-15_2018-09-15</t>
  </si>
  <si>
    <t>ASSO EUROPEENNE
DU FILM ANIMATION</t>
  </si>
  <si>
    <t>150 000,00</t>
  </si>
  <si>
    <t>2018/49_2018-02-16</t>
  </si>
  <si>
    <t>Cartoon movie</t>
  </si>
  <si>
    <t>2018-03-26_2018-09-26</t>
  </si>
  <si>
    <t>PUBLICATION du 03/07/2018</t>
  </si>
  <si>
    <t>UNIS CITES</t>
  </si>
  <si>
    <t>49 000,00</t>
  </si>
  <si>
    <t>2017/736_2018-01-17</t>
  </si>
  <si>
    <t>2018-01-24_2018-07-24</t>
  </si>
  <si>
    <t>STADE BORDELAIS
ASPTT</t>
  </si>
  <si>
    <t>65 000,00</t>
  </si>
  <si>
    <t>2017/184_2018-03-23</t>
  </si>
  <si>
    <t>marathon 2018</t>
  </si>
  <si>
    <t>2018-03-23_2018-09-23</t>
  </si>
  <si>
    <t>SEMER LE DOUTE</t>
  </si>
  <si>
    <t>15 000,00</t>
  </si>
  <si>
    <t>2018/182_2018-03-23</t>
  </si>
  <si>
    <t>FIFIB le coureur 2018</t>
  </si>
  <si>
    <t>2018-05-02_2018-11-02</t>
  </si>
  <si>
    <t>SUPERCOOP SAS</t>
  </si>
  <si>
    <t>24 176,00</t>
  </si>
  <si>
    <t>2018/103_2018-03-23</t>
  </si>
  <si>
    <t>2018-04-18_2018-10-18</t>
  </si>
  <si>
    <t>ALEC agence locale
de l'énergie</t>
  </si>
  <si>
    <t>137 000,00</t>
  </si>
  <si>
    <t>2018/278_2018-04-27</t>
  </si>
  <si>
    <t>2018-05-15_2018-11-15</t>
  </si>
  <si>
    <t>BORDEAUX OPEN
AIR</t>
  </si>
  <si>
    <t>10 000,00</t>
  </si>
  <si>
    <t>2018/283_2018-04-27</t>
  </si>
  <si>
    <t>été métropolitain</t>
  </si>
  <si>
    <t>2018-05-24_2018-11-24</t>
  </si>
  <si>
    <t>IDDAC</t>
  </si>
  <si>
    <t>17 500,00</t>
  </si>
  <si>
    <t>2018/177_2018-03-23</t>
  </si>
  <si>
    <t>journées juniors
dév.durable (JDD)</t>
  </si>
  <si>
    <t>2018-05-28_2018-11-28</t>
  </si>
  <si>
    <t>TRAFIC</t>
  </si>
  <si>
    <t>2018-05-30_2018-11-30</t>
  </si>
  <si>
    <t>ARIANE
PRODUCTIONS</t>
  </si>
  <si>
    <t>9 610,00</t>
  </si>
  <si>
    <t>CSDL (caisse sociale
dév local)</t>
  </si>
  <si>
    <t>2018/208-2018-04-27</t>
  </si>
  <si>
    <t>ESS</t>
  </si>
  <si>
    <t>2018-06-01_2018-12-01</t>
  </si>
  <si>
    <t>17 000,00</t>
  </si>
  <si>
    <t>ATIS</t>
  </si>
  <si>
    <t>42 750,00</t>
  </si>
  <si>
    <t>2018-06-04_2018-12-04</t>
  </si>
  <si>
    <t>BORDEAUX ROCK</t>
  </si>
  <si>
    <t>2018/285_2018-04-27</t>
  </si>
  <si>
    <t>festival 2018</t>
  </si>
  <si>
    <t>CIE LES MARCHES
DE L'ÉTÉ</t>
  </si>
  <si>
    <t>2018/284_2018-04-27</t>
  </si>
  <si>
    <t>festival 30/30</t>
  </si>
  <si>
    <t>VELO CITE</t>
  </si>
  <si>
    <t>2018/271_2018-04-27</t>
  </si>
  <si>
    <t>2018-05-31_2018-11-31</t>
  </si>
  <si>
    <t>CHAHUTS</t>
  </si>
  <si>
    <t>30 000,00</t>
  </si>
  <si>
    <t>BORDEAUX FOOD
CLUB</t>
  </si>
  <si>
    <t>19 025,00</t>
  </si>
  <si>
    <t>2018-05-27_2018-11-27</t>
  </si>
  <si>
    <t>ECOSITE DU
BOURGAILH</t>
  </si>
  <si>
    <t>7 700,00</t>
  </si>
  <si>
    <t>2018/294_2018-04-27</t>
  </si>
  <si>
    <t>2018-06-06_2018-12-06</t>
  </si>
  <si>
    <t>ASSO TECH. FRUITS
LEGUGMES GDE</t>
  </si>
  <si>
    <t>23 500,00</t>
  </si>
  <si>
    <t>conseil de
maraîchage</t>
  </si>
  <si>
    <t>THE DESK</t>
  </si>
  <si>
    <t>11 000,00</t>
  </si>
  <si>
    <t>26 000,00</t>
  </si>
  <si>
    <t>contrat codev</t>
  </si>
  <si>
    <t>LETTRES DU MONDE</t>
  </si>
  <si>
    <t>L'IRREGULIERE</t>
  </si>
  <si>
    <t>8 000,00</t>
  </si>
  <si>
    <t>20 000,00</t>
  </si>
  <si>
    <t>RICOCHET SONORE</t>
  </si>
  <si>
    <t>2018-06-11_2018-12-11</t>
  </si>
  <si>
    <t>ESCALES
LITTERAIRES BX
AQUITAINE</t>
  </si>
  <si>
    <t>escales du livre</t>
  </si>
  <si>
    <t>2018-06-08_2018-12-08</t>
  </si>
  <si>
    <t>DATCHA</t>
  </si>
  <si>
    <t>été metropolitain</t>
  </si>
  <si>
    <t>2018-06-12_2018-12-12</t>
  </si>
  <si>
    <t>MECHANIC CROUS</t>
  </si>
  <si>
    <t>12 600,00</t>
  </si>
  <si>
    <t>2018-06-13_2019-12-13</t>
  </si>
  <si>
    <t>ARC EN REVE</t>
  </si>
  <si>
    <t>407 253,00</t>
  </si>
  <si>
    <t>2018/161_2018-03-23</t>
  </si>
  <si>
    <t>AQUITAINE ACTIVE</t>
  </si>
  <si>
    <t>33 250,00</t>
  </si>
  <si>
    <t>2018/207-2018-04-27</t>
  </si>
  <si>
    <t>2018-06-15_2018-12-15</t>
  </si>
  <si>
    <t>LE POEME EN
VOLUME</t>
  </si>
  <si>
    <t>2018-06-18_2018-12-18</t>
  </si>
  <si>
    <t>AMANIEU DE
BOULIAC</t>
  </si>
  <si>
    <t>6 500,00</t>
  </si>
  <si>
    <t>codev les médiévales</t>
  </si>
  <si>
    <t>CREAC DE BEGLES</t>
  </si>
  <si>
    <t>47 500,00</t>
  </si>
  <si>
    <t>codev cirque</t>
  </si>
  <si>
    <t>R 2 JEUX</t>
  </si>
  <si>
    <t>14 825,00</t>
  </si>
  <si>
    <t>2018/209-2018-04-27</t>
  </si>
  <si>
    <t>ESS investissement</t>
  </si>
  <si>
    <t>PARALLELES
ATTITUDES
DIFFUSION</t>
  </si>
  <si>
    <t>codev carnaval des 2
rives</t>
  </si>
  <si>
    <t>FESTIVAL
INTERNATIONAL</t>
  </si>
  <si>
    <t>50 000,00</t>
  </si>
  <si>
    <t>codev festival du film
d'histoire</t>
  </si>
  <si>
    <t>ADIE</t>
  </si>
  <si>
    <t>45 000,00</t>
  </si>
  <si>
    <t>fonctionnement et
soutien ESS</t>
  </si>
  <si>
    <t>LA MECANIQUE
GENERALE</t>
  </si>
  <si>
    <t>9 900,00</t>
  </si>
  <si>
    <t>LES CAPRICES DE
MARIANNE</t>
  </si>
  <si>
    <t>14 000,00</t>
  </si>
  <si>
    <t>FRENCHTECH</t>
  </si>
  <si>
    <t>180 000,00</t>
  </si>
  <si>
    <t>2018/195_2018-04-27</t>
  </si>
  <si>
    <t>2018-06-20_2018-12-20</t>
  </si>
  <si>
    <t>2018/196_2018-04-27</t>
  </si>
  <si>
    <t>Startup du territoire</t>
  </si>
  <si>
    <t>ARC SUD
DEVELOPPEMENT</t>
  </si>
  <si>
    <t>2018/206-2018-04-27</t>
  </si>
  <si>
    <t>INVEST IN
BORDEAUX</t>
  </si>
  <si>
    <t>332 775,00</t>
  </si>
  <si>
    <t>2018/283-2018-04-27</t>
  </si>
  <si>
    <t>PETRONILLE</t>
  </si>
  <si>
    <t>5 800,00</t>
  </si>
  <si>
    <t>2018-06-19_2018-12-19</t>
  </si>
  <si>
    <t>ADIEU PANURGE</t>
  </si>
  <si>
    <t>7 190,00</t>
  </si>
  <si>
    <t>2018-06-13_2018-12-13</t>
  </si>
  <si>
    <t>MUSIQUE DE NUIT
DIFFUSION</t>
  </si>
  <si>
    <t>FESTIVAL DES ARTS
DE BORDEAUX FAB</t>
  </si>
  <si>
    <t>160 000,00</t>
  </si>
  <si>
    <t>codev festival</t>
  </si>
  <si>
    <t>ESPRIT DE CORPS</t>
  </si>
  <si>
    <t>codev festival  Pouce</t>
  </si>
  <si>
    <t>25 000,00</t>
  </si>
  <si>
    <t>codev festival Hauts
de Garonne</t>
  </si>
  <si>
    <t>ACTIMAGE</t>
  </si>
  <si>
    <t>2 100,00</t>
  </si>
  <si>
    <t>2018-06-28_2018-12-28</t>
  </si>
  <si>
    <t>HAUTS DE
GARONNE</t>
  </si>
  <si>
    <t>2018/205_2018-04-27</t>
  </si>
  <si>
    <t>PASSAGE A L'ART</t>
  </si>
  <si>
    <t>15 200,00</t>
  </si>
  <si>
    <t>codev Regard 9</t>
  </si>
  <si>
    <t>ALPHA</t>
  </si>
  <si>
    <t>57 000,00</t>
  </si>
  <si>
    <t>2018/197_2018-04-27</t>
  </si>
  <si>
    <t>2018-07-02_2019-01-02</t>
  </si>
  <si>
    <t>MELI MEL ARTS</t>
  </si>
  <si>
    <t>PUBLICATION du 18/09/2018</t>
  </si>
  <si>
    <t>COOP ALPHA</t>
  </si>
  <si>
    <t>54 000,00</t>
  </si>
  <si>
    <t>ESS soutien 2018</t>
  </si>
  <si>
    <t>BORDEAUX GRANDS
EVENEMENTS</t>
  </si>
  <si>
    <t>200 000,00</t>
  </si>
  <si>
    <t>2018/200-2018-04-27</t>
  </si>
  <si>
    <t>fête du vin 2018</t>
  </si>
  <si>
    <t>2018-07-04_2019-01-04</t>
  </si>
  <si>
    <t>41 000,00</t>
  </si>
  <si>
    <t>ESS soutien
investissement</t>
  </si>
  <si>
    <t>2018-07-05_2019-01-05</t>
  </si>
  <si>
    <t>2018/353-2018-06-15</t>
  </si>
  <si>
    <t>codev Festival
Relâche</t>
  </si>
  <si>
    <t>2018-07-06_2019-01-06</t>
  </si>
  <si>
    <t>ASSOCIATION
FESTIVAL ODP</t>
  </si>
  <si>
    <t>codev Festival ODP</t>
  </si>
  <si>
    <t>2018-06-29_2018-12-29</t>
  </si>
  <si>
    <t>GLUTAMINE</t>
  </si>
  <si>
    <t>2018/178_2018-03-23</t>
  </si>
  <si>
    <t>action haute qualité
de vie</t>
  </si>
  <si>
    <t>TALENCE
INNOVATION SUD
DEVELOPP.</t>
  </si>
  <si>
    <t>42 700,00</t>
  </si>
  <si>
    <t>2018/204-2018-04-27</t>
  </si>
  <si>
    <t>actions  2018</t>
  </si>
  <si>
    <t>2018-07-18_2018-01-18</t>
  </si>
  <si>
    <t>MOM'OUEST</t>
  </si>
  <si>
    <t>2018/302-2018-06-15</t>
  </si>
  <si>
    <t>investissement</t>
  </si>
  <si>
    <t>LES ARTS AU MUR</t>
  </si>
  <si>
    <t>2018-07-19_2018-01-19</t>
  </si>
  <si>
    <t>LES RESTAURANTS
DU CŒUR</t>
  </si>
  <si>
    <t>2018/303-2018-06-15</t>
  </si>
  <si>
    <t>IUFM</t>
  </si>
  <si>
    <t>transition
énergétique</t>
  </si>
  <si>
    <t>2018-06-25_2018-12-25</t>
  </si>
  <si>
    <t>1-</t>
  </si>
  <si>
    <t>GRAINE AQUITAINE</t>
  </si>
  <si>
    <t>52 500,00</t>
  </si>
  <si>
    <t>2018/280_2018-04-27</t>
  </si>
  <si>
    <t>juniors
développement
durable</t>
  </si>
  <si>
    <t>ETU RECUP</t>
  </si>
  <si>
    <t>3 000,00</t>
  </si>
  <si>
    <t>animation maison
éco citoyenne</t>
  </si>
  <si>
    <t>2018-07-20_2018-01-20</t>
  </si>
  <si>
    <t>ADEM</t>
  </si>
  <si>
    <t>58 000,00</t>
  </si>
  <si>
    <t>2018/468_2018-07-06</t>
  </si>
  <si>
    <t>Décastar</t>
  </si>
  <si>
    <t>2018-08-07_2019-02-07</t>
  </si>
  <si>
    <t>CYCLES ET
MANIVELLES</t>
  </si>
  <si>
    <t>55 000,00</t>
  </si>
  <si>
    <t>2018/347-2018-06-15</t>
  </si>
  <si>
    <t>actions mobilité</t>
  </si>
  <si>
    <t>2018-08-06_2019-02-06</t>
  </si>
  <si>
    <t>2018/40_2018-01-26</t>
  </si>
  <si>
    <t>plateforme SOLIBAT</t>
  </si>
  <si>
    <t>BORDEAUX
TECHNOWEST</t>
  </si>
  <si>
    <t>420 000,00</t>
  </si>
  <si>
    <t>2018/368-2018-07-06</t>
  </si>
  <si>
    <t>2018-07-25_2019-01-25</t>
  </si>
  <si>
    <t>BORDEAUX UNITEC</t>
  </si>
  <si>
    <t>139 000,00</t>
  </si>
  <si>
    <t>2018/367-2018-07-06</t>
  </si>
  <si>
    <t>programme d'actions</t>
  </si>
  <si>
    <t>9 000,00</t>
  </si>
  <si>
    <t>2018/367-2018-06-15</t>
  </si>
  <si>
    <t>13 538,00</t>
  </si>
  <si>
    <t>ressourcerie Campus</t>
  </si>
  <si>
    <t>2018-07-17_2019-01-17</t>
  </si>
  <si>
    <t>L'EPHEMERE</t>
  </si>
  <si>
    <t>28 000,00</t>
  </si>
  <si>
    <t>2018/450-2018-07-06</t>
  </si>
  <si>
    <t>2018-07-23_2019-01-23</t>
  </si>
  <si>
    <t>MAMMA maison
métropolitaine
mobilité alternative</t>
  </si>
  <si>
    <t>SEW &amp; LAINE</t>
  </si>
  <si>
    <t>17 940,00</t>
  </si>
  <si>
    <t>2018/382-2018-07-06</t>
  </si>
  <si>
    <t>La textilerie</t>
  </si>
  <si>
    <t>2018-08-17_2019-02-17</t>
  </si>
  <si>
    <t>ADSI TECHNOWEST</t>
  </si>
  <si>
    <t>2018/376-2018-07-06</t>
  </si>
  <si>
    <t>OIN Euratlantique</t>
  </si>
  <si>
    <t>2018-08-20_2019-02-20</t>
  </si>
  <si>
    <t>BANQUE
ALIMENTAIRE</t>
  </si>
  <si>
    <t>2018-08-16_2019-02-16</t>
  </si>
  <si>
    <t>LES PETITS
DEBROUILLARDS</t>
  </si>
  <si>
    <t>7 000,00</t>
  </si>
  <si>
    <t>2018/460-2018-07-06</t>
  </si>
  <si>
    <t>contrat de ville</t>
  </si>
  <si>
    <t>2018-07-31_2019-01-31</t>
  </si>
  <si>
    <t>4 000,00</t>
  </si>
  <si>
    <t>2018-07-30_2019-01-30</t>
  </si>
  <si>
    <t>CAISSE SOCIALE
DEV. LOCAL CSDL</t>
  </si>
  <si>
    <t>3 500,00</t>
  </si>
  <si>
    <t>2018-08-23_2019-02-23</t>
  </si>
  <si>
    <t>ADI NOUVELLE
AQUITAINE</t>
  </si>
  <si>
    <t>24 000,00</t>
  </si>
  <si>
    <t>2018/375-2018-07-06</t>
  </si>
  <si>
    <t>2018-08-27_2019-02-27</t>
  </si>
  <si>
    <t>DIGITAL AQUITAINE</t>
  </si>
  <si>
    <t>2018/370-2018-07-06</t>
  </si>
  <si>
    <t>2018-08-22_2019-02-22</t>
  </si>
  <si>
    <t>FACE</t>
  </si>
  <si>
    <t>université d'été</t>
  </si>
  <si>
    <t>MAISON DE
L'EMPLOI DE BX</t>
  </si>
  <si>
    <t>230 000,00</t>
  </si>
  <si>
    <t>2018/99_2018-03-23</t>
  </si>
  <si>
    <t>AFEPT</t>
  </si>
  <si>
    <t>2018/100_2018-03-23</t>
  </si>
  <si>
    <t>AGENCE DEVELOP.
TOURISTIQUE GDE</t>
  </si>
  <si>
    <t>2018/50_2018-02-16</t>
  </si>
  <si>
    <t>OTCM Office Tourisme
&amp; Congrès
Métropolitains</t>
  </si>
  <si>
    <t>3 000 000,00</t>
  </si>
  <si>
    <t>2018/48_2018-02-16</t>
  </si>
  <si>
    <t>2018-02-14_2018-08-14</t>
  </si>
  <si>
    <t>CREAQ</t>
  </si>
  <si>
    <t>gestion locale des
biodéchets</t>
  </si>
  <si>
    <t>aide en
nature</t>
  </si>
  <si>
    <t>en 1 fois</t>
  </si>
  <si>
    <t>CCIB</t>
  </si>
  <si>
    <t>8 500,00</t>
  </si>
  <si>
    <t>2018/380_2018-07-06</t>
  </si>
  <si>
    <t>Ronde de Gironde</t>
  </si>
  <si>
    <t>2018-08-30_2019-02-30</t>
  </si>
  <si>
    <t>Manacom</t>
  </si>
  <si>
    <t>CLAP SUD OUEST</t>
  </si>
  <si>
    <t>29 000,00</t>
  </si>
  <si>
    <t>2018/460_2018-07-06</t>
  </si>
  <si>
    <t>13 000,00</t>
  </si>
  <si>
    <t>CIDFF</t>
  </si>
  <si>
    <t>10 300,00</t>
  </si>
  <si>
    <t>CAP SCIENCES</t>
  </si>
  <si>
    <t>320 000,00</t>
  </si>
  <si>
    <t>2018/359_2018-07-06</t>
  </si>
  <si>
    <t>2018-09-10_2019-03-10</t>
  </si>
  <si>
    <t>120 000,00</t>
  </si>
  <si>
    <t>MAISON EMPLOI
INSERTION ECO
ENTREP</t>
  </si>
  <si>
    <t>2018/383_2018-07-06</t>
  </si>
  <si>
    <t>PLIE de Bordeaux</t>
  </si>
  <si>
    <t>2018/376_2018-07-06</t>
  </si>
  <si>
    <t>PRINC'ESS</t>
  </si>
  <si>
    <t>invest. immobilier</t>
  </si>
  <si>
    <t>PUBLICATION du 20 novembre 2018</t>
  </si>
  <si>
    <t>A.DE.LE</t>
  </si>
  <si>
    <t>2018-09-27_2019-03-27</t>
  </si>
  <si>
    <t>CAISSE SOCIALE
ENTRAIDE
SAP.POMPIERS CUB</t>
  </si>
  <si>
    <t>133 663,21</t>
  </si>
  <si>
    <t>2018/409_2018-07-06</t>
  </si>
  <si>
    <t>Fonctionnement</t>
  </si>
  <si>
    <t>2018-09-18_2019-03-18</t>
  </si>
  <si>
    <t>2018/480_2018-07-06</t>
  </si>
  <si>
    <t>2018-09-25_2019-03-25</t>
  </si>
  <si>
    <t>CEPRI</t>
  </si>
  <si>
    <t>7 500,00</t>
  </si>
  <si>
    <t>2018/439_2018-07-06</t>
  </si>
  <si>
    <t>2018-09-21_2019-03-21</t>
  </si>
  <si>
    <t>2018-09-28_2019-03-28</t>
  </si>
  <si>
    <t>MEBA (MAISON DE
L'EUROPE)</t>
  </si>
  <si>
    <t>59 400,00</t>
  </si>
  <si>
    <t>2018/471_2018-07-06</t>
  </si>
  <si>
    <t>maison des mobilités</t>
  </si>
  <si>
    <t>2018-09-13_2019-03-13</t>
  </si>
  <si>
    <t>O PLAFOND</t>
  </si>
  <si>
    <t>2 000,00</t>
  </si>
  <si>
    <t>appel ZZ zéro déchets</t>
  </si>
  <si>
    <t>1 500,00</t>
  </si>
  <si>
    <t>AGEC &amp; CO</t>
  </si>
  <si>
    <t>14 250,00</t>
  </si>
  <si>
    <t>2018-/86_2018-09-28</t>
  </si>
  <si>
    <t>2018-10-18_2019-04-18</t>
  </si>
  <si>
    <t>ADAV 33</t>
  </si>
  <si>
    <t>87 400,00</t>
  </si>
  <si>
    <t>2018/579_2018-09-28</t>
  </si>
  <si>
    <t>2018-10-12_2019-04-12</t>
  </si>
  <si>
    <t>9 500,00</t>
  </si>
  <si>
    <t>2018/587_2018-09-28</t>
  </si>
  <si>
    <t>manifestation
création littéraire</t>
  </si>
  <si>
    <t>2018-11-02_2019-05-02</t>
  </si>
  <si>
    <t>CLUSTER BORDEAUX
SUPERYACHT</t>
  </si>
  <si>
    <t>2018/486_2018-09-28</t>
  </si>
  <si>
    <t>2018-11-07_2019-05-07</t>
  </si>
  <si>
    <t>GARAGE MODERNE</t>
  </si>
  <si>
    <t>2018/490_2018-09-28</t>
  </si>
  <si>
    <t>URHAJ</t>
  </si>
  <si>
    <t>72 200,00</t>
  </si>
  <si>
    <t>2018/457_2018-07-06</t>
  </si>
  <si>
    <t>2018-09-04_2019-03-04</t>
  </si>
  <si>
    <t>2018/207_2018-04-27</t>
  </si>
  <si>
    <t>inv. Pôle coopérat.
ESS Bordeaux</t>
  </si>
  <si>
    <t>2018-11-13_2019-05-13</t>
  </si>
  <si>
    <t>AEROSPACE VALLEY</t>
  </si>
  <si>
    <t>90 000,00</t>
  </si>
  <si>
    <t>2018/487_2018-09-28</t>
  </si>
  <si>
    <t>LA RONDE DES
QUARTIERS DE BX</t>
  </si>
  <si>
    <t>2018/491_2018-09-28</t>
  </si>
  <si>
    <t>Le bon goût</t>
  </si>
  <si>
    <t>2018-11-14_2019-05-14</t>
  </si>
  <si>
    <t>création nouvelles
associations de
commerçants</t>
  </si>
  <si>
    <t>46 318,00</t>
  </si>
  <si>
    <t>COAEQUO</t>
  </si>
  <si>
    <t>2018/586_2018-09-28</t>
  </si>
  <si>
    <t>manifestation SMAC
d'agglo</t>
  </si>
  <si>
    <t>2018-11-15_2019-05-15</t>
  </si>
  <si>
    <t>2018/489_2018-09-28</t>
  </si>
  <si>
    <t>PLIE</t>
  </si>
  <si>
    <t>2018-11-16_2019-05-16</t>
  </si>
  <si>
    <t/>
  </si>
  <si>
    <t>datepublication</t>
  </si>
  <si>
    <t>nomAttribuant</t>
  </si>
  <si>
    <t>idAttribuant</t>
  </si>
  <si>
    <t>notificationU
E</t>
  </si>
  <si>
    <t>pourcentageS
ubvention</t>
  </si>
  <si>
    <t>BORDEAUX METROPOLE</t>
  </si>
  <si>
    <t>2018/040</t>
  </si>
  <si>
    <t>GIHP INSERT PERS HAND</t>
  </si>
  <si>
    <t>Zéro déchets</t>
  </si>
  <si>
    <t>unique</t>
  </si>
  <si>
    <t>2018-10-09/2019-04-09</t>
  </si>
  <si>
    <t>2018/288</t>
  </si>
  <si>
    <t>ASSO LEONARD DE VINCI</t>
  </si>
  <si>
    <t>Big Data</t>
  </si>
  <si>
    <t>2018-07-17/2019-01-17</t>
  </si>
  <si>
    <t>2018/573</t>
  </si>
  <si>
    <t>ADIL 33</t>
  </si>
  <si>
    <t>2018-11-09/2019-05-09</t>
  </si>
  <si>
    <t>2017/799</t>
  </si>
  <si>
    <t>BMSL</t>
  </si>
  <si>
    <t>2018-03-12/2018-09-12</t>
  </si>
  <si>
    <t>2018/40</t>
  </si>
  <si>
    <t>TERRE D'ADELE</t>
  </si>
  <si>
    <t>2018-09-20/2019-03-20</t>
  </si>
  <si>
    <t>2018/597</t>
  </si>
  <si>
    <t>NANTES SUMMERCAMP</t>
  </si>
  <si>
    <t>SOFILM</t>
  </si>
  <si>
    <t>2018-12-10/2019-06-10</t>
  </si>
  <si>
    <t>2018/570</t>
  </si>
  <si>
    <t>SOLIHA SOLIDAIRE
HABITAT</t>
  </si>
  <si>
    <t>2018-12-20/2019-06-20</t>
  </si>
  <si>
    <t>2018/601</t>
  </si>
  <si>
    <t>LE LIVRE VERT</t>
  </si>
  <si>
    <t>2018-12-18/2019-06-18</t>
  </si>
  <si>
    <t>2018/678</t>
  </si>
  <si>
    <t>CARREFOURS POUR
L'EMPLOI</t>
  </si>
  <si>
    <t>2019-01-17/2019-07-17</t>
  </si>
  <si>
    <t>2018/578</t>
  </si>
  <si>
    <t>WIMOOV GIRONDE</t>
  </si>
  <si>
    <t>plateforme mobilité</t>
  </si>
  <si>
    <t>2019-01-24/2019-07-24</t>
  </si>
  <si>
    <t>2018/649</t>
  </si>
  <si>
    <t>AGENCE QUALITE
CONSTRUCTION AQC</t>
  </si>
  <si>
    <t>Bien construire</t>
  </si>
  <si>
    <t>2019-01-15/2019-07-15</t>
  </si>
  <si>
    <t>2015/488</t>
  </si>
  <si>
    <t>SIMOREP ET CIE</t>
  </si>
  <si>
    <t>investissement projet
butterfly</t>
  </si>
  <si>
    <t>2018-09-24/2019-03-24</t>
  </si>
  <si>
    <t>2018/677</t>
  </si>
  <si>
    <t>AQUITEC</t>
  </si>
  <si>
    <t>2019-01-31/2019-07-31</t>
  </si>
  <si>
    <t>2018/588</t>
  </si>
  <si>
    <t>LA RONDE DES QUARTIERS
DE BORDEAUX</t>
  </si>
  <si>
    <t>Action CO2LIM</t>
  </si>
  <si>
    <t>2018/359</t>
  </si>
  <si>
    <t>Investissement</t>
  </si>
  <si>
    <t>2018-09-10/2019-03-10</t>
  </si>
  <si>
    <t>2018/667</t>
  </si>
  <si>
    <t>AQUINETIC</t>
  </si>
  <si>
    <t>manifestation B
BOOST</t>
  </si>
  <si>
    <t>2018-11-28/2019-05-28</t>
  </si>
  <si>
    <t>2018/841</t>
  </si>
  <si>
    <t>LES RESTAURANTS DU
CŒUR</t>
  </si>
  <si>
    <t>concert "Les
Enfoirés"</t>
  </si>
  <si>
    <t>2019-02-19/2019-08-19</t>
  </si>
  <si>
    <t>2018/666</t>
  </si>
  <si>
    <t>Fête de la science</t>
  </si>
  <si>
    <t>2019-02-14/2019-08-14</t>
  </si>
  <si>
    <t>2018/804</t>
  </si>
  <si>
    <t>UNION BORDEAUX
METROPOLE (UBM)</t>
  </si>
  <si>
    <t>2018/805</t>
  </si>
  <si>
    <t>COS Bordeaux Métropole</t>
  </si>
  <si>
    <t>2019/53</t>
  </si>
  <si>
    <t>ESCALES LITTERAIRES</t>
  </si>
  <si>
    <t>Escales du livre</t>
  </si>
  <si>
    <t>2019-02-11/2019-08-11</t>
  </si>
  <si>
    <t>COMPAGNIE LES
MARCHES DE L'ÉTÉ</t>
  </si>
  <si>
    <t>FESTIVAL 30/30</t>
  </si>
  <si>
    <t>2019-02-19_2019-08-19</t>
  </si>
  <si>
    <t>saison cirque</t>
  </si>
  <si>
    <t>2019-02-20/2019-08-20</t>
  </si>
  <si>
    <t>POLA</t>
  </si>
  <si>
    <t>2019/65</t>
  </si>
  <si>
    <t>OFFICE TOURISME &amp;
CONGRES BORDEAUX</t>
  </si>
  <si>
    <t>2019-03-08/2019-09-08</t>
  </si>
  <si>
    <t>2019/69</t>
  </si>
  <si>
    <t>LE LAB</t>
  </si>
  <si>
    <t>investissement
travaux Lormont</t>
  </si>
  <si>
    <t>festival POUCE</t>
  </si>
  <si>
    <t>2019-03-11/2019-09-11</t>
  </si>
  <si>
    <t>2019/63</t>
  </si>
  <si>
    <t>PARALLELES ATTITUDE
DIFFUSION</t>
  </si>
  <si>
    <t>carnaval des 2 rives</t>
  </si>
  <si>
    <t>2019-02-04/2019-08-04</t>
  </si>
  <si>
    <t>LES ARTS DE LA
PAROLE</t>
  </si>
  <si>
    <t>2019-02-22/2019-08-22</t>
  </si>
  <si>
    <t>festival Hauts de
garonne</t>
  </si>
  <si>
    <t>2019-02-12/2019-08-12</t>
  </si>
  <si>
    <t>2018/664</t>
  </si>
  <si>
    <t>journées afro
contemporaines</t>
  </si>
  <si>
    <t>2018-12-07/2019-06-07</t>
  </si>
  <si>
    <t>JUMPING INTERNATIONAL</t>
  </si>
  <si>
    <t>Jumping</t>
  </si>
  <si>
    <t>2019-02-27/2019-08-27</t>
  </si>
  <si>
    <t>Arthothèque</t>
  </si>
  <si>
    <t>2019-02-25/2019-08-25</t>
  </si>
  <si>
    <t>2019/45</t>
  </si>
  <si>
    <t>2019-03-06/2019-09-06</t>
  </si>
  <si>
    <t>ASSO FESTIVAL ODP</t>
  </si>
  <si>
    <t>Festival ODP codev</t>
  </si>
  <si>
    <t>2019/64</t>
  </si>
  <si>
    <t>MAISON EMPLOI INSERT
ECO ENTREP.</t>
  </si>
  <si>
    <t>2019-03-07/2019-09-07</t>
  </si>
  <si>
    <t>2019/92</t>
  </si>
  <si>
    <t>ALEC</t>
  </si>
  <si>
    <t>déploiement PCAET</t>
  </si>
  <si>
    <t>2019/66</t>
  </si>
  <si>
    <t>AGENCE DEVELOPPEMENT
TOURISTIQUE</t>
  </si>
  <si>
    <t>2019-02-18/2019-08-18</t>
  </si>
  <si>
    <t>2019/77</t>
  </si>
  <si>
    <t>MÉMOIRE DE BORDEAUX</t>
  </si>
  <si>
    <t>2019-02-15/2019-08-15</t>
  </si>
  <si>
    <t>2019/60</t>
  </si>
  <si>
    <t>ASSO.EUROPEENNE DU
FILM ANIMATION</t>
  </si>
  <si>
    <t>CARTOON MOVIE</t>
  </si>
  <si>
    <t>2019/68</t>
  </si>
  <si>
    <t>LA PLANCHE</t>
  </si>
  <si>
    <t>Investissement tiers
lieu</t>
  </si>
  <si>
    <t>2019-04-02/2019-10-02</t>
  </si>
  <si>
    <t>2019/172</t>
  </si>
  <si>
    <t>DECASTAR</t>
  </si>
  <si>
    <t>2019-04-01/2019-10-01</t>
  </si>
  <si>
    <t>2019/106</t>
  </si>
  <si>
    <t>CCI BORDEAUX GIRONDE</t>
  </si>
  <si>
    <t>Fonds de soutien aux
commerçants</t>
  </si>
  <si>
    <t>2019-04-19/2019-10-19</t>
  </si>
  <si>
    <t>SAMPE France</t>
  </si>
  <si>
    <t>Action journées
techniques</t>
  </si>
  <si>
    <t>2019-04-24/2019-10-24</t>
  </si>
  <si>
    <t>2018/763</t>
  </si>
  <si>
    <t>Appel à projet ZZZ
zéro déchets</t>
  </si>
  <si>
    <t>2019-05-02/2019-11-02</t>
  </si>
  <si>
    <t>2019/143</t>
  </si>
  <si>
    <t>CLUB CAP COM</t>
  </si>
  <si>
    <t>FORUM</t>
  </si>
  <si>
    <t>2019-03-22/2019-09-22</t>
  </si>
  <si>
    <t>2019/263</t>
  </si>
  <si>
    <t>IN SITU ÉTÉ
METROPOLITAIN</t>
  </si>
  <si>
    <t>2019-05-21/2019-11-21</t>
  </si>
  <si>
    <t>2019/165</t>
  </si>
  <si>
    <t>LEON A VELO</t>
  </si>
  <si>
    <t>2019-04-30/2019-10-30</t>
  </si>
  <si>
    <t>2019/247</t>
  </si>
  <si>
    <t>FETE DU VELO</t>
  </si>
  <si>
    <t>2019-05-15/2019-11-15</t>
  </si>
  <si>
    <t>2019/181</t>
  </si>
  <si>
    <t>BORDEAUX TECHNOWEST</t>
  </si>
  <si>
    <t>LA TECHNOPOLE</t>
  </si>
  <si>
    <t>GANG OF FOOD</t>
  </si>
  <si>
    <t>ÉTÉ METROPOLITAIN</t>
  </si>
  <si>
    <t>2019-05-22/2019-11-22</t>
  </si>
  <si>
    <t>2019/182</t>
  </si>
  <si>
    <t>2019-05-24/2019-11-24</t>
  </si>
  <si>
    <t>L'ORANGEADE</t>
  </si>
  <si>
    <t>Eté métropolitain</t>
  </si>
  <si>
    <t>2019-05-27/2019-11-27</t>
  </si>
  <si>
    <t>YES WE CAMP</t>
  </si>
  <si>
    <t>COMPAGNIE TANDAIM</t>
  </si>
  <si>
    <t>BORDEAUX OPEN AIR</t>
  </si>
  <si>
    <t>2019-05-23/2019-11-23</t>
  </si>
  <si>
    <t>ADMAA</t>
  </si>
  <si>
    <t>2019/183</t>
  </si>
  <si>
    <t>MONTS ET MERVEILLES</t>
  </si>
  <si>
    <t>2019-05-28/2019-11-28</t>
  </si>
  <si>
    <t>LE BLEU DU CIEL</t>
  </si>
  <si>
    <t>LES ASSOCIES CREW</t>
  </si>
  <si>
    <t>BORDEAUX ART
CONTEMPORAIN</t>
  </si>
  <si>
    <t>2019-05-29/2019-11-29</t>
  </si>
  <si>
    <t>LA MECANIQUE GENERALE</t>
  </si>
  <si>
    <t>2019-06-03/2019-12-03</t>
  </si>
  <si>
    <t>2019/265</t>
  </si>
  <si>
    <t>AGEC ET CO</t>
  </si>
  <si>
    <t>projet artistique</t>
  </si>
  <si>
    <t>2018/651</t>
  </si>
  <si>
    <t>UNIS CITE</t>
  </si>
  <si>
    <t>ambassadeurs du
vélo</t>
  </si>
  <si>
    <t>2019-01-23/2019-07-23</t>
  </si>
  <si>
    <t>2019/206</t>
  </si>
  <si>
    <t>2019/205</t>
  </si>
  <si>
    <t>ESS Emergence
entreprises</t>
  </si>
  <si>
    <t>2019-06-04/2019-12-04</t>
  </si>
  <si>
    <t>2019-06-05/2019-12-05</t>
  </si>
  <si>
    <t>L'ART DANS TOUS SES
ETATS</t>
  </si>
  <si>
    <t>2019-06-12/2019-12-12</t>
  </si>
  <si>
    <t>CSDL</t>
  </si>
  <si>
    <t>ESS programme
d'actions</t>
  </si>
  <si>
    <t>2019-06-06/2019-12-06</t>
  </si>
  <si>
    <t>2019-06-11/2019-12-11</t>
  </si>
  <si>
    <t>2019/187</t>
  </si>
  <si>
    <t>INVEST IN BORDEAUX</t>
  </si>
  <si>
    <t>2019/185</t>
  </si>
  <si>
    <t>FRENTECH BORDEAUX</t>
  </si>
  <si>
    <t>SMAC d'agglo</t>
  </si>
  <si>
    <t>2019-06-07/2019-12-07</t>
  </si>
  <si>
    <t>FRANCE ACTIVE</t>
  </si>
  <si>
    <t>manifestation
Innovaday</t>
  </si>
  <si>
    <t>2019-06-13/2019-12-13</t>
  </si>
  <si>
    <t>2019/169</t>
  </si>
  <si>
    <t>HAPANA</t>
  </si>
  <si>
    <t>Action habitat</t>
  </si>
  <si>
    <t>2019-04-16/2019-10-16</t>
  </si>
  <si>
    <t>2019/256</t>
  </si>
  <si>
    <t>2019/264</t>
  </si>
  <si>
    <t>Manifestation "faire
des bulles"</t>
  </si>
  <si>
    <t>2019-06-17/2019-12-17</t>
  </si>
  <si>
    <t>2019/274</t>
  </si>
  <si>
    <t>Start up de territoire</t>
  </si>
  <si>
    <t>2019-06-26/2019-12-26</t>
  </si>
  <si>
    <t>2019/278</t>
  </si>
  <si>
    <t>2019-06-19/2019-12-19</t>
  </si>
  <si>
    <t>2019/294</t>
  </si>
  <si>
    <t>ASSO EIPF</t>
  </si>
  <si>
    <t>Investissement ESS</t>
  </si>
  <si>
    <t>2019/279</t>
  </si>
  <si>
    <t>HAUTS DE GARONNE</t>
  </si>
  <si>
    <t>Investissement sur
outils financiers</t>
  </si>
  <si>
    <t>2019-06-27/2019-12-27</t>
  </si>
  <si>
    <t>2019/318</t>
  </si>
  <si>
    <t>2019-06-25/2019-12-25</t>
  </si>
  <si>
    <t>CSBN</t>
  </si>
  <si>
    <t>2019-06-20/2019-12-20</t>
  </si>
  <si>
    <t>LE RITUEL</t>
  </si>
  <si>
    <t>2019/257</t>
  </si>
  <si>
    <t>2019/169_</t>
  </si>
  <si>
    <t>CREPAQ</t>
  </si>
  <si>
    <t>2019/276</t>
  </si>
  <si>
    <t>2019-07-02/2020-01-02</t>
  </si>
  <si>
    <t>ADELE</t>
  </si>
  <si>
    <t>PLIE DES GRAVES</t>
  </si>
  <si>
    <t>2019-07-05/2020-01-05</t>
  </si>
  <si>
    <t>2019/273</t>
  </si>
  <si>
    <t>FETE DU FLEUVE</t>
  </si>
  <si>
    <t>2019/186</t>
  </si>
  <si>
    <t>VILLA PRIMROSE</t>
  </si>
  <si>
    <t>2019-07-09/2020-01-09</t>
  </si>
  <si>
    <t>2019/297</t>
  </si>
  <si>
    <t>ENT'AUTRES</t>
  </si>
  <si>
    <t>Investissement Le
Local</t>
  </si>
  <si>
    <t>2019-07-12/2020-01-12</t>
  </si>
  <si>
    <t>2019/381</t>
  </si>
  <si>
    <t>2019/386</t>
  </si>
  <si>
    <t>2019-08-02/2020-02-02</t>
  </si>
  <si>
    <t>2019/401</t>
  </si>
  <si>
    <t>MAISON EMPLOI BX MDE</t>
  </si>
  <si>
    <t>2019-07-31/2020-01-31</t>
  </si>
  <si>
    <t>OVERGROUND</t>
  </si>
  <si>
    <t>2019-08-07/2020-02-07</t>
  </si>
  <si>
    <t>L'ATELIER REMUMENAGE</t>
  </si>
  <si>
    <t>actions spécifiques</t>
  </si>
  <si>
    <t>COM UNE PARENTHESE</t>
  </si>
  <si>
    <t>2019-07-25/2020-01-25</t>
  </si>
  <si>
    <t>2019-07-23/2020-01-23</t>
  </si>
  <si>
    <t>OIM action emploi</t>
  </si>
  <si>
    <t>2019/418</t>
  </si>
  <si>
    <t>LES DETRITIVORES</t>
  </si>
  <si>
    <t>action déchets</t>
  </si>
  <si>
    <t>2019-08-22/2020-02-22</t>
  </si>
  <si>
    <t>2019/390</t>
  </si>
  <si>
    <t>FESTIVAL DES ARTS DE
BORDEAUX</t>
  </si>
  <si>
    <t>Festival des arts</t>
  </si>
  <si>
    <t>2019-08-26/2020-02-26</t>
  </si>
  <si>
    <t>Festival FIFIB</t>
  </si>
  <si>
    <t>Festival Relache</t>
  </si>
  <si>
    <t>MELI MEL'ARTS</t>
  </si>
  <si>
    <t>Festival</t>
  </si>
  <si>
    <t>2019/391</t>
  </si>
  <si>
    <t>AMANIEU DE BOULIAC</t>
  </si>
  <si>
    <t>Médiévales</t>
  </si>
  <si>
    <t>2019/350</t>
  </si>
  <si>
    <t>MEBA</t>
  </si>
  <si>
    <t>2019-10-21/2020-04-21</t>
  </si>
  <si>
    <t>2019/532</t>
  </si>
  <si>
    <t>RESTAURANTS DU CŒUR</t>
  </si>
  <si>
    <t>2019-10-24/2020-04-24</t>
  </si>
  <si>
    <t>2019-10-25/2020-04-25</t>
  </si>
  <si>
    <t>2019/582</t>
  </si>
  <si>
    <t>URHAJ NOUVELLE
AQUITAINE</t>
  </si>
  <si>
    <t>2019-10-17/2020-04-17</t>
  </si>
  <si>
    <t>2019/489</t>
  </si>
  <si>
    <t>2019-10-31/2020-04-31</t>
  </si>
  <si>
    <t>BANQUE ALIMENTAIRE DE
BORDEAUX</t>
  </si>
  <si>
    <t>2019-11-05/2020-05-05</t>
  </si>
  <si>
    <t>Action spécifique
plateforme
linguistique</t>
  </si>
  <si>
    <t>Action spécifique
dével. Outil
numérique</t>
  </si>
  <si>
    <t>2019/594</t>
  </si>
  <si>
    <t>FESTIVAL INTERNATIONAL</t>
  </si>
  <si>
    <t>Festival du film
d'histoire</t>
  </si>
  <si>
    <t>2019-11-12/2020-05-12</t>
  </si>
  <si>
    <t>idBeneficiaire_clean</t>
  </si>
  <si>
    <t>montant_clean</t>
  </si>
  <si>
    <t>ADI NOUVELLE AQUITAINE</t>
  </si>
  <si>
    <t>ADIL (asso. départ. pour information sur logement)</t>
  </si>
  <si>
    <t>ADMAA (ASSO DEFENSE MUSIQUES ALTERNATIVES)</t>
  </si>
  <si>
    <t>AGENCE DEVELOP. TOURISTIQUE GDE</t>
  </si>
  <si>
    <t>ALEC agence locale de l'énergie</t>
  </si>
  <si>
    <t>ARC SUD DEVELOPPEMENT</t>
  </si>
  <si>
    <t>ARIANE PRODUCTIONS</t>
  </si>
  <si>
    <t>ARTS &amp; LOISIRS D'ARLAC</t>
  </si>
  <si>
    <t>ASSO EUROPEENNE DU FILM ANIMATION</t>
  </si>
  <si>
    <t>ASSO TECH. FRUITS LEGUGMES GDE</t>
  </si>
  <si>
    <t>ASSOCIATION FESTIVAL ODP</t>
  </si>
  <si>
    <t>BANQUE ALIMENTAIRE</t>
  </si>
  <si>
    <t>BORDEAUX FOOD CLUB</t>
  </si>
  <si>
    <t>BORDEAUX GRANDS EVENEMENTS</t>
  </si>
  <si>
    <t>CAISSE SOCIALE DEV. LOCAL CSDL</t>
  </si>
  <si>
    <t>CAISSE SOCIALE ENTRAIDE SAP.POMPIERS CUB</t>
  </si>
  <si>
    <t>CIE LES MARCHES DE L'ÉTÉ</t>
  </si>
  <si>
    <t>CLUSTER BORDEAUX SUPERYACHT</t>
  </si>
  <si>
    <t>COMPAGNONS BATISSEURS</t>
  </si>
  <si>
    <t>COS PERSONNEL Bordeaux Metropole</t>
  </si>
  <si>
    <t>CSDL (caisse sociale de dév local)</t>
  </si>
  <si>
    <t>CSDL (caisse sociale dév local)</t>
  </si>
  <si>
    <t>CYCLES ET MANIVELLES</t>
  </si>
  <si>
    <t>ECOSITE DU BOURGAILH</t>
  </si>
  <si>
    <t>ESCALES LITTERAIRES BX AQUITAINE</t>
  </si>
  <si>
    <t>FESTIVAL DES ARTS DE BORDEAUX FAB</t>
  </si>
  <si>
    <t>JIB (JUMPING INTERNATIONAL DE BORDEAUX)</t>
  </si>
  <si>
    <t>LA RONDE DES QUARTIERS DE BX</t>
  </si>
  <si>
    <t>LE POEME EN VOLUME</t>
  </si>
  <si>
    <t>LES CAPRICES DE MARIANNE</t>
  </si>
  <si>
    <t>LES PETITS DEBROUILLARDS</t>
  </si>
  <si>
    <t>LES RESTAURANTS DU CŒUR</t>
  </si>
  <si>
    <t>MAISON DE L'EMPLOI DE BX</t>
  </si>
  <si>
    <t>MAISON EMPLOI INSERTION ECO ENTREP</t>
  </si>
  <si>
    <t>MEBA (MAISON DE L'EUROPE)</t>
  </si>
  <si>
    <t>MUSIQUE DE NUIT DIFFUSION</t>
  </si>
  <si>
    <t>MUSIQUES DE NUIT DIFFUSION</t>
  </si>
  <si>
    <t>OTCM Office Tourisme &amp; Congrès Métropolitains</t>
  </si>
  <si>
    <t>PARALLELES ATTITUDES DIFFUSION</t>
  </si>
  <si>
    <t>STADE BORDELAIS ASPTT</t>
  </si>
  <si>
    <t>TALENCE INNOVATION SUD DEVELOPP.</t>
  </si>
  <si>
    <t>UNML (UNION NATIONALE DES MISSIONS LOCALES)</t>
  </si>
  <si>
    <t>conditionsVersement</t>
  </si>
  <si>
    <t>notificationUE</t>
  </si>
  <si>
    <t>pourcentageSubvention</t>
  </si>
  <si>
    <t>SUM of montant</t>
  </si>
  <si>
    <t>Grand Total</t>
  </si>
  <si>
    <t>assos_unique</t>
  </si>
  <si>
    <t>montant2018</t>
  </si>
  <si>
    <t>montant2019</t>
  </si>
  <si>
    <t>unique 2018 et. 2019</t>
  </si>
  <si>
    <t>unique 2018-2019 final</t>
  </si>
  <si>
    <t>subv2018</t>
  </si>
  <si>
    <t>subv2019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</si>
</sst>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"/>
  </numFmts>
  <fonts count="4">
    <font>
      <sz val="10.0"/>
      <color rgb="FF000000"/>
      <name val="Arial"/>
    </font>
    <font>
      <b/>
    </font>
    <font/>
    <font>
      <sz val="11.0"/>
      <color rgb="FFF7981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4" xfId="0" applyFont="1" applyNumberForma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987" sheet="etape2"/>
  </cacheSource>
  <cacheFields>
    <cacheField name="idBeneficiaire" numFmtId="0">
      <sharedItems containsBlank="1">
        <s v="AURBA"/>
        <s v="OTCM Office Tourisme&#10;&amp; Congrès&#10;Métropolitains"/>
        <s v="COS PERSONNEL&#10;Bordeaux&#10;Metropole"/>
        <s v="BORDEAUX&#10;TECHNOWEST"/>
        <s v="ARC EN REVE"/>
        <s v="INVEST IN&#10;BORDEAUX"/>
        <s v="CAP SCIENCES"/>
        <s v="MAISON DE&#10;L'EMPLOI DE BX"/>
        <s v="BORDEAUX GRANDS&#10;EVENEMENTS"/>
        <s v="FRENCHTECH"/>
        <s v="AGENCE DEVELOP.&#10;TOURISTIQUE GDE"/>
        <s v="FESTIVAL DES ARTS&#10;DE BORDEAUX FAB"/>
        <s v="ASSO EUROPEENNE&#10;DU FILM ANIMATION"/>
        <s v="ESCALES&#10;LITTERAIRES BX&#10;AQUITAINE"/>
        <s v="BORDEAUX UNITEC"/>
        <s v="ALEC agence locale&#10;de l'énergie"/>
        <s v="CAISSE SOCIALE&#10;ENTRAIDE&#10;SAP.POMPIERS CUB"/>
        <s v="FABRIQUE POLA"/>
        <s v="ADIL (asso. départ.&#10;pour information sur&#10;logement)"/>
        <s v="MÉMOIRE DE&#10;BORDEAUX"/>
        <s v="COMPAGNONS&#10;BATISSEURS"/>
        <s v="AEROSPACE VALLEY"/>
        <s v="ADAV 33"/>
        <s v="UBM"/>
        <s v="URHAJ"/>
        <s v="STADE BORDELAIS&#10;ASPTT"/>
        <s v="PAIN ET PARTAGE SAS"/>
        <s v="AFEPT"/>
        <s v="MEBA (MAISON DE&#10;L'EUROPE)"/>
        <s v="ADEM"/>
        <s v="ALPHA"/>
        <s v="CYCLES ET&#10;MANIVELLES"/>
        <s v="VELO CITE"/>
        <s v="ETU RECUP"/>
        <s v="COOP ALPHA"/>
        <s v="GRAINE AQUITAINE"/>
        <s v="FESTIVAL&#10;INTERNATIONAL"/>
        <s v="AQUITAINE ACTIVE"/>
        <s v="UNIS CITES"/>
        <s v="CREAC DE BEGLES"/>
        <s v="ARC SUD&#10;DEVELOPPEMENT"/>
        <s v="LA RONDE DES&#10;QUARTIERS DE BX"/>
        <s v="ADIE"/>
        <s v="HAUTS DE&#10;GARONNE"/>
        <s v="ATIS"/>
        <s v="TALENCE&#10;INNOVATION SUD&#10;DEVELOPP."/>
        <s v="ADMAA (ASSO&#10;DEFENSE MUSIQUES&#10;ALTERNATIVES)"/>
        <s v="MUSIQUE DE NUIT&#10;DIFFUSION"/>
        <s v="ASSOCIATION&#10;FESTIVAL ODP"/>
        <s v="CSDL (caisse sociale de&#10;dév local)"/>
        <s v="CSDL (caisse sociale&#10;dév local)"/>
        <s v="MUSIQUES DE NUIT&#10;DIFFUSION"/>
        <s v="CHAHUTS"/>
        <s v="JIB (JUMPING&#10;INTERNATIONAL DE&#10;BORDEAUX)"/>
        <s v="CIJA"/>
        <s v="GARAGE MODERNE"/>
        <s v="CLAP SUD OUEST"/>
        <s v="SEMER LE DOUTE"/>
        <s v="LES RESTAURANTS&#10;DU CŒUR"/>
        <s v="ADSI TECHNOWEST"/>
        <s v="BANQUE&#10;ALIMENTAIRE"/>
        <s v="DIGITAL AQUITAINE"/>
        <s v="MAISON EMPLOI&#10;INSERTION ECO&#10;ENTREP"/>
        <s v="A.DE.LE"/>
        <s v="CLUSTER BORDEAUX&#10;SUPERYACHT"/>
        <s v="SUPERCOOP SAS"/>
        <s v="ADI NOUVELLE&#10;AQUITAINE"/>
        <s v="ASSO TECH. FRUITS&#10;LEGUGMES GDE"/>
        <s v="ESPRIT DE CORPS"/>
        <s v="BORDEAUX FOOD&#10;CLUB"/>
        <s v="SEW &amp; LAINE"/>
        <s v="IDDAC"/>
        <s v="PASSAGE A L'ART"/>
        <s v="CIE LES MARCHES&#10;DE L'ÉTÉ"/>
        <s v="RICOCHET SONORE"/>
        <s v="PARALLELES&#10;ATTITUDES&#10;DIFFUSION"/>
        <s v="LES ARTS AU MUR"/>
        <s v="FACE"/>
        <s v="R 2 JEUX"/>
        <s v="AGEC &amp; CO"/>
        <s v="COAEQUO"/>
        <s v="LES CAPRICES DE&#10;MARIANNE"/>
        <s v="MECHANIC CROUS"/>
        <s v="THE DESK"/>
        <s v="UFASEC"/>
        <s v="CIDFF"/>
        <s v="BORDEAUX OPEN&#10;AIR"/>
        <s v="TRAFIC"/>
        <s v="GLUTAMINE"/>
        <s v="MOM'OUEST"/>
        <s v="IUFM"/>
        <s v="ARIANE&#10;PRODUCTIONS"/>
        <s v="LETTRES DU MONDE"/>
        <s v="CCIB"/>
        <s v="L'IRREGULIERE"/>
        <s v="DATCHA"/>
        <s v="MELI MEL ARTS"/>
        <s v="PRINC'ESS"/>
        <s v="ARTS &amp; LOISIRS&#10;D'ARLAC"/>
        <s v="ECOSITE DU&#10;BOURGAILH"/>
        <s v="CEPRI"/>
        <s v="ADIEU PANURGE"/>
        <s v="LES PETITS&#10;DEBROUILLARDS"/>
        <s v="AMANIEU DE&#10;BOULIAC"/>
        <s v="PETRONILLE"/>
        <s v="UNML (UNION&#10;NATIONALE DES&#10;MISSIONS LOCALES)"/>
        <s v="BORDEAUX ROCK"/>
        <s v="LE POEME EN&#10;VOLUME"/>
        <s v="L'EPHEMERE"/>
        <s v="CAISSE SOCIALE&#10;DEV. LOCAL CSDL"/>
        <s v="CREAQ"/>
        <s v="ACTIMAGE"/>
        <s v="O PLAFOND"/>
        <s v="LA MECANIQUE&#10;GENERALE"/>
        <m/>
      </sharedItems>
    </cacheField>
    <cacheField name="montant" numFmtId="4">
      <sharedItems containsString="0" containsBlank="1" containsNumber="1">
        <n v="4372007.0"/>
        <n v="3000000.0"/>
        <n v="1680000.0"/>
        <n v="420000.0"/>
        <n v="407253.0"/>
        <n v="332775.0"/>
        <n v="320000.0"/>
        <n v="230000.0"/>
        <n v="200000.0"/>
        <n v="180000.0"/>
        <n v="160000.0"/>
        <n v="150000.0"/>
        <n v="139000.0"/>
        <n v="137000.0"/>
        <n v="133663.21"/>
        <n v="120000.0"/>
        <n v="114000.0"/>
        <n v="97740.0"/>
        <n v="96187.5"/>
        <n v="95932.0"/>
        <n v="90000.0"/>
        <n v="87400.0"/>
        <n v="77000.0"/>
        <n v="72200.0"/>
        <n v="65000.0"/>
        <n v="60000.0"/>
        <n v="59400.0"/>
        <n v="58000.0"/>
        <n v="57000.0"/>
        <n v="55000.0"/>
        <n v="54000.0"/>
        <n v="52500.0"/>
        <n v="50000.0"/>
        <n v="49000.0"/>
        <n v="47500.0"/>
        <n v="46318.0"/>
        <n v="45000.0"/>
        <n v="42750.0"/>
        <n v="42700.0"/>
        <n v="41000.0"/>
        <n v="40000.0"/>
        <n v="38000.0"/>
        <n v="35000.0"/>
        <n v="34000.0"/>
        <n v="33250.0"/>
        <n v="32000.0"/>
        <n v="30000.0"/>
        <n v="29000.0"/>
        <n v="28000.0"/>
        <n v="26000.0"/>
        <n v="25000.0"/>
        <n v="24176.0"/>
        <n v="24000.0"/>
        <n v="23500.0"/>
        <n v="20000.0"/>
        <n v="19025.0"/>
        <n v="17940.0"/>
        <n v="17500.0"/>
        <n v="17000.0"/>
        <n v="15200.0"/>
        <n v="15000.0"/>
        <n v="14825.0"/>
        <n v="14250.0"/>
        <n v="14000.0"/>
        <n v="13538.0"/>
        <n v="13000.0"/>
        <n v="12600.0"/>
        <n v="11000.0"/>
        <n v="10870.0"/>
        <n v="10300.0"/>
        <n v="10000.0"/>
        <n v="9610.0"/>
        <n v="9500.0"/>
        <n v="9000.0"/>
        <n v="8500.0"/>
        <n v="8000.0"/>
        <n v="7900.0"/>
        <n v="7700.0"/>
        <n v="7500.0"/>
        <n v="7190.0"/>
        <n v="7000.0"/>
        <n v="6500.0"/>
        <n v="5800.0"/>
        <n v="5000.0"/>
        <n v="4000.0"/>
        <n v="3500.0"/>
        <n v="3000.0"/>
        <n v="2100.0"/>
        <n v="2000.0"/>
        <n v="15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995" sheet="2019 clean final"/>
  </cacheSource>
  <cacheFields>
    <cacheField name="nomBénéficiaire" numFmtId="0">
      <sharedItems containsBlank="1">
        <s v="ADELE"/>
        <s v="ADEM"/>
        <s v="ADIE"/>
        <s v="ADIL 33"/>
        <s v="ADMAA"/>
        <s v="ADSI TECHNOWEST"/>
        <s v="AEROSPACE VALLEY"/>
        <s v="AFEPT"/>
        <s v="AGEC ET CO"/>
        <s v="AGENCE DEVELOPPEMENT&#10;TOURISTIQUE"/>
        <s v="AGENCE QUALITE&#10;CONSTRUCTION AQC"/>
        <s v="ALEC"/>
        <s v="ALPHA"/>
        <s v="AMANIEU DE BOULIAC"/>
        <s v="AQUINETIC"/>
        <s v="AQUITEC"/>
        <s v="ARC EN REVE"/>
        <s v="ARC SUD&#10;DEVELOPPEMENT"/>
        <s v="ASSO EIPF"/>
        <s v="ASSO FESTIVAL ODP"/>
        <s v="ASSO LEONARD DE VINCI"/>
        <s v="ASSO.EUROPEENNE DU&#10;FILM ANIMATION"/>
        <s v="ATIS"/>
        <s v="AURBA"/>
        <s v="BANQUE ALIMENTAIRE DE&#10;BORDEAUX"/>
        <s v="BMSL"/>
        <s v="BORDEAUX ART&#10;CONTEMPORAIN"/>
        <s v="BORDEAUX OPEN AIR"/>
        <s v="BORDEAUX ROCK"/>
        <s v="BORDEAUX TECHNOWEST"/>
        <s v="BORDEAUX UNITEC"/>
        <s v="CAP SCIENCES"/>
        <s v="CARREFOURS POUR&#10;L'EMPLOI"/>
        <s v="CCI BORDEAUX GIRONDE"/>
        <s v="CHAHUTS"/>
        <s v="CIDFF"/>
        <s v="CLAP SUD OUEST"/>
        <s v="CLUB CAP COM"/>
        <s v="CLUSTER BORDEAUX&#10;SUPERYACHT"/>
        <s v="COAEQUO"/>
        <s v="COM UNE PARENTHESE"/>
        <s v="COMPAGNIE LES&#10;MARCHES DE L'ÉTÉ"/>
        <s v="COMPAGNIE TANDAIM"/>
        <s v="COOP ALPHA"/>
        <s v="COS Bordeaux Métropole"/>
        <s v="CREAC DE BEGLES"/>
        <s v="CREAQ"/>
        <s v="CREPAQ"/>
        <s v="CSBN"/>
        <s v="CSDL"/>
        <s v="DIGITAL AQUITAINE"/>
        <s v="ENT'AUTRES"/>
        <s v="ESCALES LITTERAIRES"/>
        <s v="ESPRIT DE CORPS"/>
        <s v="FACE"/>
        <s v="FESTIVAL DES ARTS DE&#10;BORDEAUX"/>
        <s v="FESTIVAL INTERNATIONAL"/>
        <s v="FRANCE ACTIVE"/>
        <s v="FRENTECH BORDEAUX"/>
        <s v="GANG OF FOOD"/>
        <s v="GIHP INSERT PERS HAND"/>
        <s v="HAPANA"/>
        <s v="HAUTS DE GARONNE"/>
        <s v="IDDAC"/>
        <s v="INVEST IN BORDEAUX"/>
        <s v="JUMPING INTERNATIONAL"/>
        <s v="L'ART DANS TOUS SES&#10;ETATS"/>
        <s v="L'ATELIER REMUMENAGE"/>
        <s v="L'ORANGEADE"/>
        <s v="LA MECANIQUE GENERALE"/>
        <s v="LA PLANCHE"/>
        <s v="LA RONDE DES QUARTIERS&#10;DE BORDEAUX"/>
        <s v="LE BLEU DU CIEL"/>
        <s v="LE LAB"/>
        <s v="LE LIVRE VERT"/>
        <s v="LE RITUEL"/>
        <s v="LEON A VELO"/>
        <s v="LES ARTS AU MUR"/>
        <s v="LES ASSOCIES CREW"/>
        <s v="LES DETRITIVORES"/>
        <s v="LES RESTAURANTS DU&#10;CŒUR"/>
        <s v="LETTRES DU MONDE"/>
        <s v="MAISON EMPLOI BX MDE"/>
        <s v="MAISON EMPLOI INSERT&#10;ECO ENTREP."/>
        <s v="MEBA"/>
        <s v="MELI MEL'ARTS"/>
        <s v="MÉMOIRE DE BORDEAUX"/>
        <s v="MONTS ET MERVEILLES"/>
        <s v="MUSIQUES DE NUIT&#10;DIFFUSION"/>
        <s v="NANTES SUMMERCAMP"/>
        <s v="OFFICE TOURISME &amp;&#10;CONGRES BORDEAUX"/>
        <s v="OVERGROUND"/>
        <s v="PARALLELES ATTITUDE&#10;DIFFUSION"/>
        <s v="PASSAGE A L'ART"/>
        <s v="POLA"/>
        <s v="RESTAURANTS DU CŒUR"/>
        <s v="SAMPE France"/>
        <s v="SEMER LE DOUTE"/>
        <s v="SIMOREP ET CIE"/>
        <s v="SOLIHA SOLIDAIRE&#10;HABITAT"/>
        <s v="TERRE D'ADELE"/>
        <s v="UNION BORDEAUX&#10;METROPOLE (UBM)"/>
        <s v="UNIS CITE"/>
        <s v="URHAJ NOUVELLE&#10;AQUITAINE"/>
        <s v="VELO CITE"/>
        <s v="VILLA PRIMROSE"/>
        <s v="WIMOOV GIRONDE"/>
        <s v="YES WE CAMP"/>
        <m/>
      </sharedItems>
    </cacheField>
    <cacheField name="montant" numFmtId="0">
      <sharedItems containsString="0" containsBlank="1" containsNumber="1" containsInteger="1">
        <n v="12500.0"/>
        <n v="58000.0"/>
        <n v="15000.0"/>
        <n v="5000.0"/>
        <n v="97740.0"/>
        <n v="20000.0"/>
        <n v="14500.0"/>
        <n v="25000.0"/>
        <n v="90000.0"/>
        <n v="14250.0"/>
        <n v="180000.0"/>
        <n v="49000.0"/>
        <n v="82800.0"/>
        <n v="137000.0"/>
        <n v="57000.0"/>
        <n v="6500.0"/>
        <n v="26000.0"/>
        <n v="407253.0"/>
        <n v="47500.0"/>
        <n v="30000.0"/>
        <n v="40000.0"/>
        <n v="150000.0"/>
        <n v="42750.0"/>
        <n v="4372000.0"/>
        <n v="88000.0"/>
        <n v="8000.0"/>
        <n v="10000.0"/>
        <n v="440000.0"/>
        <n v="125000.0"/>
        <n v="120000.0"/>
        <n v="18000.0"/>
        <n v="500000.0"/>
        <n v="35000.0"/>
        <n v="8500.0"/>
        <n v="33000.0"/>
        <n v="24000.0"/>
        <n v="29000.0"/>
        <n v="23500.0"/>
        <n v="52000.0"/>
        <n v="9000.0"/>
        <n v="1680000.0"/>
        <n v="4350.0"/>
        <n v="3500.0"/>
        <n v="38000.0"/>
        <n v="160000.0"/>
        <n v="50000.0"/>
        <n v="41250.0"/>
        <n v="204000.0"/>
        <n v="22310.0"/>
        <n v="3000.0"/>
        <n v="45000.0"/>
        <n v="17500.0"/>
        <n v="487775.0"/>
        <n v="34000.0"/>
        <n v="6600.0"/>
        <n v="4000.0"/>
        <n v="27500.0"/>
        <n v="7000.0"/>
        <n v="4500.0"/>
        <n v="55000.0"/>
        <n v="8826.0"/>
        <n v="6000.0"/>
        <n v="230000.0"/>
        <n v="228000.0"/>
        <n v="56400.0"/>
        <n v="91379.0"/>
        <n v="6700.0"/>
        <n v="33250.0"/>
        <n v="225000.0"/>
        <n v="3000000.0"/>
        <n v="141000.0"/>
        <n v="5800.0"/>
        <n v="15200.0"/>
        <n v="114000.0"/>
        <n v="400000.0"/>
        <n v="216000.0"/>
        <n v="165000.0"/>
        <n v="1000.0"/>
        <n v="69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117" firstHeaderRow="0" firstDataRow="1" firstDataCol="0"/>
  <pivotFields>
    <pivotField name="idBeneficiaire" axis="axisRow" compact="0" outline="0" multipleItemSelectionAllowed="1" showAll="0" sortType="ascending">
      <items>
        <item x="114"/>
        <item x="63"/>
        <item x="111"/>
        <item x="22"/>
        <item x="29"/>
        <item x="66"/>
        <item x="42"/>
        <item x="101"/>
        <item x="18"/>
        <item x="46"/>
        <item x="59"/>
        <item x="21"/>
        <item x="27"/>
        <item x="79"/>
        <item x="10"/>
        <item x="15"/>
        <item x="30"/>
        <item x="103"/>
        <item x="37"/>
        <item x="4"/>
        <item x="40"/>
        <item x="91"/>
        <item x="98"/>
        <item x="12"/>
        <item x="67"/>
        <item x="48"/>
        <item x="44"/>
        <item x="0"/>
        <item x="60"/>
        <item x="3"/>
        <item x="69"/>
        <item x="8"/>
        <item x="86"/>
        <item x="106"/>
        <item x="14"/>
        <item x="109"/>
        <item x="16"/>
        <item x="6"/>
        <item x="93"/>
        <item x="100"/>
        <item x="52"/>
        <item x="85"/>
        <item x="73"/>
        <item x="54"/>
        <item x="56"/>
        <item x="64"/>
        <item x="80"/>
        <item x="20"/>
        <item x="34"/>
        <item x="2"/>
        <item x="39"/>
        <item x="110"/>
        <item x="50"/>
        <item x="49"/>
        <item x="31"/>
        <item x="95"/>
        <item x="61"/>
        <item x="99"/>
        <item x="13"/>
        <item x="68"/>
        <item x="33"/>
        <item x="17"/>
        <item x="77"/>
        <item x="36"/>
        <item x="11"/>
        <item x="9"/>
        <item x="55"/>
        <item x="88"/>
        <item x="35"/>
        <item x="43"/>
        <item x="71"/>
        <item x="5"/>
        <item x="90"/>
        <item x="53"/>
        <item x="108"/>
        <item x="94"/>
        <item x="113"/>
        <item x="41"/>
        <item x="107"/>
        <item x="76"/>
        <item x="81"/>
        <item x="102"/>
        <item x="58"/>
        <item x="92"/>
        <item x="7"/>
        <item x="62"/>
        <item x="28"/>
        <item x="82"/>
        <item x="96"/>
        <item x="19"/>
        <item x="89"/>
        <item x="47"/>
        <item x="51"/>
        <item x="112"/>
        <item x="1"/>
        <item x="26"/>
        <item x="75"/>
        <item x="72"/>
        <item x="104"/>
        <item x="97"/>
        <item x="78"/>
        <item x="74"/>
        <item x="57"/>
        <item x="70"/>
        <item x="25"/>
        <item x="65"/>
        <item x="45"/>
        <item x="83"/>
        <item x="87"/>
        <item x="23"/>
        <item x="84"/>
        <item x="38"/>
        <item x="105"/>
        <item x="24"/>
        <item x="32"/>
        <item t="default"/>
      </items>
    </pivotField>
    <pivotField name="montan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</pivotFields>
  <rowFields>
    <field x="0"/>
  </rowFields>
  <dataFields>
    <dataField name="SUM of montant" fld="1" baseField="0"/>
  </dataFields>
</pivotTableDefinition>
</file>

<file path=xl/pivotTables/pivotTable2.xml><?xml version="1.0" encoding="utf-8"?>
<pivotTableDefinition xmlns="http://schemas.openxmlformats.org/spreadsheetml/2006/main" name="Pivot Table 3" cacheId="1" dataCaption="" compact="0" compactData="0">
  <location ref="A1:B110" firstHeaderRow="0" firstDataRow="1" firstDataCol="0"/>
  <pivotFields>
    <pivotField name="nomBénéficiaire" axis="axisRow" compact="0" outline="0" multipleItemSelectionAllowed="1" showAll="0" sortType="ascending">
      <items>
        <item h="1" x="10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monta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</pivotFields>
  <rowFields>
    <field x="0"/>
  </rowFields>
  <dataFields>
    <dataField name="SUM of montant" fld="1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</row>
    <row r="3">
      <c r="A3" s="3" t="s">
        <v>13</v>
      </c>
      <c r="B3" s="3" t="s">
        <v>14</v>
      </c>
      <c r="C3" s="3">
        <v>3.05378234E8</v>
      </c>
      <c r="D3" s="3" t="s">
        <v>15</v>
      </c>
      <c r="E3" s="4">
        <v>43069.0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>
        <v>1.0</v>
      </c>
    </row>
    <row r="4">
      <c r="A4" s="3" t="s">
        <v>22</v>
      </c>
      <c r="B4" s="3" t="s">
        <v>23</v>
      </c>
      <c r="C4" s="3">
        <v>4.88566613E8</v>
      </c>
      <c r="D4" s="3" t="s">
        <v>24</v>
      </c>
      <c r="E4" s="4">
        <v>43091.0</v>
      </c>
      <c r="F4" s="3" t="s">
        <v>25</v>
      </c>
      <c r="G4" s="3" t="s">
        <v>17</v>
      </c>
      <c r="H4" s="3" t="s">
        <v>18</v>
      </c>
      <c r="I4" s="3" t="s">
        <v>26</v>
      </c>
      <c r="J4" s="3" t="s">
        <v>20</v>
      </c>
      <c r="K4" s="3" t="s">
        <v>21</v>
      </c>
      <c r="L4" s="3">
        <v>1.0</v>
      </c>
    </row>
    <row r="5">
      <c r="A5" s="3" t="s">
        <v>27</v>
      </c>
      <c r="B5" s="3" t="s">
        <v>28</v>
      </c>
      <c r="C5" s="3">
        <v>4.44337588E8</v>
      </c>
      <c r="D5" s="3" t="s">
        <v>29</v>
      </c>
      <c r="E5" s="4">
        <v>43112.0</v>
      </c>
      <c r="F5" s="3" t="s">
        <v>30</v>
      </c>
      <c r="G5" s="3" t="s">
        <v>17</v>
      </c>
      <c r="H5" s="3" t="s">
        <v>18</v>
      </c>
      <c r="I5" s="3" t="s">
        <v>31</v>
      </c>
      <c r="J5" s="3" t="s">
        <v>20</v>
      </c>
      <c r="K5" s="3" t="s">
        <v>21</v>
      </c>
      <c r="L5" s="3">
        <v>1.0</v>
      </c>
    </row>
    <row r="6">
      <c r="A6" s="3" t="s">
        <v>32</v>
      </c>
      <c r="B6" s="3" t="s">
        <v>33</v>
      </c>
      <c r="C6" s="3">
        <v>4.34066577E8</v>
      </c>
      <c r="D6" s="3" t="s">
        <v>34</v>
      </c>
      <c r="E6" s="4">
        <v>43077.0</v>
      </c>
      <c r="F6" s="3" t="s">
        <v>16</v>
      </c>
      <c r="G6" s="3" t="s">
        <v>17</v>
      </c>
      <c r="H6" s="3" t="s">
        <v>18</v>
      </c>
      <c r="I6" s="3" t="s">
        <v>35</v>
      </c>
      <c r="J6" s="3" t="s">
        <v>20</v>
      </c>
      <c r="K6" s="3" t="s">
        <v>21</v>
      </c>
      <c r="L6" s="3">
        <v>1.0</v>
      </c>
    </row>
    <row r="7">
      <c r="A7" s="3" t="s">
        <v>36</v>
      </c>
      <c r="B7" s="3" t="s">
        <v>37</v>
      </c>
      <c r="C7" s="3">
        <v>4.89563072E8</v>
      </c>
      <c r="D7" s="3" t="s">
        <v>38</v>
      </c>
      <c r="E7" s="4">
        <v>43133.0</v>
      </c>
      <c r="F7" s="3" t="s">
        <v>39</v>
      </c>
      <c r="G7" s="3" t="s">
        <v>17</v>
      </c>
      <c r="H7" s="3" t="s">
        <v>18</v>
      </c>
      <c r="I7" s="3" t="s">
        <v>40</v>
      </c>
      <c r="J7" s="3" t="s">
        <v>20</v>
      </c>
      <c r="K7" s="3" t="s">
        <v>21</v>
      </c>
      <c r="L7" s="3">
        <v>1.0</v>
      </c>
    </row>
    <row r="8">
      <c r="A8" s="3" t="s">
        <v>41</v>
      </c>
    </row>
    <row r="9">
      <c r="A9" s="3" t="s">
        <v>42</v>
      </c>
      <c r="B9" s="3" t="s">
        <v>43</v>
      </c>
      <c r="C9" s="3">
        <v>4.83013405E8</v>
      </c>
      <c r="D9" s="3" t="s">
        <v>44</v>
      </c>
      <c r="E9" s="4">
        <v>43091.0</v>
      </c>
      <c r="F9" s="3" t="s">
        <v>16</v>
      </c>
      <c r="G9" s="3" t="s">
        <v>17</v>
      </c>
      <c r="H9" s="3" t="s">
        <v>18</v>
      </c>
      <c r="I9" s="3" t="s">
        <v>26</v>
      </c>
      <c r="J9" s="3" t="s">
        <v>20</v>
      </c>
      <c r="K9" s="3" t="s">
        <v>21</v>
      </c>
      <c r="L9" s="3">
        <v>1.0</v>
      </c>
    </row>
    <row r="10">
      <c r="A10" s="3" t="s">
        <v>45</v>
      </c>
      <c r="B10" s="3" t="s">
        <v>46</v>
      </c>
      <c r="C10" s="3">
        <v>7.89105954E8</v>
      </c>
      <c r="D10" s="3" t="s">
        <v>47</v>
      </c>
      <c r="E10" s="4">
        <v>43091.0</v>
      </c>
      <c r="F10" s="3" t="s">
        <v>16</v>
      </c>
      <c r="G10" s="3" t="s">
        <v>17</v>
      </c>
      <c r="H10" s="3" t="s">
        <v>48</v>
      </c>
      <c r="I10" s="3" t="s">
        <v>26</v>
      </c>
      <c r="J10" s="3" t="s">
        <v>20</v>
      </c>
      <c r="K10" s="3" t="s">
        <v>21</v>
      </c>
      <c r="L10" s="3">
        <v>1.0</v>
      </c>
    </row>
    <row r="11">
      <c r="A11" s="3" t="s">
        <v>49</v>
      </c>
      <c r="B11" s="3" t="s">
        <v>50</v>
      </c>
      <c r="C11" s="3">
        <v>3.06040312E8</v>
      </c>
      <c r="D11" s="3" t="s">
        <v>51</v>
      </c>
      <c r="E11" s="4">
        <v>43130.0</v>
      </c>
      <c r="F11" s="3" t="s">
        <v>16</v>
      </c>
      <c r="G11" s="3" t="s">
        <v>17</v>
      </c>
      <c r="H11" s="3" t="s">
        <v>18</v>
      </c>
      <c r="I11" s="3" t="s">
        <v>52</v>
      </c>
      <c r="J11" s="3" t="s">
        <v>20</v>
      </c>
      <c r="K11" s="3" t="s">
        <v>21</v>
      </c>
      <c r="L11" s="3">
        <v>1.0</v>
      </c>
    </row>
    <row r="12">
      <c r="A12" s="3" t="s">
        <v>53</v>
      </c>
      <c r="B12" s="3" t="s">
        <v>54</v>
      </c>
      <c r="C12" s="3">
        <v>3.06564279E8</v>
      </c>
      <c r="D12" s="3" t="s">
        <v>55</v>
      </c>
      <c r="E12" s="4">
        <v>43126.0</v>
      </c>
      <c r="F12" s="3" t="s">
        <v>16</v>
      </c>
      <c r="G12" s="3" t="s">
        <v>17</v>
      </c>
      <c r="H12" s="3" t="s">
        <v>18</v>
      </c>
      <c r="I12" s="3" t="s">
        <v>56</v>
      </c>
      <c r="J12" s="3" t="s">
        <v>20</v>
      </c>
      <c r="K12" s="3" t="s">
        <v>21</v>
      </c>
      <c r="L12" s="3">
        <v>1.0</v>
      </c>
    </row>
    <row r="13">
      <c r="A13" s="3" t="s">
        <v>57</v>
      </c>
      <c r="B13" s="3" t="s">
        <v>58</v>
      </c>
      <c r="C13" s="3">
        <v>3.42215456E8</v>
      </c>
      <c r="D13" s="3" t="s">
        <v>59</v>
      </c>
      <c r="E13" s="4">
        <v>43126.0</v>
      </c>
      <c r="F13" s="3" t="s">
        <v>16</v>
      </c>
      <c r="G13" s="3" t="s">
        <v>17</v>
      </c>
      <c r="H13" s="3" t="s">
        <v>18</v>
      </c>
      <c r="I13" s="3" t="s">
        <v>60</v>
      </c>
      <c r="J13" s="3" t="s">
        <v>20</v>
      </c>
      <c r="K13" s="3" t="s">
        <v>21</v>
      </c>
      <c r="L13" s="3">
        <v>1.0</v>
      </c>
    </row>
    <row r="14">
      <c r="A14" s="3" t="s">
        <v>61</v>
      </c>
      <c r="B14" s="3" t="s">
        <v>62</v>
      </c>
      <c r="C14" s="3">
        <v>7.81814488E8</v>
      </c>
      <c r="D14" s="3" t="s">
        <v>63</v>
      </c>
      <c r="E14" s="4">
        <v>43136.0</v>
      </c>
      <c r="F14" s="3" t="s">
        <v>16</v>
      </c>
      <c r="G14" s="3" t="s">
        <v>17</v>
      </c>
      <c r="H14" s="3" t="s">
        <v>18</v>
      </c>
      <c r="I14" s="3" t="s">
        <v>64</v>
      </c>
      <c r="J14" s="3" t="s">
        <v>20</v>
      </c>
      <c r="K14" s="3" t="s">
        <v>21</v>
      </c>
      <c r="L14" s="3">
        <v>1.0</v>
      </c>
    </row>
    <row r="15">
      <c r="A15" s="3" t="s">
        <v>65</v>
      </c>
      <c r="B15" s="3" t="s">
        <v>66</v>
      </c>
      <c r="C15" s="3">
        <v>4.18921409E8</v>
      </c>
      <c r="D15" s="3" t="s">
        <v>67</v>
      </c>
      <c r="E15" s="4">
        <v>43143.0</v>
      </c>
      <c r="F15" s="3" t="s">
        <v>16</v>
      </c>
      <c r="G15" s="3" t="s">
        <v>17</v>
      </c>
      <c r="H15" s="3" t="s">
        <v>18</v>
      </c>
      <c r="I15" s="3" t="s">
        <v>68</v>
      </c>
      <c r="J15" s="3" t="s">
        <v>20</v>
      </c>
      <c r="K15" s="3" t="s">
        <v>21</v>
      </c>
      <c r="L15" s="3">
        <v>1.0</v>
      </c>
    </row>
    <row r="16">
      <c r="A16" s="3" t="s">
        <v>69</v>
      </c>
      <c r="B16" s="3" t="s">
        <v>70</v>
      </c>
      <c r="C16" s="3">
        <v>4.20252348E8</v>
      </c>
      <c r="D16" s="3" t="s">
        <v>71</v>
      </c>
      <c r="E16" s="4">
        <v>43160.0</v>
      </c>
      <c r="F16" s="3" t="s">
        <v>72</v>
      </c>
      <c r="G16" s="3" t="s">
        <v>17</v>
      </c>
      <c r="H16" s="3" t="s">
        <v>18</v>
      </c>
      <c r="I16" s="3" t="s">
        <v>73</v>
      </c>
      <c r="J16" s="3" t="s">
        <v>20</v>
      </c>
      <c r="K16" s="3" t="s">
        <v>21</v>
      </c>
      <c r="L16" s="3">
        <v>1.0</v>
      </c>
    </row>
    <row r="17">
      <c r="A17" s="3" t="s">
        <v>74</v>
      </c>
      <c r="B17" s="3" t="s">
        <v>75</v>
      </c>
      <c r="C17" s="3">
        <v>4.19009105E8</v>
      </c>
      <c r="D17" s="3" t="s">
        <v>76</v>
      </c>
      <c r="E17" s="4">
        <v>43161.0</v>
      </c>
      <c r="F17" s="3" t="s">
        <v>16</v>
      </c>
      <c r="G17" s="3" t="s">
        <v>17</v>
      </c>
      <c r="H17" s="3" t="s">
        <v>18</v>
      </c>
      <c r="I17" s="3" t="s">
        <v>77</v>
      </c>
      <c r="J17" s="3" t="s">
        <v>20</v>
      </c>
      <c r="K17" s="3" t="s">
        <v>21</v>
      </c>
      <c r="L17" s="3">
        <v>1.0</v>
      </c>
    </row>
    <row r="18">
      <c r="A18" s="3" t="s">
        <v>78</v>
      </c>
      <c r="B18" s="3" t="s">
        <v>79</v>
      </c>
      <c r="C18" s="3">
        <v>8.32333181E8</v>
      </c>
      <c r="D18" s="3" t="s">
        <v>80</v>
      </c>
      <c r="E18" s="4">
        <v>43161.0</v>
      </c>
      <c r="F18" s="3" t="s">
        <v>81</v>
      </c>
      <c r="G18" s="3" t="s">
        <v>17</v>
      </c>
      <c r="H18" s="3" t="s">
        <v>18</v>
      </c>
      <c r="I18" s="3" t="s">
        <v>77</v>
      </c>
      <c r="J18" s="3" t="s">
        <v>20</v>
      </c>
      <c r="K18" s="3" t="s">
        <v>21</v>
      </c>
      <c r="L18" s="3">
        <v>1.0</v>
      </c>
    </row>
    <row r="19">
      <c r="A19" s="3" t="s">
        <v>27</v>
      </c>
      <c r="B19" s="3" t="s">
        <v>28</v>
      </c>
      <c r="C19" s="3">
        <v>4.44337588E8</v>
      </c>
      <c r="D19" s="3" t="s">
        <v>82</v>
      </c>
      <c r="E19" s="4">
        <v>43172.0</v>
      </c>
      <c r="F19" s="3" t="s">
        <v>16</v>
      </c>
      <c r="G19" s="3" t="s">
        <v>17</v>
      </c>
      <c r="H19" s="3" t="s">
        <v>18</v>
      </c>
      <c r="I19" s="3" t="s">
        <v>83</v>
      </c>
      <c r="J19" s="3" t="s">
        <v>20</v>
      </c>
      <c r="K19" s="3" t="s">
        <v>21</v>
      </c>
      <c r="L19" s="3">
        <v>1.0</v>
      </c>
    </row>
    <row r="20">
      <c r="A20" s="3" t="s">
        <v>84</v>
      </c>
      <c r="B20" s="3" t="s">
        <v>85</v>
      </c>
      <c r="C20" s="3">
        <v>3.4169319E8</v>
      </c>
      <c r="D20" s="3" t="s">
        <v>86</v>
      </c>
      <c r="E20" s="4">
        <v>43174.0</v>
      </c>
      <c r="F20" s="3" t="s">
        <v>87</v>
      </c>
      <c r="G20" s="3" t="s">
        <v>17</v>
      </c>
      <c r="H20" s="3" t="s">
        <v>18</v>
      </c>
      <c r="I20" s="3" t="s">
        <v>88</v>
      </c>
      <c r="J20" s="3" t="s">
        <v>20</v>
      </c>
      <c r="K20" s="3" t="s">
        <v>21</v>
      </c>
      <c r="L20" s="3">
        <v>1.0</v>
      </c>
    </row>
    <row r="21">
      <c r="A21" s="3" t="s">
        <v>0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8</v>
      </c>
      <c r="J21" s="3" t="s">
        <v>9</v>
      </c>
      <c r="K21" s="3" t="s">
        <v>10</v>
      </c>
      <c r="L21" s="3" t="s">
        <v>11</v>
      </c>
    </row>
    <row r="22">
      <c r="A22" s="3" t="s">
        <v>89</v>
      </c>
      <c r="B22" s="3" t="s">
        <v>90</v>
      </c>
      <c r="C22" s="3">
        <v>5.09079794E8</v>
      </c>
      <c r="D22" s="3" t="s">
        <v>91</v>
      </c>
      <c r="E22" s="4">
        <v>43185.0</v>
      </c>
      <c r="F22" s="3" t="s">
        <v>92</v>
      </c>
      <c r="G22" s="3" t="s">
        <v>17</v>
      </c>
      <c r="H22" s="3" t="s">
        <v>18</v>
      </c>
      <c r="I22" s="3" t="s">
        <v>93</v>
      </c>
      <c r="J22" s="3" t="s">
        <v>20</v>
      </c>
      <c r="K22" s="3" t="s">
        <v>21</v>
      </c>
      <c r="L22" s="3">
        <v>1.0</v>
      </c>
    </row>
    <row r="23">
      <c r="A23" s="3" t="s">
        <v>94</v>
      </c>
    </row>
    <row r="24">
      <c r="A24" s="3" t="s">
        <v>95</v>
      </c>
      <c r="B24" s="3" t="s">
        <v>96</v>
      </c>
      <c r="C24" s="3">
        <v>3.98191569E8</v>
      </c>
      <c r="D24" s="3" t="s">
        <v>97</v>
      </c>
      <c r="E24" s="4">
        <v>43124.0</v>
      </c>
      <c r="F24" s="3" t="s">
        <v>16</v>
      </c>
      <c r="G24" s="3" t="s">
        <v>17</v>
      </c>
      <c r="H24" s="3" t="s">
        <v>18</v>
      </c>
      <c r="I24" s="3" t="s">
        <v>98</v>
      </c>
      <c r="J24" s="3" t="s">
        <v>20</v>
      </c>
      <c r="K24" s="3" t="s">
        <v>21</v>
      </c>
      <c r="L24" s="3">
        <v>1.0</v>
      </c>
    </row>
    <row r="25">
      <c r="A25" s="3" t="s">
        <v>99</v>
      </c>
      <c r="B25" s="3" t="s">
        <v>100</v>
      </c>
      <c r="C25" s="3">
        <v>7.81843594E8</v>
      </c>
      <c r="D25" s="3" t="s">
        <v>101</v>
      </c>
      <c r="E25" s="4">
        <v>43182.0</v>
      </c>
      <c r="F25" s="3" t="s">
        <v>102</v>
      </c>
      <c r="G25" s="3" t="s">
        <v>17</v>
      </c>
      <c r="H25" s="3" t="s">
        <v>18</v>
      </c>
      <c r="I25" s="3" t="s">
        <v>103</v>
      </c>
      <c r="J25" s="3" t="s">
        <v>20</v>
      </c>
      <c r="K25" s="3" t="s">
        <v>21</v>
      </c>
      <c r="L25" s="3">
        <v>1.0</v>
      </c>
    </row>
    <row r="26">
      <c r="A26" s="3" t="s">
        <v>104</v>
      </c>
      <c r="B26" s="3" t="s">
        <v>105</v>
      </c>
      <c r="C26" s="3">
        <v>5.33896825E8</v>
      </c>
      <c r="D26" s="3" t="s">
        <v>106</v>
      </c>
      <c r="E26" s="4">
        <v>43222.0</v>
      </c>
      <c r="F26" s="3" t="s">
        <v>107</v>
      </c>
      <c r="G26" s="3" t="s">
        <v>17</v>
      </c>
      <c r="H26" s="3" t="s">
        <v>18</v>
      </c>
      <c r="I26" s="3" t="s">
        <v>108</v>
      </c>
      <c r="J26" s="3" t="s">
        <v>20</v>
      </c>
      <c r="K26" s="3" t="s">
        <v>21</v>
      </c>
      <c r="L26" s="3">
        <v>1.0</v>
      </c>
    </row>
    <row r="27">
      <c r="A27" s="3" t="s">
        <v>109</v>
      </c>
      <c r="B27" s="3" t="s">
        <v>110</v>
      </c>
      <c r="C27" s="3">
        <v>8.25241318E8</v>
      </c>
      <c r="D27" s="3" t="s">
        <v>111</v>
      </c>
      <c r="E27" s="4">
        <v>43208.0</v>
      </c>
      <c r="F27" s="3" t="s">
        <v>16</v>
      </c>
      <c r="G27" s="3" t="s">
        <v>17</v>
      </c>
      <c r="H27" s="3" t="s">
        <v>18</v>
      </c>
      <c r="I27" s="3" t="s">
        <v>112</v>
      </c>
      <c r="J27" s="3" t="s">
        <v>20</v>
      </c>
      <c r="K27" s="3" t="s">
        <v>21</v>
      </c>
      <c r="L27" s="3">
        <v>1.0</v>
      </c>
    </row>
    <row r="28">
      <c r="A28" s="3" t="s">
        <v>113</v>
      </c>
      <c r="B28" s="3" t="s">
        <v>114</v>
      </c>
      <c r="C28" s="3">
        <v>4.95009441E8</v>
      </c>
      <c r="D28" s="3" t="s">
        <v>115</v>
      </c>
      <c r="E28" s="4">
        <v>43235.0</v>
      </c>
      <c r="F28" s="3" t="s">
        <v>16</v>
      </c>
      <c r="G28" s="3" t="s">
        <v>17</v>
      </c>
      <c r="H28" s="3" t="s">
        <v>18</v>
      </c>
      <c r="I28" s="3" t="s">
        <v>116</v>
      </c>
      <c r="J28" s="3" t="s">
        <v>20</v>
      </c>
      <c r="K28" s="3" t="s">
        <v>21</v>
      </c>
      <c r="L28" s="3">
        <v>1.0</v>
      </c>
    </row>
    <row r="29">
      <c r="A29" s="3" t="s">
        <v>117</v>
      </c>
      <c r="B29" s="3" t="s">
        <v>118</v>
      </c>
      <c r="C29" s="3">
        <v>8.21354933E8</v>
      </c>
      <c r="D29" s="3" t="s">
        <v>119</v>
      </c>
      <c r="E29" s="4">
        <v>43244.0</v>
      </c>
      <c r="F29" s="3" t="s">
        <v>120</v>
      </c>
      <c r="G29" s="3" t="s">
        <v>17</v>
      </c>
      <c r="H29" s="3" t="s">
        <v>18</v>
      </c>
      <c r="I29" s="3" t="s">
        <v>121</v>
      </c>
      <c r="J29" s="3" t="s">
        <v>20</v>
      </c>
      <c r="K29" s="3" t="s">
        <v>21</v>
      </c>
      <c r="L29" s="3">
        <v>1.0</v>
      </c>
    </row>
    <row r="30">
      <c r="A30" s="3" t="s">
        <v>122</v>
      </c>
      <c r="B30" s="3" t="s">
        <v>123</v>
      </c>
      <c r="C30" s="3">
        <v>3.83890233E8</v>
      </c>
      <c r="D30" s="3" t="s">
        <v>124</v>
      </c>
      <c r="E30" s="4">
        <v>43248.0</v>
      </c>
      <c r="F30" s="3" t="s">
        <v>125</v>
      </c>
      <c r="G30" s="3" t="s">
        <v>17</v>
      </c>
      <c r="H30" s="3" t="s">
        <v>18</v>
      </c>
      <c r="I30" s="3" t="s">
        <v>126</v>
      </c>
      <c r="J30" s="3" t="s">
        <v>20</v>
      </c>
      <c r="K30" s="3" t="s">
        <v>21</v>
      </c>
      <c r="L30" s="3">
        <v>1.0</v>
      </c>
    </row>
    <row r="31">
      <c r="A31" s="3" t="s">
        <v>127</v>
      </c>
      <c r="B31" s="3" t="s">
        <v>118</v>
      </c>
      <c r="C31" s="3">
        <v>7.89632254E8</v>
      </c>
      <c r="D31" s="3" t="s">
        <v>119</v>
      </c>
      <c r="E31" s="4">
        <v>43250.0</v>
      </c>
      <c r="F31" s="3" t="s">
        <v>120</v>
      </c>
      <c r="G31" s="3" t="s">
        <v>17</v>
      </c>
      <c r="H31" s="3" t="s">
        <v>18</v>
      </c>
      <c r="I31" s="3" t="s">
        <v>128</v>
      </c>
      <c r="J31" s="3" t="s">
        <v>20</v>
      </c>
      <c r="K31" s="3" t="s">
        <v>21</v>
      </c>
      <c r="L31" s="3">
        <v>1.0</v>
      </c>
    </row>
    <row r="32">
      <c r="A32" s="3" t="s">
        <v>129</v>
      </c>
      <c r="B32" s="3" t="s">
        <v>130</v>
      </c>
      <c r="C32" s="3">
        <v>4.38794034E8</v>
      </c>
      <c r="D32" s="3" t="s">
        <v>119</v>
      </c>
      <c r="E32" s="4">
        <v>43244.0</v>
      </c>
      <c r="F32" s="3" t="s">
        <v>120</v>
      </c>
      <c r="G32" s="3" t="s">
        <v>17</v>
      </c>
      <c r="H32" s="3" t="s">
        <v>18</v>
      </c>
      <c r="I32" s="3" t="s">
        <v>121</v>
      </c>
      <c r="J32" s="3" t="s">
        <v>20</v>
      </c>
      <c r="K32" s="3" t="s">
        <v>21</v>
      </c>
      <c r="L32" s="3">
        <v>1.0</v>
      </c>
    </row>
    <row r="33">
      <c r="A33" s="3" t="s">
        <v>131</v>
      </c>
      <c r="B33" s="3" t="s">
        <v>75</v>
      </c>
      <c r="C33" s="3">
        <v>4.19009105E8</v>
      </c>
      <c r="D33" s="3" t="s">
        <v>132</v>
      </c>
      <c r="E33" s="4">
        <v>43252.0</v>
      </c>
      <c r="F33" s="3" t="s">
        <v>133</v>
      </c>
      <c r="G33" s="3" t="s">
        <v>17</v>
      </c>
      <c r="H33" s="3" t="s">
        <v>18</v>
      </c>
      <c r="I33" s="3" t="s">
        <v>134</v>
      </c>
      <c r="J33" s="3" t="s">
        <v>20</v>
      </c>
      <c r="K33" s="3" t="s">
        <v>21</v>
      </c>
      <c r="L33" s="3">
        <v>1.0</v>
      </c>
    </row>
    <row r="34">
      <c r="A34" s="3" t="s">
        <v>122</v>
      </c>
      <c r="B34" s="3" t="s">
        <v>135</v>
      </c>
      <c r="C34" s="3">
        <v>3.83890233E8</v>
      </c>
      <c r="D34" s="3" t="s">
        <v>119</v>
      </c>
      <c r="E34" s="4">
        <v>43252.0</v>
      </c>
      <c r="F34" s="3" t="s">
        <v>120</v>
      </c>
      <c r="G34" s="3" t="s">
        <v>17</v>
      </c>
      <c r="H34" s="3" t="s">
        <v>18</v>
      </c>
      <c r="I34" s="3" t="s">
        <v>134</v>
      </c>
      <c r="J34" s="3" t="s">
        <v>20</v>
      </c>
      <c r="K34" s="3" t="s">
        <v>21</v>
      </c>
      <c r="L34" s="3">
        <v>1.0</v>
      </c>
    </row>
    <row r="35">
      <c r="A35" s="3" t="s">
        <v>136</v>
      </c>
      <c r="B35" s="3" t="s">
        <v>137</v>
      </c>
      <c r="C35" s="3">
        <v>5.22896091E8</v>
      </c>
      <c r="D35" s="3" t="s">
        <v>132</v>
      </c>
      <c r="E35" s="4">
        <v>43255.0</v>
      </c>
      <c r="F35" s="3" t="s">
        <v>133</v>
      </c>
      <c r="G35" s="3" t="s">
        <v>17</v>
      </c>
      <c r="H35" s="3" t="s">
        <v>18</v>
      </c>
      <c r="I35" s="3" t="s">
        <v>138</v>
      </c>
      <c r="J35" s="3" t="s">
        <v>20</v>
      </c>
      <c r="K35" s="3" t="s">
        <v>21</v>
      </c>
      <c r="L35" s="3">
        <v>1.0</v>
      </c>
    </row>
    <row r="36">
      <c r="A36" s="3" t="s">
        <v>139</v>
      </c>
      <c r="B36" s="3" t="s">
        <v>33</v>
      </c>
      <c r="C36" s="3">
        <v>4.80293711E8</v>
      </c>
      <c r="D36" s="3" t="s">
        <v>140</v>
      </c>
      <c r="E36" s="4">
        <v>43252.0</v>
      </c>
      <c r="F36" s="3" t="s">
        <v>141</v>
      </c>
      <c r="G36" s="3" t="s">
        <v>17</v>
      </c>
      <c r="H36" s="3" t="s">
        <v>18</v>
      </c>
      <c r="I36" s="3" t="s">
        <v>134</v>
      </c>
      <c r="J36" s="3" t="s">
        <v>20</v>
      </c>
      <c r="K36" s="3" t="s">
        <v>21</v>
      </c>
      <c r="L36" s="3">
        <v>1.0</v>
      </c>
    </row>
    <row r="37">
      <c r="A37" s="3" t="s">
        <v>142</v>
      </c>
      <c r="B37" s="3" t="s">
        <v>105</v>
      </c>
      <c r="C37" s="3">
        <v>3.28480082E8</v>
      </c>
      <c r="D37" s="3" t="s">
        <v>143</v>
      </c>
      <c r="E37" s="4">
        <v>43252.0</v>
      </c>
      <c r="F37" s="3" t="s">
        <v>144</v>
      </c>
      <c r="G37" s="3" t="s">
        <v>17</v>
      </c>
      <c r="H37" s="3" t="s">
        <v>18</v>
      </c>
      <c r="I37" s="3" t="s">
        <v>134</v>
      </c>
      <c r="J37" s="3" t="s">
        <v>20</v>
      </c>
      <c r="K37" s="3" t="s">
        <v>21</v>
      </c>
      <c r="L37" s="3">
        <v>1.0</v>
      </c>
    </row>
    <row r="38">
      <c r="A38" s="3" t="s">
        <v>145</v>
      </c>
      <c r="B38" s="3" t="s">
        <v>33</v>
      </c>
      <c r="C38" s="3">
        <v>4.32883825E8</v>
      </c>
      <c r="D38" s="3" t="s">
        <v>146</v>
      </c>
      <c r="E38" s="4">
        <v>43251.0</v>
      </c>
      <c r="F38" s="3" t="s">
        <v>16</v>
      </c>
      <c r="G38" s="3" t="s">
        <v>17</v>
      </c>
      <c r="H38" s="3" t="s">
        <v>18</v>
      </c>
      <c r="I38" s="3" t="s">
        <v>147</v>
      </c>
      <c r="J38" s="3" t="s">
        <v>20</v>
      </c>
      <c r="K38" s="3" t="s">
        <v>21</v>
      </c>
      <c r="L38" s="3">
        <v>1.0</v>
      </c>
    </row>
    <row r="39">
      <c r="A39" s="3" t="s">
        <v>148</v>
      </c>
      <c r="B39" s="3" t="s">
        <v>149</v>
      </c>
      <c r="C39" s="3">
        <v>4.02652853E8</v>
      </c>
      <c r="D39" s="3" t="s">
        <v>119</v>
      </c>
      <c r="E39" s="4">
        <v>43252.0</v>
      </c>
      <c r="F39" s="3" t="s">
        <v>120</v>
      </c>
      <c r="G39" s="3" t="s">
        <v>17</v>
      </c>
      <c r="H39" s="3" t="s">
        <v>18</v>
      </c>
      <c r="I39" s="3" t="s">
        <v>134</v>
      </c>
      <c r="J39" s="3" t="s">
        <v>20</v>
      </c>
      <c r="K39" s="3" t="s">
        <v>21</v>
      </c>
      <c r="L39" s="3">
        <v>1.0</v>
      </c>
    </row>
    <row r="40">
      <c r="A40" s="3" t="s">
        <v>150</v>
      </c>
      <c r="B40" s="3" t="s">
        <v>151</v>
      </c>
      <c r="C40" s="3">
        <v>8.2239982E8</v>
      </c>
      <c r="D40" s="3" t="s">
        <v>119</v>
      </c>
      <c r="E40" s="4">
        <v>43247.0</v>
      </c>
      <c r="F40" s="3" t="s">
        <v>120</v>
      </c>
      <c r="G40" s="3" t="s">
        <v>17</v>
      </c>
      <c r="H40" s="3" t="s">
        <v>18</v>
      </c>
      <c r="I40" s="3" t="s">
        <v>152</v>
      </c>
      <c r="J40" s="3" t="s">
        <v>20</v>
      </c>
      <c r="K40" s="3" t="s">
        <v>21</v>
      </c>
      <c r="L40" s="3">
        <v>1.0</v>
      </c>
    </row>
    <row r="41">
      <c r="A41" s="3" t="s">
        <v>153</v>
      </c>
      <c r="B41" s="3" t="s">
        <v>154</v>
      </c>
      <c r="C41" s="3">
        <v>4.44932446E8</v>
      </c>
      <c r="D41" s="3" t="s">
        <v>155</v>
      </c>
      <c r="E41" s="4">
        <v>43257.0</v>
      </c>
      <c r="F41" s="3" t="s">
        <v>120</v>
      </c>
      <c r="G41" s="3" t="s">
        <v>17</v>
      </c>
      <c r="H41" s="3" t="s">
        <v>18</v>
      </c>
      <c r="I41" s="3" t="s">
        <v>156</v>
      </c>
      <c r="J41" s="3" t="s">
        <v>20</v>
      </c>
      <c r="K41" s="3" t="s">
        <v>21</v>
      </c>
      <c r="L41" s="3">
        <v>1.0</v>
      </c>
    </row>
    <row r="42">
      <c r="A42" s="3" t="s">
        <v>157</v>
      </c>
      <c r="B42" s="3" t="s">
        <v>158</v>
      </c>
      <c r="C42" s="3">
        <v>7.89145869E8</v>
      </c>
      <c r="D42" s="3" t="s">
        <v>119</v>
      </c>
      <c r="E42" s="4">
        <v>43255.0</v>
      </c>
      <c r="F42" s="3" t="s">
        <v>159</v>
      </c>
      <c r="G42" s="3" t="s">
        <v>17</v>
      </c>
      <c r="H42" s="3" t="s">
        <v>18</v>
      </c>
      <c r="I42" s="3" t="s">
        <v>138</v>
      </c>
      <c r="J42" s="3" t="s">
        <v>20</v>
      </c>
      <c r="K42" s="3" t="s">
        <v>21</v>
      </c>
      <c r="L42" s="3">
        <v>1.0</v>
      </c>
    </row>
    <row r="43">
      <c r="A43" s="3" t="s">
        <v>160</v>
      </c>
      <c r="B43" s="3" t="s">
        <v>161</v>
      </c>
      <c r="C43" s="3">
        <v>8.24274781E8</v>
      </c>
      <c r="D43" s="3" t="s">
        <v>119</v>
      </c>
      <c r="E43" s="4">
        <v>43252.0</v>
      </c>
      <c r="F43" s="3" t="s">
        <v>120</v>
      </c>
      <c r="G43" s="3" t="s">
        <v>17</v>
      </c>
      <c r="H43" s="3" t="s">
        <v>18</v>
      </c>
      <c r="I43" s="3" t="s">
        <v>134</v>
      </c>
      <c r="J43" s="3" t="s">
        <v>20</v>
      </c>
      <c r="K43" s="3" t="s">
        <v>21</v>
      </c>
      <c r="L43" s="3">
        <v>1.0</v>
      </c>
    </row>
    <row r="44">
      <c r="A44" s="3" t="s">
        <v>0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  <c r="J44" s="3" t="s">
        <v>9</v>
      </c>
      <c r="K44" s="3" t="s">
        <v>10</v>
      </c>
      <c r="L44" s="3" t="s">
        <v>11</v>
      </c>
    </row>
    <row r="45">
      <c r="A45" s="3" t="s">
        <v>104</v>
      </c>
      <c r="B45" s="3" t="s">
        <v>162</v>
      </c>
      <c r="C45" s="3">
        <v>5.33896825E8</v>
      </c>
      <c r="D45" s="3" t="s">
        <v>143</v>
      </c>
      <c r="E45" s="4">
        <v>43257.0</v>
      </c>
      <c r="F45" s="3" t="s">
        <v>163</v>
      </c>
      <c r="G45" s="3" t="s">
        <v>17</v>
      </c>
      <c r="H45" s="3" t="s">
        <v>18</v>
      </c>
      <c r="I45" s="3" t="s">
        <v>156</v>
      </c>
      <c r="J45" s="3" t="s">
        <v>20</v>
      </c>
      <c r="K45" s="3" t="s">
        <v>21</v>
      </c>
      <c r="L45" s="3">
        <v>1.0</v>
      </c>
    </row>
    <row r="46">
      <c r="A46" s="3" t="s">
        <v>164</v>
      </c>
      <c r="B46" s="3" t="s">
        <v>33</v>
      </c>
      <c r="C46" s="3">
        <v>4.52274798E8</v>
      </c>
      <c r="D46" s="3" t="s">
        <v>119</v>
      </c>
      <c r="E46" s="4">
        <v>43250.0</v>
      </c>
      <c r="F46" s="3" t="s">
        <v>120</v>
      </c>
      <c r="G46" s="3" t="s">
        <v>17</v>
      </c>
      <c r="H46" s="3" t="s">
        <v>18</v>
      </c>
      <c r="I46" s="3" t="s">
        <v>128</v>
      </c>
      <c r="J46" s="3" t="s">
        <v>20</v>
      </c>
      <c r="K46" s="3" t="s">
        <v>21</v>
      </c>
      <c r="L46" s="3">
        <v>1.0</v>
      </c>
    </row>
    <row r="47">
      <c r="A47" s="3" t="s">
        <v>165</v>
      </c>
      <c r="B47" s="3" t="s">
        <v>166</v>
      </c>
      <c r="C47" s="3">
        <v>8.33920077E8</v>
      </c>
      <c r="D47" s="3" t="s">
        <v>119</v>
      </c>
      <c r="E47" s="4">
        <v>43257.0</v>
      </c>
      <c r="F47" s="3" t="s">
        <v>120</v>
      </c>
      <c r="G47" s="3" t="s">
        <v>17</v>
      </c>
      <c r="H47" s="3" t="s">
        <v>18</v>
      </c>
      <c r="I47" s="3" t="s">
        <v>156</v>
      </c>
      <c r="J47" s="3" t="s">
        <v>20</v>
      </c>
      <c r="K47" s="3" t="s">
        <v>21</v>
      </c>
      <c r="L47" s="3">
        <v>1.0</v>
      </c>
    </row>
    <row r="48">
      <c r="A48" s="3" t="s">
        <v>36</v>
      </c>
      <c r="B48" s="3" t="s">
        <v>167</v>
      </c>
      <c r="C48" s="3">
        <v>4.89563072E8</v>
      </c>
      <c r="D48" s="3" t="s">
        <v>119</v>
      </c>
      <c r="E48" s="4">
        <v>43255.0</v>
      </c>
      <c r="F48" s="3" t="s">
        <v>120</v>
      </c>
      <c r="G48" s="3" t="s">
        <v>17</v>
      </c>
      <c r="H48" s="3" t="s">
        <v>18</v>
      </c>
      <c r="I48" s="3" t="s">
        <v>138</v>
      </c>
      <c r="J48" s="3" t="s">
        <v>20</v>
      </c>
      <c r="K48" s="3" t="s">
        <v>21</v>
      </c>
      <c r="L48" s="3">
        <v>1.0</v>
      </c>
    </row>
    <row r="49">
      <c r="A49" s="3" t="s">
        <v>168</v>
      </c>
      <c r="B49" s="3" t="s">
        <v>105</v>
      </c>
      <c r="C49" s="3">
        <v>8.0910251E8</v>
      </c>
      <c r="D49" s="3" t="s">
        <v>119</v>
      </c>
      <c r="E49" s="4">
        <v>43262.0</v>
      </c>
      <c r="F49" s="3" t="s">
        <v>120</v>
      </c>
      <c r="G49" s="3" t="s">
        <v>17</v>
      </c>
      <c r="H49" s="3" t="s">
        <v>18</v>
      </c>
      <c r="I49" s="3" t="s">
        <v>169</v>
      </c>
      <c r="J49" s="3" t="s">
        <v>20</v>
      </c>
      <c r="K49" s="3" t="s">
        <v>21</v>
      </c>
      <c r="L49" s="3">
        <v>1.0</v>
      </c>
    </row>
    <row r="50">
      <c r="A50" s="3" t="s">
        <v>170</v>
      </c>
      <c r="B50" s="3" t="s">
        <v>90</v>
      </c>
      <c r="C50" s="3">
        <v>3.44264759E8</v>
      </c>
      <c r="D50" s="3" t="s">
        <v>143</v>
      </c>
      <c r="E50" s="4">
        <v>43259.0</v>
      </c>
      <c r="F50" s="3" t="s">
        <v>171</v>
      </c>
      <c r="G50" s="3" t="s">
        <v>17</v>
      </c>
      <c r="H50" s="3" t="s">
        <v>18</v>
      </c>
      <c r="I50" s="3" t="s">
        <v>172</v>
      </c>
      <c r="J50" s="3" t="s">
        <v>20</v>
      </c>
      <c r="K50" s="3" t="s">
        <v>21</v>
      </c>
      <c r="L50" s="3">
        <v>1.0</v>
      </c>
    </row>
    <row r="51">
      <c r="A51" s="3" t="s">
        <v>173</v>
      </c>
      <c r="B51" s="3" t="s">
        <v>166</v>
      </c>
      <c r="C51" s="3">
        <v>8.1141156E8</v>
      </c>
      <c r="D51" s="3" t="s">
        <v>119</v>
      </c>
      <c r="E51" s="4">
        <v>43263.0</v>
      </c>
      <c r="F51" s="3" t="s">
        <v>174</v>
      </c>
      <c r="G51" s="3" t="s">
        <v>17</v>
      </c>
      <c r="H51" s="3" t="s">
        <v>18</v>
      </c>
      <c r="I51" s="3" t="s">
        <v>175</v>
      </c>
      <c r="J51" s="3" t="s">
        <v>20</v>
      </c>
      <c r="K51" s="3" t="s">
        <v>21</v>
      </c>
      <c r="L51" s="3">
        <v>1.0</v>
      </c>
    </row>
    <row r="52">
      <c r="A52" s="3" t="s">
        <v>176</v>
      </c>
      <c r="B52" s="3" t="s">
        <v>177</v>
      </c>
      <c r="C52" s="3">
        <v>7.9836587E8</v>
      </c>
      <c r="D52" s="3" t="s">
        <v>119</v>
      </c>
      <c r="E52" s="4">
        <v>43264.0</v>
      </c>
      <c r="F52" s="3" t="s">
        <v>174</v>
      </c>
      <c r="G52" s="3" t="s">
        <v>17</v>
      </c>
      <c r="H52" s="3" t="s">
        <v>18</v>
      </c>
      <c r="I52" s="3" t="s">
        <v>178</v>
      </c>
      <c r="J52" s="3" t="s">
        <v>20</v>
      </c>
      <c r="K52" s="3" t="s">
        <v>21</v>
      </c>
      <c r="L52" s="3">
        <v>1.0</v>
      </c>
    </row>
    <row r="53">
      <c r="A53" s="3" t="s">
        <v>179</v>
      </c>
      <c r="B53" s="3" t="s">
        <v>180</v>
      </c>
      <c r="C53" s="3">
        <v>3.21237034E8</v>
      </c>
      <c r="D53" s="3" t="s">
        <v>181</v>
      </c>
      <c r="E53" s="4">
        <v>43259.0</v>
      </c>
      <c r="F53" s="3" t="s">
        <v>16</v>
      </c>
      <c r="G53" s="3" t="s">
        <v>17</v>
      </c>
      <c r="H53" s="3" t="s">
        <v>18</v>
      </c>
      <c r="I53" s="3" t="s">
        <v>172</v>
      </c>
      <c r="J53" s="3" t="s">
        <v>20</v>
      </c>
      <c r="K53" s="3" t="s">
        <v>21</v>
      </c>
      <c r="L53" s="3">
        <v>1.0</v>
      </c>
    </row>
    <row r="54">
      <c r="A54" s="3" t="s">
        <v>182</v>
      </c>
      <c r="B54" s="3" t="s">
        <v>183</v>
      </c>
      <c r="C54" s="3">
        <v>4.51546097E8</v>
      </c>
      <c r="D54" s="3" t="s">
        <v>184</v>
      </c>
      <c r="E54" s="4">
        <v>43266.0</v>
      </c>
      <c r="F54" s="3" t="s">
        <v>133</v>
      </c>
      <c r="G54" s="3" t="s">
        <v>17</v>
      </c>
      <c r="H54" s="3" t="s">
        <v>18</v>
      </c>
      <c r="I54" s="3" t="s">
        <v>185</v>
      </c>
      <c r="J54" s="3" t="s">
        <v>20</v>
      </c>
      <c r="K54" s="3" t="s">
        <v>21</v>
      </c>
      <c r="L54" s="3">
        <v>1.0</v>
      </c>
    </row>
    <row r="55">
      <c r="A55" s="3" t="s">
        <v>186</v>
      </c>
      <c r="B55" s="3" t="s">
        <v>33</v>
      </c>
      <c r="C55" s="3">
        <v>8.10971283E8</v>
      </c>
      <c r="D55" s="3" t="s">
        <v>119</v>
      </c>
      <c r="E55" s="4">
        <v>43269.0</v>
      </c>
      <c r="F55" s="3" t="s">
        <v>120</v>
      </c>
      <c r="G55" s="3" t="s">
        <v>17</v>
      </c>
      <c r="H55" s="3" t="s">
        <v>18</v>
      </c>
      <c r="I55" s="3" t="s">
        <v>187</v>
      </c>
      <c r="J55" s="3" t="s">
        <v>20</v>
      </c>
      <c r="K55" s="3" t="s">
        <v>21</v>
      </c>
      <c r="L55" s="3">
        <v>1.0</v>
      </c>
    </row>
    <row r="56">
      <c r="A56" s="3" t="s">
        <v>188</v>
      </c>
      <c r="B56" s="3" t="s">
        <v>189</v>
      </c>
      <c r="C56" s="3">
        <v>4.22839365E8</v>
      </c>
      <c r="D56" s="3" t="s">
        <v>143</v>
      </c>
      <c r="E56" s="4">
        <v>43269.0</v>
      </c>
      <c r="F56" s="3" t="s">
        <v>190</v>
      </c>
      <c r="G56" s="3" t="s">
        <v>17</v>
      </c>
      <c r="H56" s="3" t="s">
        <v>18</v>
      </c>
      <c r="I56" s="3" t="s">
        <v>187</v>
      </c>
      <c r="J56" s="3" t="s">
        <v>20</v>
      </c>
      <c r="K56" s="3" t="s">
        <v>21</v>
      </c>
      <c r="L56" s="3">
        <v>1.0</v>
      </c>
    </row>
    <row r="57">
      <c r="A57" s="3" t="s">
        <v>191</v>
      </c>
      <c r="B57" s="3" t="s">
        <v>192</v>
      </c>
      <c r="C57" s="3">
        <v>3.78090633E8</v>
      </c>
      <c r="D57" s="3" t="s">
        <v>143</v>
      </c>
      <c r="E57" s="4">
        <v>43269.0</v>
      </c>
      <c r="F57" s="3" t="s">
        <v>193</v>
      </c>
      <c r="G57" s="3" t="s">
        <v>17</v>
      </c>
      <c r="H57" s="3" t="s">
        <v>18</v>
      </c>
      <c r="I57" s="3" t="s">
        <v>187</v>
      </c>
      <c r="J57" s="3" t="s">
        <v>20</v>
      </c>
      <c r="K57" s="3" t="s">
        <v>21</v>
      </c>
      <c r="L57" s="3">
        <v>1.0</v>
      </c>
    </row>
    <row r="58">
      <c r="A58" s="3" t="s">
        <v>194</v>
      </c>
      <c r="B58" s="3" t="s">
        <v>195</v>
      </c>
      <c r="C58" s="3">
        <v>8.0294758E8</v>
      </c>
      <c r="D58" s="3" t="s">
        <v>196</v>
      </c>
      <c r="E58" s="4">
        <v>43269.0</v>
      </c>
      <c r="F58" s="3" t="s">
        <v>197</v>
      </c>
      <c r="G58" s="3" t="s">
        <v>17</v>
      </c>
      <c r="H58" s="3" t="s">
        <v>18</v>
      </c>
      <c r="I58" s="3" t="s">
        <v>187</v>
      </c>
      <c r="J58" s="3" t="s">
        <v>20</v>
      </c>
      <c r="K58" s="3" t="s">
        <v>21</v>
      </c>
      <c r="L58" s="3">
        <v>1.0</v>
      </c>
    </row>
    <row r="59">
      <c r="A59" s="3" t="s">
        <v>198</v>
      </c>
      <c r="B59" s="3" t="s">
        <v>105</v>
      </c>
      <c r="C59" s="3">
        <v>3.50118865E8</v>
      </c>
      <c r="D59" s="3" t="s">
        <v>143</v>
      </c>
      <c r="E59" s="4">
        <v>43269.0</v>
      </c>
      <c r="F59" s="3" t="s">
        <v>199</v>
      </c>
      <c r="G59" s="3" t="s">
        <v>17</v>
      </c>
      <c r="H59" s="3" t="s">
        <v>18</v>
      </c>
      <c r="I59" s="3" t="s">
        <v>187</v>
      </c>
      <c r="J59" s="3" t="s">
        <v>20</v>
      </c>
      <c r="K59" s="3" t="s">
        <v>21</v>
      </c>
      <c r="L59" s="3">
        <v>1.0</v>
      </c>
    </row>
    <row r="60">
      <c r="A60" s="3" t="s">
        <v>200</v>
      </c>
      <c r="B60" s="3" t="s">
        <v>201</v>
      </c>
      <c r="C60" s="3">
        <v>3.79140221E8</v>
      </c>
      <c r="D60" s="3" t="s">
        <v>143</v>
      </c>
      <c r="E60" s="4">
        <v>43269.0</v>
      </c>
      <c r="F60" s="3" t="s">
        <v>202</v>
      </c>
      <c r="G60" s="3" t="s">
        <v>17</v>
      </c>
      <c r="H60" s="3" t="s">
        <v>18</v>
      </c>
      <c r="I60" s="3" t="s">
        <v>187</v>
      </c>
      <c r="J60" s="3" t="s">
        <v>20</v>
      </c>
      <c r="K60" s="3" t="s">
        <v>21</v>
      </c>
      <c r="L60" s="3">
        <v>1.0</v>
      </c>
    </row>
    <row r="61">
      <c r="A61" s="3" t="s">
        <v>203</v>
      </c>
      <c r="B61" s="3" t="s">
        <v>204</v>
      </c>
      <c r="C61" s="3">
        <v>3.52216873E8</v>
      </c>
      <c r="D61" s="3" t="s">
        <v>132</v>
      </c>
      <c r="E61" s="4">
        <v>43269.0</v>
      </c>
      <c r="F61" s="3" t="s">
        <v>205</v>
      </c>
      <c r="G61" s="3" t="s">
        <v>17</v>
      </c>
      <c r="H61" s="3" t="s">
        <v>18</v>
      </c>
      <c r="I61" s="3" t="s">
        <v>187</v>
      </c>
      <c r="J61" s="3" t="s">
        <v>20</v>
      </c>
      <c r="K61" s="3" t="s">
        <v>21</v>
      </c>
      <c r="L61" s="3">
        <v>1.0</v>
      </c>
    </row>
    <row r="62">
      <c r="A62" s="3" t="s">
        <v>206</v>
      </c>
      <c r="B62" s="3" t="s">
        <v>207</v>
      </c>
      <c r="C62" s="3">
        <v>8.246985E8</v>
      </c>
      <c r="D62" s="3" t="s">
        <v>119</v>
      </c>
      <c r="E62" s="4">
        <v>43266.0</v>
      </c>
      <c r="F62" s="3" t="s">
        <v>16</v>
      </c>
      <c r="G62" s="3" t="s">
        <v>17</v>
      </c>
      <c r="H62" s="3" t="s">
        <v>18</v>
      </c>
      <c r="I62" s="3" t="s">
        <v>185</v>
      </c>
      <c r="J62" s="3" t="s">
        <v>20</v>
      </c>
      <c r="K62" s="3" t="s">
        <v>21</v>
      </c>
      <c r="L62" s="3">
        <v>1.0</v>
      </c>
    </row>
    <row r="63">
      <c r="A63" s="3" t="s">
        <v>208</v>
      </c>
      <c r="B63" s="3" t="s">
        <v>209</v>
      </c>
      <c r="C63" s="3">
        <v>8.09584576E8</v>
      </c>
      <c r="D63" s="3" t="s">
        <v>119</v>
      </c>
      <c r="E63" s="4">
        <v>43252.0</v>
      </c>
      <c r="F63" s="3" t="s">
        <v>120</v>
      </c>
      <c r="G63" s="3" t="s">
        <v>17</v>
      </c>
      <c r="H63" s="3" t="s">
        <v>18</v>
      </c>
      <c r="I63" s="3" t="s">
        <v>134</v>
      </c>
      <c r="J63" s="3" t="s">
        <v>20</v>
      </c>
      <c r="K63" s="3" t="s">
        <v>21</v>
      </c>
      <c r="L63" s="3">
        <v>1.0</v>
      </c>
    </row>
    <row r="64">
      <c r="A64" s="3" t="s">
        <v>210</v>
      </c>
      <c r="B64" s="3" t="s">
        <v>211</v>
      </c>
      <c r="C64" s="3">
        <v>8.18313264E8</v>
      </c>
      <c r="D64" s="3" t="s">
        <v>212</v>
      </c>
      <c r="E64" s="4">
        <v>43271.0</v>
      </c>
      <c r="F64" s="3" t="s">
        <v>16</v>
      </c>
      <c r="G64" s="3" t="s">
        <v>17</v>
      </c>
      <c r="H64" s="3" t="s">
        <v>18</v>
      </c>
      <c r="I64" s="3" t="s">
        <v>213</v>
      </c>
      <c r="J64" s="3" t="s">
        <v>20</v>
      </c>
      <c r="K64" s="3" t="s">
        <v>21</v>
      </c>
      <c r="L64" s="3">
        <v>1.0</v>
      </c>
    </row>
    <row r="65">
      <c r="A65" s="3" t="s">
        <v>136</v>
      </c>
      <c r="B65" s="3" t="s">
        <v>167</v>
      </c>
      <c r="C65" s="3">
        <v>5.22896091E8</v>
      </c>
      <c r="D65" s="3" t="s">
        <v>214</v>
      </c>
      <c r="E65" s="4">
        <v>43271.0</v>
      </c>
      <c r="F65" s="3" t="s">
        <v>215</v>
      </c>
      <c r="G65" s="3" t="s">
        <v>17</v>
      </c>
      <c r="H65" s="3" t="s">
        <v>18</v>
      </c>
      <c r="I65" s="3" t="s">
        <v>213</v>
      </c>
      <c r="J65" s="3" t="s">
        <v>20</v>
      </c>
      <c r="K65" s="3" t="s">
        <v>21</v>
      </c>
      <c r="L65" s="3">
        <v>1.0</v>
      </c>
    </row>
    <row r="66">
      <c r="A66" s="3" t="s">
        <v>0</v>
      </c>
      <c r="B66" s="3" t="s">
        <v>1</v>
      </c>
      <c r="C66" s="3" t="s">
        <v>2</v>
      </c>
      <c r="D66" s="3" t="s">
        <v>3</v>
      </c>
      <c r="E66" s="3" t="s">
        <v>4</v>
      </c>
      <c r="F66" s="3" t="s">
        <v>5</v>
      </c>
      <c r="G66" s="3" t="s">
        <v>6</v>
      </c>
      <c r="H66" s="3" t="s">
        <v>7</v>
      </c>
      <c r="I66" s="3" t="s">
        <v>8</v>
      </c>
      <c r="J66" s="3" t="s">
        <v>9</v>
      </c>
      <c r="K66" s="3" t="s">
        <v>10</v>
      </c>
      <c r="L66" s="3" t="s">
        <v>11</v>
      </c>
    </row>
    <row r="67">
      <c r="A67" s="3" t="s">
        <v>216</v>
      </c>
      <c r="B67" s="3" t="s">
        <v>192</v>
      </c>
      <c r="C67" s="3">
        <v>4.21985235E8</v>
      </c>
      <c r="D67" s="3" t="s">
        <v>217</v>
      </c>
      <c r="E67" s="4">
        <v>43271.0</v>
      </c>
      <c r="F67" s="3" t="s">
        <v>16</v>
      </c>
      <c r="G67" s="3" t="s">
        <v>17</v>
      </c>
      <c r="H67" s="3" t="s">
        <v>18</v>
      </c>
      <c r="I67" s="3" t="s">
        <v>213</v>
      </c>
      <c r="J67" s="3" t="s">
        <v>20</v>
      </c>
      <c r="K67" s="3" t="s">
        <v>21</v>
      </c>
      <c r="L67" s="3">
        <v>1.0</v>
      </c>
    </row>
    <row r="68">
      <c r="A68" s="3" t="s">
        <v>218</v>
      </c>
      <c r="B68" s="3" t="s">
        <v>219</v>
      </c>
      <c r="C68" s="3">
        <v>4.09199817E8</v>
      </c>
      <c r="D68" s="3" t="s">
        <v>220</v>
      </c>
      <c r="E68" s="4">
        <v>43271.0</v>
      </c>
      <c r="F68" s="3" t="s">
        <v>16</v>
      </c>
      <c r="G68" s="3" t="s">
        <v>17</v>
      </c>
      <c r="H68" s="3" t="s">
        <v>18</v>
      </c>
      <c r="I68" s="3" t="s">
        <v>213</v>
      </c>
      <c r="J68" s="3" t="s">
        <v>20</v>
      </c>
      <c r="K68" s="3" t="s">
        <v>21</v>
      </c>
      <c r="L68" s="3">
        <v>1.0</v>
      </c>
    </row>
    <row r="69">
      <c r="A69" s="3" t="s">
        <v>221</v>
      </c>
      <c r="B69" s="3" t="s">
        <v>222</v>
      </c>
      <c r="C69" s="3">
        <v>4.38269631E8</v>
      </c>
      <c r="D69" s="3" t="s">
        <v>220</v>
      </c>
      <c r="E69" s="4">
        <v>43270.0</v>
      </c>
      <c r="F69" s="3" t="s">
        <v>120</v>
      </c>
      <c r="G69" s="3" t="s">
        <v>17</v>
      </c>
      <c r="H69" s="3" t="s">
        <v>18</v>
      </c>
      <c r="I69" s="3" t="s">
        <v>223</v>
      </c>
      <c r="J69" s="3" t="s">
        <v>20</v>
      </c>
      <c r="K69" s="3" t="s">
        <v>21</v>
      </c>
      <c r="L69" s="3">
        <v>1.0</v>
      </c>
    </row>
    <row r="70">
      <c r="A70" s="3" t="s">
        <v>224</v>
      </c>
      <c r="B70" s="3" t="s">
        <v>225</v>
      </c>
      <c r="C70" s="3">
        <v>8.28195339E8</v>
      </c>
      <c r="D70" s="3" t="s">
        <v>220</v>
      </c>
      <c r="E70" s="4">
        <v>43264.0</v>
      </c>
      <c r="F70" s="3" t="s">
        <v>120</v>
      </c>
      <c r="G70" s="3" t="s">
        <v>17</v>
      </c>
      <c r="H70" s="3" t="s">
        <v>18</v>
      </c>
      <c r="I70" s="3" t="s">
        <v>226</v>
      </c>
      <c r="J70" s="3" t="s">
        <v>20</v>
      </c>
      <c r="K70" s="3" t="s">
        <v>21</v>
      </c>
      <c r="L70" s="3">
        <v>1.0</v>
      </c>
    </row>
    <row r="71">
      <c r="A71" s="3" t="s">
        <v>227</v>
      </c>
      <c r="B71" s="3" t="s">
        <v>37</v>
      </c>
      <c r="C71" s="3">
        <v>3.4169319E8</v>
      </c>
      <c r="D71" s="3" t="s">
        <v>220</v>
      </c>
      <c r="E71" s="4">
        <v>43269.0</v>
      </c>
      <c r="F71" s="3" t="s">
        <v>120</v>
      </c>
      <c r="G71" s="3" t="s">
        <v>17</v>
      </c>
      <c r="H71" s="3" t="s">
        <v>18</v>
      </c>
      <c r="I71" s="3" t="s">
        <v>187</v>
      </c>
      <c r="J71" s="3" t="s">
        <v>20</v>
      </c>
      <c r="K71" s="3" t="s">
        <v>21</v>
      </c>
      <c r="L71" s="3">
        <v>1.0</v>
      </c>
    </row>
    <row r="72">
      <c r="A72" s="3" t="s">
        <v>228</v>
      </c>
      <c r="B72" s="3" t="s">
        <v>229</v>
      </c>
      <c r="C72" s="3">
        <v>4.20089567E8</v>
      </c>
      <c r="D72" s="3" t="s">
        <v>143</v>
      </c>
      <c r="E72" s="4">
        <v>43269.0</v>
      </c>
      <c r="F72" s="3" t="s">
        <v>230</v>
      </c>
      <c r="G72" s="3" t="s">
        <v>17</v>
      </c>
      <c r="H72" s="3" t="s">
        <v>18</v>
      </c>
      <c r="I72" s="3" t="s">
        <v>187</v>
      </c>
      <c r="J72" s="3" t="s">
        <v>20</v>
      </c>
      <c r="K72" s="3" t="s">
        <v>21</v>
      </c>
      <c r="L72" s="3">
        <v>1.0</v>
      </c>
    </row>
    <row r="73">
      <c r="A73" s="3" t="s">
        <v>231</v>
      </c>
      <c r="B73" s="3" t="s">
        <v>167</v>
      </c>
      <c r="C73" s="3">
        <v>4.20089567E8</v>
      </c>
      <c r="D73" s="3" t="s">
        <v>143</v>
      </c>
      <c r="E73" s="4">
        <v>43269.0</v>
      </c>
      <c r="F73" s="3" t="s">
        <v>232</v>
      </c>
      <c r="G73" s="3" t="s">
        <v>17</v>
      </c>
      <c r="H73" s="3" t="s">
        <v>18</v>
      </c>
      <c r="I73" s="3" t="s">
        <v>187</v>
      </c>
      <c r="J73" s="3" t="s">
        <v>20</v>
      </c>
      <c r="K73" s="3" t="s">
        <v>21</v>
      </c>
      <c r="L73" s="3">
        <v>1.0</v>
      </c>
    </row>
    <row r="74">
      <c r="A74" s="3" t="s">
        <v>148</v>
      </c>
      <c r="B74" s="3" t="s">
        <v>85</v>
      </c>
      <c r="C74" s="3">
        <v>4.02652853E8</v>
      </c>
      <c r="D74" s="3" t="s">
        <v>143</v>
      </c>
      <c r="E74" s="4">
        <v>43269.0</v>
      </c>
      <c r="F74" s="3" t="s">
        <v>230</v>
      </c>
      <c r="G74" s="3" t="s">
        <v>17</v>
      </c>
      <c r="H74" s="3" t="s">
        <v>18</v>
      </c>
      <c r="I74" s="3" t="s">
        <v>187</v>
      </c>
      <c r="J74" s="3" t="s">
        <v>20</v>
      </c>
      <c r="K74" s="3" t="s">
        <v>21</v>
      </c>
      <c r="L74" s="3">
        <v>1.0</v>
      </c>
    </row>
    <row r="75">
      <c r="A75" s="3" t="s">
        <v>227</v>
      </c>
      <c r="B75" s="3" t="s">
        <v>233</v>
      </c>
      <c r="C75" s="3">
        <v>3.4169319E8</v>
      </c>
      <c r="D75" s="3" t="s">
        <v>143</v>
      </c>
      <c r="E75" s="4">
        <v>43269.0</v>
      </c>
      <c r="F75" s="3" t="s">
        <v>234</v>
      </c>
      <c r="G75" s="3" t="s">
        <v>17</v>
      </c>
      <c r="H75" s="3" t="s">
        <v>18</v>
      </c>
      <c r="I75" s="3" t="s">
        <v>187</v>
      </c>
      <c r="J75" s="3" t="s">
        <v>20</v>
      </c>
      <c r="K75" s="3" t="s">
        <v>21</v>
      </c>
      <c r="L75" s="3">
        <v>1.0</v>
      </c>
    </row>
    <row r="76">
      <c r="A76" s="3" t="s">
        <v>235</v>
      </c>
      <c r="B76" s="3" t="s">
        <v>236</v>
      </c>
      <c r="C76" s="3">
        <v>7.50447567E8</v>
      </c>
      <c r="D76" s="3" t="s">
        <v>220</v>
      </c>
      <c r="E76" s="4">
        <v>43279.0</v>
      </c>
      <c r="F76" s="3" t="s">
        <v>120</v>
      </c>
      <c r="G76" s="3" t="s">
        <v>17</v>
      </c>
      <c r="H76" s="3" t="s">
        <v>18</v>
      </c>
      <c r="I76" s="3" t="s">
        <v>237</v>
      </c>
      <c r="J76" s="3" t="s">
        <v>20</v>
      </c>
      <c r="K76" s="3" t="s">
        <v>21</v>
      </c>
      <c r="L76" s="3">
        <v>1.0</v>
      </c>
    </row>
    <row r="77">
      <c r="A77" s="3" t="s">
        <v>238</v>
      </c>
      <c r="B77" s="3" t="s">
        <v>204</v>
      </c>
      <c r="C77" s="3">
        <v>3.49753467E8</v>
      </c>
      <c r="D77" s="3" t="s">
        <v>239</v>
      </c>
      <c r="E77" s="4">
        <v>43279.0</v>
      </c>
      <c r="F77" s="3" t="s">
        <v>16</v>
      </c>
      <c r="G77" s="3" t="s">
        <v>17</v>
      </c>
      <c r="H77" s="3" t="s">
        <v>18</v>
      </c>
      <c r="I77" s="3" t="s">
        <v>237</v>
      </c>
      <c r="J77" s="3" t="s">
        <v>20</v>
      </c>
      <c r="K77" s="3" t="s">
        <v>21</v>
      </c>
      <c r="L77" s="3">
        <v>1.0</v>
      </c>
    </row>
    <row r="78">
      <c r="A78" s="3" t="s">
        <v>240</v>
      </c>
      <c r="B78" s="3" t="s">
        <v>241</v>
      </c>
      <c r="C78" s="3">
        <v>4.84382189E8</v>
      </c>
      <c r="D78" s="3" t="s">
        <v>143</v>
      </c>
      <c r="E78" s="4">
        <v>43279.0</v>
      </c>
      <c r="F78" s="3" t="s">
        <v>242</v>
      </c>
      <c r="G78" s="3" t="s">
        <v>17</v>
      </c>
      <c r="H78" s="3" t="s">
        <v>18</v>
      </c>
      <c r="I78" s="3" t="s">
        <v>237</v>
      </c>
      <c r="J78" s="3" t="s">
        <v>20</v>
      </c>
      <c r="K78" s="3" t="s">
        <v>21</v>
      </c>
      <c r="L78" s="3">
        <v>1.0</v>
      </c>
    </row>
    <row r="79">
      <c r="A79" s="3" t="s">
        <v>243</v>
      </c>
      <c r="B79" s="3" t="s">
        <v>244</v>
      </c>
      <c r="C79" s="3">
        <v>4.7941474E8</v>
      </c>
      <c r="D79" s="3" t="s">
        <v>245</v>
      </c>
      <c r="E79" s="4">
        <v>43283.0</v>
      </c>
      <c r="F79" s="3" t="s">
        <v>16</v>
      </c>
      <c r="G79" s="3" t="s">
        <v>17</v>
      </c>
      <c r="H79" s="3" t="s">
        <v>18</v>
      </c>
      <c r="I79" s="3" t="s">
        <v>246</v>
      </c>
      <c r="J79" s="3" t="s">
        <v>20</v>
      </c>
      <c r="K79" s="3" t="s">
        <v>21</v>
      </c>
      <c r="L79" s="3">
        <v>1.0</v>
      </c>
    </row>
    <row r="80">
      <c r="A80" s="3" t="s">
        <v>247</v>
      </c>
      <c r="B80" s="3" t="s">
        <v>166</v>
      </c>
      <c r="C80" s="3">
        <v>5.24259363E8</v>
      </c>
      <c r="D80" s="3" t="s">
        <v>143</v>
      </c>
      <c r="E80" s="4">
        <v>43283.0</v>
      </c>
      <c r="F80" s="3" t="s">
        <v>230</v>
      </c>
      <c r="G80" s="3" t="s">
        <v>17</v>
      </c>
      <c r="H80" s="3" t="s">
        <v>18</v>
      </c>
      <c r="I80" s="3" t="s">
        <v>246</v>
      </c>
      <c r="J80" s="3" t="s">
        <v>20</v>
      </c>
      <c r="K80" s="3" t="s">
        <v>21</v>
      </c>
      <c r="L80" s="3">
        <v>1.0</v>
      </c>
    </row>
    <row r="81">
      <c r="A81" s="3" t="s">
        <v>248</v>
      </c>
    </row>
    <row r="82">
      <c r="A82" s="3" t="s">
        <v>249</v>
      </c>
      <c r="B82" s="3" t="s">
        <v>250</v>
      </c>
      <c r="C82" s="3">
        <v>4.8237148100029E13</v>
      </c>
      <c r="D82" s="3" t="s">
        <v>132</v>
      </c>
      <c r="E82" s="4">
        <v>43264.0</v>
      </c>
      <c r="F82" s="3" t="s">
        <v>251</v>
      </c>
      <c r="G82" s="3" t="s">
        <v>17</v>
      </c>
      <c r="H82" s="3" t="s">
        <v>18</v>
      </c>
      <c r="I82" s="3" t="s">
        <v>226</v>
      </c>
      <c r="J82" s="3" t="s">
        <v>20</v>
      </c>
      <c r="K82" s="3" t="s">
        <v>21</v>
      </c>
      <c r="L82" s="3">
        <v>1.0</v>
      </c>
    </row>
    <row r="83">
      <c r="A83" s="3" t="s">
        <v>252</v>
      </c>
      <c r="B83" s="3" t="s">
        <v>253</v>
      </c>
      <c r="C83" s="3">
        <v>4.8875025800011E13</v>
      </c>
      <c r="D83" s="3" t="s">
        <v>254</v>
      </c>
      <c r="E83" s="4">
        <v>43285.0</v>
      </c>
      <c r="F83" s="3" t="s">
        <v>255</v>
      </c>
      <c r="G83" s="3" t="s">
        <v>17</v>
      </c>
      <c r="H83" s="3" t="s">
        <v>18</v>
      </c>
      <c r="I83" s="3" t="s">
        <v>256</v>
      </c>
      <c r="J83" s="3" t="s">
        <v>20</v>
      </c>
      <c r="K83" s="3" t="s">
        <v>21</v>
      </c>
      <c r="L83" s="3">
        <v>1.0</v>
      </c>
    </row>
    <row r="84">
      <c r="A84" s="3" t="s">
        <v>182</v>
      </c>
      <c r="B84" s="3" t="s">
        <v>257</v>
      </c>
      <c r="C84" s="3">
        <v>4.515469700001E13</v>
      </c>
      <c r="D84" s="3" t="s">
        <v>132</v>
      </c>
      <c r="E84" s="4">
        <v>43286.0</v>
      </c>
      <c r="F84" s="3" t="s">
        <v>258</v>
      </c>
      <c r="G84" s="3" t="s">
        <v>17</v>
      </c>
      <c r="H84" s="3" t="s">
        <v>18</v>
      </c>
      <c r="I84" s="3" t="s">
        <v>259</v>
      </c>
      <c r="J84" s="3" t="s">
        <v>20</v>
      </c>
      <c r="K84" s="3" t="s">
        <v>21</v>
      </c>
      <c r="L84" s="3">
        <v>1.0</v>
      </c>
    </row>
    <row r="85">
      <c r="A85" s="3" t="s">
        <v>36</v>
      </c>
      <c r="B85" s="3" t="s">
        <v>105</v>
      </c>
      <c r="C85" s="3">
        <v>4.895630720002E13</v>
      </c>
      <c r="D85" s="3" t="s">
        <v>260</v>
      </c>
      <c r="E85" s="4">
        <v>43287.0</v>
      </c>
      <c r="F85" s="3" t="s">
        <v>261</v>
      </c>
      <c r="G85" s="3" t="s">
        <v>17</v>
      </c>
      <c r="H85" s="3" t="s">
        <v>18</v>
      </c>
      <c r="I85" s="3" t="s">
        <v>262</v>
      </c>
      <c r="J85" s="3" t="s">
        <v>20</v>
      </c>
      <c r="K85" s="3" t="s">
        <v>21</v>
      </c>
      <c r="L85" s="3">
        <v>1.0</v>
      </c>
    </row>
    <row r="86">
      <c r="A86" s="3" t="s">
        <v>263</v>
      </c>
      <c r="B86" s="3" t="s">
        <v>37</v>
      </c>
      <c r="C86" s="3">
        <v>8.2343035000012E13</v>
      </c>
      <c r="D86" s="3" t="s">
        <v>260</v>
      </c>
      <c r="E86" s="4">
        <v>43280.0</v>
      </c>
      <c r="F86" s="3" t="s">
        <v>264</v>
      </c>
      <c r="G86" s="3" t="s">
        <v>17</v>
      </c>
      <c r="H86" s="3" t="s">
        <v>18</v>
      </c>
      <c r="I86" s="3" t="s">
        <v>265</v>
      </c>
      <c r="J86" s="3" t="s">
        <v>20</v>
      </c>
      <c r="K86" s="3" t="s">
        <v>21</v>
      </c>
      <c r="L86" s="3">
        <v>1.0</v>
      </c>
    </row>
    <row r="87">
      <c r="A87" s="3" t="s">
        <v>266</v>
      </c>
      <c r="B87" s="3" t="s">
        <v>118</v>
      </c>
      <c r="C87" s="3">
        <v>8.2982336800016E13</v>
      </c>
      <c r="D87" s="3" t="s">
        <v>267</v>
      </c>
      <c r="E87" s="4">
        <v>43263.0</v>
      </c>
      <c r="F87" s="3" t="s">
        <v>268</v>
      </c>
      <c r="G87" s="3" t="s">
        <v>17</v>
      </c>
      <c r="H87" s="3" t="s">
        <v>18</v>
      </c>
      <c r="I87" s="3" t="s">
        <v>175</v>
      </c>
      <c r="J87" s="3" t="s">
        <v>20</v>
      </c>
      <c r="K87" s="3" t="s">
        <v>21</v>
      </c>
      <c r="L87" s="3">
        <v>1.0</v>
      </c>
    </row>
    <row r="88">
      <c r="A88" s="3" t="s">
        <v>0</v>
      </c>
      <c r="B88" s="3" t="s">
        <v>1</v>
      </c>
      <c r="C88" s="3" t="s">
        <v>2</v>
      </c>
      <c r="D88" s="3" t="s">
        <v>3</v>
      </c>
      <c r="E88" s="3" t="s">
        <v>4</v>
      </c>
      <c r="F88" s="3" t="s">
        <v>5</v>
      </c>
      <c r="G88" s="3" t="s">
        <v>6</v>
      </c>
      <c r="H88" s="3" t="s">
        <v>7</v>
      </c>
      <c r="I88" s="3" t="s">
        <v>8</v>
      </c>
      <c r="J88" s="3" t="s">
        <v>9</v>
      </c>
      <c r="K88" s="3" t="s">
        <v>10</v>
      </c>
      <c r="L88" s="3" t="s">
        <v>11</v>
      </c>
    </row>
    <row r="89">
      <c r="A89" s="3" t="s">
        <v>269</v>
      </c>
      <c r="B89" s="3" t="s">
        <v>270</v>
      </c>
      <c r="C89" s="3">
        <v>4.2971672300011E13</v>
      </c>
      <c r="D89" s="3" t="s">
        <v>271</v>
      </c>
      <c r="E89" s="4">
        <v>43299.0</v>
      </c>
      <c r="F89" s="3" t="s">
        <v>272</v>
      </c>
      <c r="G89" s="3" t="s">
        <v>17</v>
      </c>
      <c r="H89" s="3" t="s">
        <v>18</v>
      </c>
      <c r="I89" s="3" t="s">
        <v>273</v>
      </c>
      <c r="J89" s="3" t="s">
        <v>20</v>
      </c>
      <c r="K89" s="3" t="s">
        <v>21</v>
      </c>
      <c r="L89" s="3">
        <v>1.0</v>
      </c>
    </row>
    <row r="90">
      <c r="A90" s="3" t="s">
        <v>274</v>
      </c>
      <c r="B90" s="3" t="s">
        <v>118</v>
      </c>
      <c r="C90" s="3">
        <v>8.221340780001E13</v>
      </c>
      <c r="D90" s="3" t="s">
        <v>275</v>
      </c>
      <c r="E90" s="4">
        <v>43299.0</v>
      </c>
      <c r="F90" s="3" t="s">
        <v>276</v>
      </c>
      <c r="G90" s="3" t="s">
        <v>17</v>
      </c>
      <c r="H90" s="3" t="s">
        <v>18</v>
      </c>
      <c r="I90" s="3" t="s">
        <v>273</v>
      </c>
      <c r="J90" s="3" t="s">
        <v>20</v>
      </c>
      <c r="K90" s="3" t="s">
        <v>21</v>
      </c>
      <c r="L90" s="3">
        <v>1.0</v>
      </c>
    </row>
    <row r="91">
      <c r="A91" s="3" t="s">
        <v>277</v>
      </c>
      <c r="B91" s="3" t="s">
        <v>105</v>
      </c>
      <c r="C91" s="3">
        <v>4.3434085700037E13</v>
      </c>
      <c r="D91" s="3" t="s">
        <v>143</v>
      </c>
      <c r="E91" s="4">
        <v>43300.0</v>
      </c>
      <c r="F91" s="3" t="s">
        <v>16</v>
      </c>
      <c r="G91" s="3" t="s">
        <v>17</v>
      </c>
      <c r="H91" s="3" t="s">
        <v>18</v>
      </c>
      <c r="I91" s="3" t="s">
        <v>278</v>
      </c>
      <c r="J91" s="3" t="s">
        <v>20</v>
      </c>
      <c r="K91" s="3" t="s">
        <v>21</v>
      </c>
      <c r="L91" s="3">
        <v>1.0</v>
      </c>
    </row>
    <row r="92">
      <c r="A92" s="3" t="s">
        <v>279</v>
      </c>
      <c r="B92" s="3" t="s">
        <v>233</v>
      </c>
      <c r="C92" s="3">
        <v>3.7954994200025E13</v>
      </c>
      <c r="D92" s="3" t="s">
        <v>280</v>
      </c>
      <c r="E92" s="4">
        <v>43299.0</v>
      </c>
      <c r="F92" s="3" t="s">
        <v>16</v>
      </c>
      <c r="G92" s="3" t="s">
        <v>17</v>
      </c>
      <c r="H92" s="3" t="s">
        <v>18</v>
      </c>
      <c r="I92" s="3" t="s">
        <v>273</v>
      </c>
      <c r="J92" s="3" t="s">
        <v>20</v>
      </c>
      <c r="K92" s="3" t="s">
        <v>21</v>
      </c>
      <c r="L92" s="3">
        <v>1.0</v>
      </c>
    </row>
    <row r="93">
      <c r="A93" s="3" t="s">
        <v>281</v>
      </c>
      <c r="B93" s="3" t="s">
        <v>118</v>
      </c>
      <c r="C93" s="3">
        <v>7.5198395800024E13</v>
      </c>
      <c r="D93" s="3" t="s">
        <v>267</v>
      </c>
      <c r="E93" s="4">
        <v>43276.0</v>
      </c>
      <c r="F93" s="3" t="s">
        <v>282</v>
      </c>
      <c r="G93" s="3" t="s">
        <v>17</v>
      </c>
      <c r="H93" s="3" t="s">
        <v>18</v>
      </c>
      <c r="I93" s="3" t="s">
        <v>283</v>
      </c>
      <c r="J93" s="3" t="s">
        <v>20</v>
      </c>
      <c r="K93" s="3" t="s">
        <v>21</v>
      </c>
      <c r="L93" s="3" t="s">
        <v>284</v>
      </c>
    </row>
    <row r="94">
      <c r="A94" s="3" t="s">
        <v>285</v>
      </c>
      <c r="B94" s="3" t="s">
        <v>286</v>
      </c>
      <c r="C94" s="3">
        <v>3.8956456800027E13</v>
      </c>
      <c r="D94" s="3" t="s">
        <v>287</v>
      </c>
      <c r="E94" s="4">
        <v>43252.0</v>
      </c>
      <c r="F94" s="3" t="s">
        <v>288</v>
      </c>
      <c r="G94" s="3" t="s">
        <v>17</v>
      </c>
      <c r="H94" s="3" t="s">
        <v>18</v>
      </c>
      <c r="I94" s="3" t="s">
        <v>134</v>
      </c>
      <c r="J94" s="3" t="s">
        <v>20</v>
      </c>
      <c r="K94" s="3" t="s">
        <v>21</v>
      </c>
      <c r="L94" s="3">
        <v>1.0</v>
      </c>
    </row>
    <row r="95">
      <c r="A95" s="3" t="s">
        <v>289</v>
      </c>
      <c r="B95" s="3" t="s">
        <v>290</v>
      </c>
      <c r="C95" s="3">
        <v>8.0127165100011E13</v>
      </c>
      <c r="D95" s="3" t="s">
        <v>267</v>
      </c>
      <c r="E95" s="4">
        <v>43301.0</v>
      </c>
      <c r="F95" s="3" t="s">
        <v>291</v>
      </c>
      <c r="G95" s="3" t="s">
        <v>17</v>
      </c>
      <c r="H95" s="3" t="s">
        <v>18</v>
      </c>
      <c r="I95" s="3" t="s">
        <v>292</v>
      </c>
      <c r="J95" s="3" t="s">
        <v>20</v>
      </c>
      <c r="K95" s="3" t="s">
        <v>21</v>
      </c>
      <c r="L95" s="3">
        <v>1.0</v>
      </c>
    </row>
    <row r="96">
      <c r="A96" s="3" t="s">
        <v>293</v>
      </c>
      <c r="B96" s="3" t="s">
        <v>294</v>
      </c>
      <c r="C96" s="3">
        <v>3.9811228400011E13</v>
      </c>
      <c r="D96" s="3" t="s">
        <v>295</v>
      </c>
      <c r="E96" s="4">
        <v>43319.0</v>
      </c>
      <c r="F96" s="3" t="s">
        <v>296</v>
      </c>
      <c r="G96" s="3" t="s">
        <v>17</v>
      </c>
      <c r="H96" s="3" t="s">
        <v>18</v>
      </c>
      <c r="I96" s="3" t="s">
        <v>297</v>
      </c>
      <c r="J96" s="3" t="s">
        <v>20</v>
      </c>
      <c r="K96" s="3" t="s">
        <v>21</v>
      </c>
      <c r="L96" s="3">
        <v>1.0</v>
      </c>
    </row>
    <row r="97">
      <c r="A97" s="3" t="s">
        <v>298</v>
      </c>
      <c r="B97" s="3" t="s">
        <v>299</v>
      </c>
      <c r="C97" s="3">
        <v>8.0077623900017E13</v>
      </c>
      <c r="D97" s="3" t="s">
        <v>300</v>
      </c>
      <c r="E97" s="4">
        <v>43318.0</v>
      </c>
      <c r="F97" s="3" t="s">
        <v>301</v>
      </c>
      <c r="G97" s="3" t="s">
        <v>17</v>
      </c>
      <c r="H97" s="3" t="s">
        <v>18</v>
      </c>
      <c r="I97" s="3" t="s">
        <v>302</v>
      </c>
      <c r="J97" s="3" t="s">
        <v>20</v>
      </c>
      <c r="K97" s="3" t="s">
        <v>21</v>
      </c>
      <c r="L97" s="3">
        <v>1.0</v>
      </c>
    </row>
    <row r="98">
      <c r="A98" s="3" t="s">
        <v>22</v>
      </c>
      <c r="B98" s="3" t="s">
        <v>118</v>
      </c>
      <c r="C98" s="3">
        <v>4.8856661300037E13</v>
      </c>
      <c r="D98" s="3" t="s">
        <v>303</v>
      </c>
      <c r="E98" s="4">
        <v>43285.0</v>
      </c>
      <c r="F98" s="3" t="s">
        <v>304</v>
      </c>
      <c r="G98" s="3" t="s">
        <v>17</v>
      </c>
      <c r="H98" s="3" t="s">
        <v>18</v>
      </c>
      <c r="I98" s="3" t="s">
        <v>256</v>
      </c>
      <c r="J98" s="3" t="s">
        <v>20</v>
      </c>
      <c r="K98" s="3" t="s">
        <v>21</v>
      </c>
      <c r="L98" s="3">
        <v>1.0</v>
      </c>
    </row>
    <row r="99">
      <c r="A99" s="3" t="s">
        <v>305</v>
      </c>
      <c r="B99" s="3" t="s">
        <v>306</v>
      </c>
      <c r="C99" s="3">
        <v>3.7781852100025E13</v>
      </c>
      <c r="D99" s="3" t="s">
        <v>307</v>
      </c>
      <c r="E99" s="4">
        <v>43306.0</v>
      </c>
      <c r="F99" s="3" t="s">
        <v>16</v>
      </c>
      <c r="G99" s="3" t="s">
        <v>17</v>
      </c>
      <c r="H99" s="3" t="s">
        <v>18</v>
      </c>
      <c r="I99" s="3" t="s">
        <v>308</v>
      </c>
      <c r="J99" s="3" t="s">
        <v>20</v>
      </c>
      <c r="K99" s="3" t="s">
        <v>21</v>
      </c>
      <c r="L99" s="3">
        <v>1.0</v>
      </c>
    </row>
    <row r="100">
      <c r="A100" s="3" t="s">
        <v>309</v>
      </c>
      <c r="B100" s="3" t="s">
        <v>310</v>
      </c>
      <c r="C100" s="3">
        <v>3.7796404400038E13</v>
      </c>
      <c r="D100" s="3" t="s">
        <v>311</v>
      </c>
      <c r="E100" s="4">
        <v>43306.0</v>
      </c>
      <c r="F100" s="3" t="s">
        <v>312</v>
      </c>
      <c r="G100" s="3" t="s">
        <v>17</v>
      </c>
      <c r="H100" s="3" t="s">
        <v>18</v>
      </c>
      <c r="I100" s="3" t="s">
        <v>308</v>
      </c>
      <c r="J100" s="3" t="s">
        <v>20</v>
      </c>
      <c r="K100" s="3" t="s">
        <v>21</v>
      </c>
      <c r="L100" s="3">
        <v>1.0</v>
      </c>
    </row>
    <row r="101">
      <c r="A101" s="3" t="s">
        <v>191</v>
      </c>
      <c r="B101" s="3" t="s">
        <v>313</v>
      </c>
      <c r="C101" s="3">
        <v>3.7809063300017E13</v>
      </c>
      <c r="D101" s="3" t="s">
        <v>314</v>
      </c>
      <c r="E101" s="4">
        <v>43306.0</v>
      </c>
      <c r="F101" s="3" t="s">
        <v>312</v>
      </c>
      <c r="G101" s="3" t="s">
        <v>17</v>
      </c>
      <c r="H101" s="3" t="s">
        <v>18</v>
      </c>
      <c r="I101" s="3" t="s">
        <v>308</v>
      </c>
      <c r="J101" s="3" t="s">
        <v>20</v>
      </c>
      <c r="K101" s="3" t="s">
        <v>21</v>
      </c>
      <c r="L101" s="3">
        <v>1.0</v>
      </c>
    </row>
    <row r="102">
      <c r="A102" s="3" t="s">
        <v>289</v>
      </c>
      <c r="B102" s="3" t="s">
        <v>315</v>
      </c>
      <c r="C102" s="3">
        <v>8.0127165100011E13</v>
      </c>
      <c r="D102" s="3" t="s">
        <v>303</v>
      </c>
      <c r="E102" s="4">
        <v>43298.0</v>
      </c>
      <c r="F102" s="3" t="s">
        <v>316</v>
      </c>
      <c r="G102" s="3" t="s">
        <v>17</v>
      </c>
      <c r="H102" s="3" t="s">
        <v>18</v>
      </c>
      <c r="I102" s="3" t="s">
        <v>317</v>
      </c>
      <c r="J102" s="3" t="s">
        <v>20</v>
      </c>
      <c r="K102" s="3" t="s">
        <v>21</v>
      </c>
      <c r="L102" s="3">
        <v>1.0</v>
      </c>
    </row>
    <row r="103">
      <c r="A103" s="3" t="s">
        <v>318</v>
      </c>
      <c r="B103" s="3" t="s">
        <v>33</v>
      </c>
      <c r="C103" s="3">
        <v>8.2138441900015E13</v>
      </c>
      <c r="D103" s="3" t="s">
        <v>303</v>
      </c>
      <c r="E103" s="4">
        <v>43298.0</v>
      </c>
      <c r="F103" s="3" t="s">
        <v>312</v>
      </c>
      <c r="G103" s="3" t="s">
        <v>17</v>
      </c>
      <c r="H103" s="3" t="s">
        <v>18</v>
      </c>
      <c r="I103" s="3" t="s">
        <v>317</v>
      </c>
      <c r="J103" s="3" t="s">
        <v>20</v>
      </c>
      <c r="K103" s="3" t="s">
        <v>21</v>
      </c>
      <c r="L103" s="3">
        <v>1.0</v>
      </c>
    </row>
    <row r="104">
      <c r="A104" s="3" t="s">
        <v>145</v>
      </c>
      <c r="B104" s="3" t="s">
        <v>319</v>
      </c>
      <c r="C104" s="3">
        <v>4.3288382500031E13</v>
      </c>
      <c r="D104" s="3" t="s">
        <v>320</v>
      </c>
      <c r="E104" s="4">
        <v>43304.0</v>
      </c>
      <c r="F104" s="3" t="s">
        <v>16</v>
      </c>
      <c r="G104" s="3" t="s">
        <v>17</v>
      </c>
      <c r="H104" s="3" t="s">
        <v>18</v>
      </c>
      <c r="I104" s="3" t="s">
        <v>321</v>
      </c>
      <c r="J104" s="3" t="s">
        <v>20</v>
      </c>
      <c r="K104" s="3" t="s">
        <v>21</v>
      </c>
      <c r="L104" s="3">
        <v>1.0</v>
      </c>
    </row>
    <row r="105">
      <c r="A105" s="3" t="s">
        <v>145</v>
      </c>
      <c r="B105" s="3" t="s">
        <v>299</v>
      </c>
      <c r="C105" s="3">
        <v>4.3288382500031E13</v>
      </c>
      <c r="D105" s="3" t="s">
        <v>300</v>
      </c>
      <c r="E105" s="4">
        <v>43304.0</v>
      </c>
      <c r="F105" s="3" t="s">
        <v>322</v>
      </c>
      <c r="G105" s="3" t="s">
        <v>17</v>
      </c>
      <c r="H105" s="3" t="s">
        <v>18</v>
      </c>
      <c r="I105" s="3" t="s">
        <v>321</v>
      </c>
      <c r="J105" s="3" t="s">
        <v>20</v>
      </c>
      <c r="K105" s="3" t="s">
        <v>21</v>
      </c>
      <c r="L105" s="3">
        <v>1.0</v>
      </c>
    </row>
    <row r="106">
      <c r="A106" s="3" t="s">
        <v>323</v>
      </c>
      <c r="B106" s="3" t="s">
        <v>324</v>
      </c>
      <c r="C106" s="3">
        <v>5.3454877100037E13</v>
      </c>
      <c r="D106" s="3" t="s">
        <v>325</v>
      </c>
      <c r="E106" s="4">
        <v>43329.0</v>
      </c>
      <c r="F106" s="3" t="s">
        <v>326</v>
      </c>
      <c r="G106" s="3" t="s">
        <v>17</v>
      </c>
      <c r="H106" s="3" t="s">
        <v>18</v>
      </c>
      <c r="I106" s="3" t="s">
        <v>327</v>
      </c>
      <c r="J106" s="3" t="s">
        <v>20</v>
      </c>
      <c r="K106" s="3" t="s">
        <v>21</v>
      </c>
      <c r="L106" s="3">
        <v>1.0</v>
      </c>
    </row>
    <row r="107">
      <c r="A107" s="3" t="s">
        <v>328</v>
      </c>
      <c r="B107" s="3" t="s">
        <v>233</v>
      </c>
      <c r="C107" s="3">
        <v>4.3403882400042E13</v>
      </c>
      <c r="D107" s="3" t="s">
        <v>329</v>
      </c>
      <c r="E107" s="4">
        <v>43332.0</v>
      </c>
      <c r="F107" s="3" t="s">
        <v>330</v>
      </c>
      <c r="G107" s="3" t="s">
        <v>17</v>
      </c>
      <c r="H107" s="3" t="s">
        <v>18</v>
      </c>
      <c r="I107" s="3" t="s">
        <v>331</v>
      </c>
      <c r="J107" s="3" t="s">
        <v>20</v>
      </c>
      <c r="K107" s="3" t="s">
        <v>21</v>
      </c>
      <c r="L107" s="3">
        <v>1.0</v>
      </c>
    </row>
    <row r="108">
      <c r="A108" s="3" t="s">
        <v>332</v>
      </c>
      <c r="B108" s="3" t="s">
        <v>233</v>
      </c>
      <c r="C108" s="3">
        <v>3.4063725500027E13</v>
      </c>
      <c r="D108" s="3" t="s">
        <v>280</v>
      </c>
      <c r="E108" s="4">
        <v>43328.0</v>
      </c>
      <c r="F108" s="3" t="s">
        <v>16</v>
      </c>
      <c r="G108" s="3" t="s">
        <v>17</v>
      </c>
      <c r="H108" s="3" t="s">
        <v>18</v>
      </c>
      <c r="I108" s="3" t="s">
        <v>333</v>
      </c>
      <c r="J108" s="3" t="s">
        <v>20</v>
      </c>
      <c r="K108" s="3" t="s">
        <v>21</v>
      </c>
      <c r="L108" s="3">
        <v>1.0</v>
      </c>
    </row>
    <row r="109">
      <c r="A109" s="3" t="s">
        <v>334</v>
      </c>
      <c r="B109" s="3" t="s">
        <v>335</v>
      </c>
      <c r="C109" s="3">
        <v>4.1087071100083E13</v>
      </c>
      <c r="D109" s="3" t="s">
        <v>336</v>
      </c>
      <c r="E109" s="4">
        <v>43312.0</v>
      </c>
      <c r="F109" s="3" t="s">
        <v>337</v>
      </c>
      <c r="G109" s="3" t="s">
        <v>17</v>
      </c>
      <c r="H109" s="3" t="s">
        <v>18</v>
      </c>
      <c r="I109" s="3" t="s">
        <v>338</v>
      </c>
      <c r="J109" s="3" t="s">
        <v>20</v>
      </c>
      <c r="K109" s="3" t="s">
        <v>21</v>
      </c>
      <c r="L109" s="3">
        <v>1.0</v>
      </c>
    </row>
    <row r="110">
      <c r="A110" s="3" t="s">
        <v>0</v>
      </c>
      <c r="B110" s="3" t="s">
        <v>1</v>
      </c>
      <c r="C110" s="3" t="s">
        <v>2</v>
      </c>
      <c r="D110" s="3" t="s">
        <v>3</v>
      </c>
      <c r="E110" s="3" t="s">
        <v>4</v>
      </c>
      <c r="F110" s="3" t="s">
        <v>5</v>
      </c>
      <c r="G110" s="3" t="s">
        <v>6</v>
      </c>
      <c r="H110" s="3" t="s">
        <v>7</v>
      </c>
      <c r="I110" s="3" t="s">
        <v>8</v>
      </c>
      <c r="J110" s="3" t="s">
        <v>9</v>
      </c>
      <c r="K110" s="3" t="s">
        <v>10</v>
      </c>
      <c r="L110" s="3" t="s">
        <v>11</v>
      </c>
    </row>
    <row r="111">
      <c r="A111" s="3" t="s">
        <v>323</v>
      </c>
      <c r="B111" s="3" t="s">
        <v>339</v>
      </c>
      <c r="C111" s="3">
        <v>5.3454877100037E13</v>
      </c>
      <c r="D111" s="3" t="s">
        <v>336</v>
      </c>
      <c r="E111" s="4">
        <v>43311.0</v>
      </c>
      <c r="F111" s="3" t="s">
        <v>337</v>
      </c>
      <c r="G111" s="3" t="s">
        <v>17</v>
      </c>
      <c r="H111" s="3" t="s">
        <v>48</v>
      </c>
      <c r="I111" s="3" t="s">
        <v>340</v>
      </c>
      <c r="J111" s="3" t="s">
        <v>20</v>
      </c>
      <c r="K111" s="3" t="s">
        <v>21</v>
      </c>
      <c r="L111" s="3">
        <v>1.0</v>
      </c>
    </row>
    <row r="112">
      <c r="A112" s="3" t="s">
        <v>341</v>
      </c>
      <c r="B112" s="3" t="s">
        <v>342</v>
      </c>
      <c r="C112" s="3">
        <v>4.1900910500018E13</v>
      </c>
      <c r="D112" s="3" t="s">
        <v>336</v>
      </c>
      <c r="E112" s="4">
        <v>43335.0</v>
      </c>
      <c r="F112" s="3" t="s">
        <v>337</v>
      </c>
      <c r="G112" s="3" t="s">
        <v>17</v>
      </c>
      <c r="H112" s="3" t="s">
        <v>48</v>
      </c>
      <c r="I112" s="3" t="s">
        <v>343</v>
      </c>
      <c r="J112" s="3" t="s">
        <v>20</v>
      </c>
      <c r="K112" s="3" t="s">
        <v>21</v>
      </c>
      <c r="L112" s="3">
        <v>1.0</v>
      </c>
    </row>
    <row r="113">
      <c r="A113" s="3" t="s">
        <v>203</v>
      </c>
      <c r="B113" s="3" t="s">
        <v>33</v>
      </c>
      <c r="C113" s="3">
        <v>3.5221687300211E13</v>
      </c>
      <c r="D113" s="3" t="s">
        <v>336</v>
      </c>
      <c r="E113" s="4">
        <v>43312.0</v>
      </c>
      <c r="F113" s="3" t="s">
        <v>337</v>
      </c>
      <c r="G113" s="3" t="s">
        <v>17</v>
      </c>
      <c r="H113" s="3" t="s">
        <v>48</v>
      </c>
      <c r="I113" s="3" t="s">
        <v>338</v>
      </c>
      <c r="J113" s="3" t="s">
        <v>20</v>
      </c>
      <c r="K113" s="3" t="s">
        <v>21</v>
      </c>
      <c r="L113" s="3">
        <v>1.0</v>
      </c>
    </row>
    <row r="114">
      <c r="A114" s="3" t="s">
        <v>344</v>
      </c>
      <c r="B114" s="3" t="s">
        <v>345</v>
      </c>
      <c r="C114" s="3">
        <v>8.203367330001E13</v>
      </c>
      <c r="D114" s="3" t="s">
        <v>346</v>
      </c>
      <c r="E114" s="4">
        <v>43339.0</v>
      </c>
      <c r="F114" s="3" t="s">
        <v>312</v>
      </c>
      <c r="G114" s="3" t="s">
        <v>17</v>
      </c>
      <c r="H114" s="3" t="s">
        <v>48</v>
      </c>
      <c r="I114" s="3" t="s">
        <v>347</v>
      </c>
      <c r="J114" s="3" t="s">
        <v>20</v>
      </c>
      <c r="K114" s="3" t="s">
        <v>21</v>
      </c>
      <c r="L114" s="3">
        <v>1.0</v>
      </c>
    </row>
    <row r="115">
      <c r="A115" s="3" t="s">
        <v>348</v>
      </c>
      <c r="B115" s="3" t="s">
        <v>233</v>
      </c>
      <c r="C115" s="3">
        <v>8.0961975200011E13</v>
      </c>
      <c r="D115" s="3" t="s">
        <v>349</v>
      </c>
      <c r="E115" s="4">
        <v>43334.0</v>
      </c>
      <c r="F115" s="3" t="s">
        <v>16</v>
      </c>
      <c r="G115" s="3" t="s">
        <v>17</v>
      </c>
      <c r="H115" s="3" t="s">
        <v>18</v>
      </c>
      <c r="I115" s="3" t="s">
        <v>350</v>
      </c>
      <c r="J115" s="3" t="s">
        <v>20</v>
      </c>
      <c r="K115" s="3" t="s">
        <v>21</v>
      </c>
      <c r="L115" s="3">
        <v>1.0</v>
      </c>
    </row>
    <row r="116">
      <c r="A116" s="3" t="s">
        <v>351</v>
      </c>
      <c r="B116" s="3" t="s">
        <v>105</v>
      </c>
      <c r="C116" s="3">
        <v>3.9856806300059E13</v>
      </c>
      <c r="D116" s="3" t="s">
        <v>267</v>
      </c>
      <c r="E116" s="4">
        <v>43339.0</v>
      </c>
      <c r="F116" s="3" t="s">
        <v>352</v>
      </c>
      <c r="G116" s="3" t="s">
        <v>17</v>
      </c>
      <c r="H116" s="3" t="s">
        <v>18</v>
      </c>
      <c r="I116" s="3" t="s">
        <v>347</v>
      </c>
      <c r="J116" s="3" t="s">
        <v>20</v>
      </c>
      <c r="K116" s="3" t="s">
        <v>21</v>
      </c>
      <c r="L116" s="3">
        <v>1.0</v>
      </c>
    </row>
    <row r="117">
      <c r="A117" s="3" t="s">
        <v>353</v>
      </c>
      <c r="B117" s="3" t="s">
        <v>354</v>
      </c>
      <c r="C117" s="3">
        <v>4.9058526200069E13</v>
      </c>
      <c r="D117" s="3" t="s">
        <v>355</v>
      </c>
      <c r="E117" s="4">
        <v>43182.0</v>
      </c>
      <c r="F117" s="3" t="s">
        <v>16</v>
      </c>
      <c r="G117" s="3" t="s">
        <v>17</v>
      </c>
      <c r="H117" s="3" t="s">
        <v>18</v>
      </c>
      <c r="I117" s="3" t="s">
        <v>103</v>
      </c>
      <c r="J117" s="3" t="s">
        <v>20</v>
      </c>
      <c r="K117" s="3" t="s">
        <v>21</v>
      </c>
      <c r="L117" s="3">
        <v>1.0</v>
      </c>
    </row>
    <row r="118">
      <c r="A118" s="3" t="s">
        <v>356</v>
      </c>
      <c r="B118" s="3" t="s">
        <v>79</v>
      </c>
      <c r="C118" s="3">
        <v>3.0016423300037E13</v>
      </c>
      <c r="D118" s="3" t="s">
        <v>357</v>
      </c>
      <c r="E118" s="4">
        <v>43182.0</v>
      </c>
      <c r="F118" s="3" t="s">
        <v>16</v>
      </c>
      <c r="G118" s="3" t="s">
        <v>17</v>
      </c>
      <c r="H118" s="3" t="s">
        <v>18</v>
      </c>
      <c r="I118" s="3" t="s">
        <v>103</v>
      </c>
      <c r="J118" s="3" t="s">
        <v>20</v>
      </c>
      <c r="K118" s="3" t="s">
        <v>21</v>
      </c>
      <c r="L118" s="3">
        <v>1.0</v>
      </c>
    </row>
    <row r="119">
      <c r="A119" s="3" t="s">
        <v>358</v>
      </c>
      <c r="B119" s="3" t="s">
        <v>211</v>
      </c>
      <c r="C119" s="3">
        <v>7.8184375000048E13</v>
      </c>
      <c r="D119" s="3" t="s">
        <v>359</v>
      </c>
      <c r="E119" s="4">
        <v>43182.0</v>
      </c>
      <c r="F119" s="3" t="s">
        <v>16</v>
      </c>
      <c r="G119" s="3" t="s">
        <v>17</v>
      </c>
      <c r="H119" s="3" t="s">
        <v>18</v>
      </c>
      <c r="I119" s="3" t="s">
        <v>103</v>
      </c>
      <c r="J119" s="3" t="s">
        <v>20</v>
      </c>
      <c r="K119" s="3" t="s">
        <v>21</v>
      </c>
      <c r="L119" s="3">
        <v>1.0</v>
      </c>
    </row>
    <row r="120">
      <c r="A120" s="3" t="s">
        <v>360</v>
      </c>
      <c r="B120" s="3" t="s">
        <v>361</v>
      </c>
      <c r="C120" s="3">
        <v>7.8180455400017E13</v>
      </c>
      <c r="D120" s="3" t="s">
        <v>362</v>
      </c>
      <c r="E120" s="4">
        <v>43145.0</v>
      </c>
      <c r="F120" s="3" t="s">
        <v>16</v>
      </c>
      <c r="G120" s="3" t="s">
        <v>17</v>
      </c>
      <c r="H120" s="3" t="s">
        <v>18</v>
      </c>
      <c r="I120" s="3" t="s">
        <v>363</v>
      </c>
      <c r="J120" s="3" t="s">
        <v>20</v>
      </c>
      <c r="K120" s="3" t="s">
        <v>21</v>
      </c>
      <c r="L120" s="3">
        <v>1.0</v>
      </c>
    </row>
    <row r="121">
      <c r="A121" s="3" t="s">
        <v>364</v>
      </c>
      <c r="B121" s="3" t="s">
        <v>290</v>
      </c>
      <c r="C121" s="3">
        <v>4.1993219900013E13</v>
      </c>
      <c r="D121" s="3" t="s">
        <v>303</v>
      </c>
      <c r="E121" s="4">
        <v>43298.0</v>
      </c>
      <c r="F121" s="3" t="s">
        <v>365</v>
      </c>
      <c r="G121" s="3" t="s">
        <v>366</v>
      </c>
      <c r="H121" s="3" t="s">
        <v>367</v>
      </c>
      <c r="I121" s="3" t="s">
        <v>317</v>
      </c>
      <c r="J121" s="3" t="s">
        <v>20</v>
      </c>
      <c r="K121" s="3" t="s">
        <v>21</v>
      </c>
      <c r="L121" s="3">
        <v>1.0</v>
      </c>
    </row>
    <row r="122">
      <c r="A122" s="3" t="s">
        <v>368</v>
      </c>
      <c r="B122" s="3" t="s">
        <v>369</v>
      </c>
      <c r="C122" s="3">
        <v>1.3002285800018E13</v>
      </c>
      <c r="D122" s="3" t="s">
        <v>370</v>
      </c>
      <c r="E122" s="4">
        <v>43342.0</v>
      </c>
      <c r="F122" s="3" t="s">
        <v>371</v>
      </c>
      <c r="G122" s="3" t="s">
        <v>17</v>
      </c>
      <c r="H122" s="3" t="s">
        <v>18</v>
      </c>
      <c r="I122" s="3" t="s">
        <v>372</v>
      </c>
      <c r="J122" s="3" t="s">
        <v>20</v>
      </c>
      <c r="K122" s="3" t="s">
        <v>21</v>
      </c>
      <c r="L122" s="3">
        <v>1.0</v>
      </c>
    </row>
    <row r="123">
      <c r="A123" s="3" t="s">
        <v>368</v>
      </c>
      <c r="B123" s="3" t="s">
        <v>313</v>
      </c>
      <c r="C123" s="3">
        <v>1.3002285800019E13</v>
      </c>
      <c r="D123" s="3" t="s">
        <v>370</v>
      </c>
      <c r="E123" s="4">
        <v>43342.0</v>
      </c>
      <c r="F123" s="3" t="s">
        <v>373</v>
      </c>
      <c r="G123" s="3" t="s">
        <v>17</v>
      </c>
      <c r="H123" s="3" t="s">
        <v>18</v>
      </c>
      <c r="I123" s="3" t="s">
        <v>372</v>
      </c>
      <c r="J123" s="3" t="s">
        <v>20</v>
      </c>
      <c r="K123" s="3" t="s">
        <v>21</v>
      </c>
      <c r="L123" s="3">
        <v>1.0</v>
      </c>
    </row>
    <row r="124">
      <c r="A124" s="3" t="s">
        <v>374</v>
      </c>
      <c r="B124" s="3" t="s">
        <v>375</v>
      </c>
      <c r="C124" s="3">
        <v>4.022835430007E13</v>
      </c>
      <c r="D124" s="3" t="s">
        <v>376</v>
      </c>
      <c r="E124" s="4">
        <v>43335.0</v>
      </c>
      <c r="F124" s="3" t="s">
        <v>337</v>
      </c>
      <c r="G124" s="3" t="s">
        <v>17</v>
      </c>
      <c r="H124" s="3" t="s">
        <v>48</v>
      </c>
      <c r="I124" s="3" t="s">
        <v>343</v>
      </c>
      <c r="J124" s="3" t="s">
        <v>20</v>
      </c>
      <c r="K124" s="3" t="s">
        <v>21</v>
      </c>
      <c r="L124" s="3">
        <v>1.0</v>
      </c>
    </row>
    <row r="125">
      <c r="A125" s="3" t="s">
        <v>22</v>
      </c>
      <c r="B125" s="3" t="s">
        <v>377</v>
      </c>
      <c r="C125" s="3">
        <v>4.8856661300037E13</v>
      </c>
      <c r="D125" s="3" t="s">
        <v>376</v>
      </c>
      <c r="E125" s="4">
        <v>43335.0</v>
      </c>
      <c r="F125" s="3" t="s">
        <v>337</v>
      </c>
      <c r="G125" s="3" t="s">
        <v>17</v>
      </c>
      <c r="H125" s="3" t="s">
        <v>48</v>
      </c>
      <c r="I125" s="3" t="s">
        <v>343</v>
      </c>
      <c r="J125" s="3" t="s">
        <v>20</v>
      </c>
      <c r="K125" s="3" t="s">
        <v>21</v>
      </c>
      <c r="L125" s="3">
        <v>1.0</v>
      </c>
    </row>
    <row r="126">
      <c r="A126" s="3" t="s">
        <v>378</v>
      </c>
      <c r="B126" s="3" t="s">
        <v>379</v>
      </c>
      <c r="C126" s="3">
        <v>3.3348540700014E13</v>
      </c>
      <c r="D126" s="3" t="s">
        <v>376</v>
      </c>
      <c r="E126" s="4">
        <v>43342.0</v>
      </c>
      <c r="F126" s="3" t="s">
        <v>337</v>
      </c>
      <c r="G126" s="3" t="s">
        <v>17</v>
      </c>
      <c r="H126" s="3" t="s">
        <v>48</v>
      </c>
      <c r="I126" s="3" t="s">
        <v>372</v>
      </c>
      <c r="J126" s="3" t="s">
        <v>20</v>
      </c>
      <c r="K126" s="3" t="s">
        <v>21</v>
      </c>
      <c r="L126" s="3">
        <v>1.0</v>
      </c>
    </row>
    <row r="127">
      <c r="A127" s="3" t="s">
        <v>380</v>
      </c>
      <c r="B127" s="3" t="s">
        <v>381</v>
      </c>
      <c r="C127" s="3">
        <v>3.9988425300036E13</v>
      </c>
      <c r="D127" s="3" t="s">
        <v>382</v>
      </c>
      <c r="E127" s="4">
        <v>43353.0</v>
      </c>
      <c r="F127" s="3" t="s">
        <v>16</v>
      </c>
      <c r="G127" s="3" t="s">
        <v>17</v>
      </c>
      <c r="H127" s="3" t="s">
        <v>18</v>
      </c>
      <c r="I127" s="3" t="s">
        <v>383</v>
      </c>
      <c r="J127" s="3" t="s">
        <v>20</v>
      </c>
      <c r="K127" s="3" t="s">
        <v>21</v>
      </c>
      <c r="L127" s="3">
        <v>1.0</v>
      </c>
    </row>
    <row r="128">
      <c r="A128" s="3" t="s">
        <v>380</v>
      </c>
      <c r="B128" s="3" t="s">
        <v>384</v>
      </c>
      <c r="C128" s="3">
        <v>3.9988425300036E13</v>
      </c>
      <c r="D128" s="3" t="s">
        <v>382</v>
      </c>
      <c r="E128" s="4">
        <v>43353.0</v>
      </c>
      <c r="F128" s="3" t="s">
        <v>276</v>
      </c>
      <c r="G128" s="3" t="s">
        <v>17</v>
      </c>
      <c r="H128" s="3" t="s">
        <v>18</v>
      </c>
      <c r="I128" s="3" t="s">
        <v>383</v>
      </c>
      <c r="J128" s="3" t="s">
        <v>20</v>
      </c>
      <c r="K128" s="3" t="s">
        <v>21</v>
      </c>
      <c r="L128" s="3">
        <v>1.0</v>
      </c>
    </row>
    <row r="129">
      <c r="A129" s="3" t="s">
        <v>385</v>
      </c>
      <c r="B129" s="3" t="s">
        <v>167</v>
      </c>
      <c r="C129" s="3">
        <v>4.9058526200069E13</v>
      </c>
      <c r="D129" s="3" t="s">
        <v>386</v>
      </c>
      <c r="E129" s="4">
        <v>43353.0</v>
      </c>
      <c r="F129" s="3" t="s">
        <v>387</v>
      </c>
      <c r="G129" s="3" t="s">
        <v>17</v>
      </c>
      <c r="H129" s="3" t="s">
        <v>18</v>
      </c>
      <c r="I129" s="3" t="s">
        <v>383</v>
      </c>
      <c r="J129" s="3" t="s">
        <v>20</v>
      </c>
      <c r="K129" s="3" t="s">
        <v>21</v>
      </c>
      <c r="L129" s="3">
        <v>1.0</v>
      </c>
    </row>
    <row r="130">
      <c r="A130" s="3" t="s">
        <v>0</v>
      </c>
      <c r="B130" s="3" t="s">
        <v>1</v>
      </c>
      <c r="C130" s="3" t="s">
        <v>2</v>
      </c>
      <c r="D130" s="3" t="s">
        <v>3</v>
      </c>
      <c r="E130" s="3" t="s">
        <v>4</v>
      </c>
      <c r="F130" s="3" t="s">
        <v>5</v>
      </c>
      <c r="G130" s="3" t="s">
        <v>6</v>
      </c>
      <c r="H130" s="3" t="s">
        <v>7</v>
      </c>
      <c r="I130" s="3" t="s">
        <v>8</v>
      </c>
      <c r="J130" s="3" t="s">
        <v>9</v>
      </c>
      <c r="K130" s="3" t="s">
        <v>10</v>
      </c>
      <c r="L130" s="3" t="s">
        <v>11</v>
      </c>
    </row>
    <row r="131">
      <c r="A131" s="3" t="s">
        <v>385</v>
      </c>
      <c r="B131" s="3" t="s">
        <v>233</v>
      </c>
      <c r="C131" s="3">
        <v>4.9058526200069E13</v>
      </c>
      <c r="D131" s="3" t="s">
        <v>388</v>
      </c>
      <c r="E131" s="4">
        <v>43353.0</v>
      </c>
      <c r="F131" s="3" t="s">
        <v>330</v>
      </c>
      <c r="G131" s="3" t="s">
        <v>17</v>
      </c>
      <c r="H131" s="3" t="s">
        <v>18</v>
      </c>
      <c r="I131" s="3" t="s">
        <v>383</v>
      </c>
      <c r="J131" s="3" t="s">
        <v>20</v>
      </c>
      <c r="K131" s="3" t="s">
        <v>21</v>
      </c>
      <c r="L131" s="3">
        <v>1.0</v>
      </c>
    </row>
    <row r="132">
      <c r="A132" s="3" t="s">
        <v>389</v>
      </c>
      <c r="B132" s="3" t="s">
        <v>166</v>
      </c>
      <c r="C132" s="3">
        <v>8.3176796700019E13</v>
      </c>
      <c r="D132" s="3" t="s">
        <v>275</v>
      </c>
      <c r="E132" s="4">
        <v>43353.0</v>
      </c>
      <c r="F132" s="3" t="s">
        <v>390</v>
      </c>
      <c r="G132" s="3" t="s">
        <v>17</v>
      </c>
      <c r="H132" s="3" t="s">
        <v>18</v>
      </c>
      <c r="I132" s="3" t="s">
        <v>383</v>
      </c>
      <c r="J132" s="3" t="s">
        <v>20</v>
      </c>
      <c r="K132" s="3" t="s">
        <v>21</v>
      </c>
      <c r="L132" s="3">
        <v>1.0</v>
      </c>
    </row>
    <row r="133">
      <c r="A133" s="3" t="s">
        <v>391</v>
      </c>
    </row>
    <row r="134">
      <c r="A134" s="3" t="s">
        <v>0</v>
      </c>
      <c r="B134" s="3" t="s">
        <v>1</v>
      </c>
      <c r="C134" s="3" t="s">
        <v>2</v>
      </c>
      <c r="D134" s="3" t="s">
        <v>3</v>
      </c>
      <c r="E134" s="3" t="s">
        <v>4</v>
      </c>
      <c r="F134" s="3" t="s">
        <v>5</v>
      </c>
      <c r="G134" s="3" t="s">
        <v>6</v>
      </c>
      <c r="H134" s="3" t="s">
        <v>7</v>
      </c>
      <c r="I134" s="3" t="s">
        <v>8</v>
      </c>
      <c r="J134" s="3" t="s">
        <v>9</v>
      </c>
      <c r="K134" s="3" t="s">
        <v>10</v>
      </c>
      <c r="L134" s="3" t="s">
        <v>11</v>
      </c>
    </row>
    <row r="135">
      <c r="A135" s="3" t="s">
        <v>392</v>
      </c>
      <c r="B135" s="3" t="s">
        <v>233</v>
      </c>
      <c r="C135" s="3">
        <v>4.3383539400027E13</v>
      </c>
      <c r="D135" s="3" t="s">
        <v>388</v>
      </c>
      <c r="E135" s="4">
        <v>43370.0</v>
      </c>
      <c r="F135" s="3" t="s">
        <v>330</v>
      </c>
      <c r="G135" s="3" t="s">
        <v>17</v>
      </c>
      <c r="H135" s="3" t="s">
        <v>18</v>
      </c>
      <c r="I135" s="3" t="s">
        <v>393</v>
      </c>
      <c r="J135" s="3" t="s">
        <v>20</v>
      </c>
      <c r="K135" s="3" t="s">
        <v>21</v>
      </c>
      <c r="L135" s="3">
        <v>1.0</v>
      </c>
    </row>
    <row r="136">
      <c r="A136" s="3" t="s">
        <v>394</v>
      </c>
      <c r="B136" s="3" t="s">
        <v>395</v>
      </c>
      <c r="C136" s="3">
        <v>7.8184992200021E13</v>
      </c>
      <c r="D136" s="3" t="s">
        <v>396</v>
      </c>
      <c r="E136" s="4">
        <v>43361.0</v>
      </c>
      <c r="F136" s="3" t="s">
        <v>397</v>
      </c>
      <c r="G136" s="3" t="s">
        <v>17</v>
      </c>
      <c r="H136" s="3" t="s">
        <v>48</v>
      </c>
      <c r="I136" s="3" t="s">
        <v>398</v>
      </c>
      <c r="J136" s="3" t="s">
        <v>20</v>
      </c>
      <c r="K136" s="3" t="s">
        <v>21</v>
      </c>
      <c r="L136" s="3">
        <v>1.0</v>
      </c>
    </row>
    <row r="137">
      <c r="A137" s="3" t="s">
        <v>249</v>
      </c>
      <c r="B137" s="3" t="s">
        <v>339</v>
      </c>
      <c r="C137" s="3">
        <v>4.8237148100029E13</v>
      </c>
      <c r="D137" s="3" t="s">
        <v>399</v>
      </c>
      <c r="E137" s="4">
        <v>43368.0</v>
      </c>
      <c r="F137" s="3" t="s">
        <v>337</v>
      </c>
      <c r="G137" s="3" t="s">
        <v>17</v>
      </c>
      <c r="H137" s="3" t="s">
        <v>48</v>
      </c>
      <c r="I137" s="3" t="s">
        <v>400</v>
      </c>
      <c r="J137" s="3" t="s">
        <v>20</v>
      </c>
      <c r="K137" s="3" t="s">
        <v>21</v>
      </c>
      <c r="L137" s="3">
        <v>1.0</v>
      </c>
    </row>
    <row r="138">
      <c r="A138" s="3" t="s">
        <v>401</v>
      </c>
      <c r="B138" s="3" t="s">
        <v>402</v>
      </c>
      <c r="C138" s="3">
        <v>4.9322382000017E13</v>
      </c>
      <c r="D138" s="3" t="s">
        <v>403</v>
      </c>
      <c r="E138" s="4">
        <v>43364.0</v>
      </c>
      <c r="F138" s="3" t="s">
        <v>397</v>
      </c>
      <c r="G138" s="3" t="s">
        <v>17</v>
      </c>
      <c r="H138" s="3" t="s">
        <v>18</v>
      </c>
      <c r="I138" s="3" t="s">
        <v>404</v>
      </c>
      <c r="J138" s="3" t="s">
        <v>20</v>
      </c>
      <c r="K138" s="3" t="s">
        <v>21</v>
      </c>
      <c r="L138" s="3">
        <v>1.0</v>
      </c>
    </row>
    <row r="139">
      <c r="A139" s="3" t="s">
        <v>227</v>
      </c>
      <c r="B139" s="3" t="s">
        <v>161</v>
      </c>
      <c r="C139" s="3">
        <v>3.4169319000033E13</v>
      </c>
      <c r="D139" s="3" t="s">
        <v>399</v>
      </c>
      <c r="E139" s="4">
        <v>43371.0</v>
      </c>
      <c r="F139" s="3" t="s">
        <v>337</v>
      </c>
      <c r="G139" s="3" t="s">
        <v>17</v>
      </c>
      <c r="H139" s="3" t="s">
        <v>48</v>
      </c>
      <c r="I139" s="3" t="s">
        <v>405</v>
      </c>
      <c r="J139" s="3" t="s">
        <v>20</v>
      </c>
      <c r="K139" s="3" t="s">
        <v>21</v>
      </c>
      <c r="L139" s="3">
        <v>1.0</v>
      </c>
    </row>
    <row r="140">
      <c r="A140" s="3" t="s">
        <v>406</v>
      </c>
      <c r="B140" s="3" t="s">
        <v>407</v>
      </c>
      <c r="C140" s="3">
        <v>5.1779186900012E13</v>
      </c>
      <c r="D140" s="3" t="s">
        <v>408</v>
      </c>
      <c r="E140" s="4">
        <v>43306.0</v>
      </c>
      <c r="F140" s="3" t="s">
        <v>16</v>
      </c>
      <c r="G140" s="3" t="s">
        <v>17</v>
      </c>
      <c r="H140" s="3" t="s">
        <v>18</v>
      </c>
      <c r="I140" s="3" t="s">
        <v>308</v>
      </c>
      <c r="J140" s="3" t="s">
        <v>20</v>
      </c>
      <c r="K140" s="3" t="s">
        <v>21</v>
      </c>
      <c r="L140" s="3">
        <v>1.0</v>
      </c>
    </row>
    <row r="141">
      <c r="A141" s="3" t="s">
        <v>289</v>
      </c>
      <c r="B141" s="3" t="s">
        <v>299</v>
      </c>
      <c r="C141" s="3">
        <v>8.0127651000011E13</v>
      </c>
      <c r="D141" s="3" t="s">
        <v>300</v>
      </c>
      <c r="E141" s="4">
        <v>43356.0</v>
      </c>
      <c r="F141" s="3" t="s">
        <v>409</v>
      </c>
      <c r="G141" s="3" t="s">
        <v>17</v>
      </c>
      <c r="H141" s="3" t="s">
        <v>18</v>
      </c>
      <c r="I141" s="3" t="s">
        <v>410</v>
      </c>
      <c r="J141" s="3" t="s">
        <v>20</v>
      </c>
      <c r="K141" s="3" t="s">
        <v>21</v>
      </c>
      <c r="L141" s="3">
        <v>1.0</v>
      </c>
    </row>
    <row r="142">
      <c r="A142" s="3" t="s">
        <v>411</v>
      </c>
      <c r="B142" s="3" t="s">
        <v>412</v>
      </c>
      <c r="C142" s="3">
        <v>8.1028483600014E13</v>
      </c>
      <c r="D142" s="3" t="s">
        <v>303</v>
      </c>
      <c r="E142" s="4">
        <v>43342.0</v>
      </c>
      <c r="F142" s="3" t="s">
        <v>413</v>
      </c>
      <c r="G142" s="3" t="s">
        <v>17</v>
      </c>
      <c r="H142" s="3" t="s">
        <v>48</v>
      </c>
      <c r="I142" s="3" t="s">
        <v>372</v>
      </c>
      <c r="J142" s="3" t="s">
        <v>20</v>
      </c>
      <c r="K142" s="3" t="s">
        <v>21</v>
      </c>
      <c r="L142" s="3">
        <v>1.0</v>
      </c>
    </row>
    <row r="143">
      <c r="A143" s="3" t="s">
        <v>249</v>
      </c>
      <c r="B143" s="3" t="s">
        <v>414</v>
      </c>
      <c r="C143" s="3">
        <v>4.8237148100029E13</v>
      </c>
      <c r="D143" s="3" t="s">
        <v>303</v>
      </c>
      <c r="E143" s="4">
        <v>43368.0</v>
      </c>
      <c r="F143" s="3" t="s">
        <v>413</v>
      </c>
      <c r="G143" s="3" t="s">
        <v>17</v>
      </c>
      <c r="H143" s="3" t="s">
        <v>48</v>
      </c>
      <c r="I143" s="3" t="s">
        <v>400</v>
      </c>
      <c r="J143" s="3" t="s">
        <v>20</v>
      </c>
      <c r="K143" s="3" t="s">
        <v>21</v>
      </c>
      <c r="L143" s="3">
        <v>1.0</v>
      </c>
    </row>
    <row r="144">
      <c r="A144" s="3" t="s">
        <v>415</v>
      </c>
      <c r="B144" s="3" t="s">
        <v>416</v>
      </c>
      <c r="C144" s="3">
        <v>4.9848483100033E13</v>
      </c>
      <c r="D144" s="3" t="s">
        <v>417</v>
      </c>
      <c r="E144" s="4">
        <v>43391.0</v>
      </c>
      <c r="F144" s="3" t="s">
        <v>16</v>
      </c>
      <c r="G144" s="3" t="s">
        <v>17</v>
      </c>
      <c r="H144" s="3" t="s">
        <v>18</v>
      </c>
      <c r="I144" s="3" t="s">
        <v>418</v>
      </c>
      <c r="J144" s="3" t="s">
        <v>20</v>
      </c>
      <c r="K144" s="3" t="s">
        <v>21</v>
      </c>
      <c r="L144" s="3">
        <v>1.0</v>
      </c>
    </row>
    <row r="145">
      <c r="A145" s="3" t="s">
        <v>419</v>
      </c>
      <c r="B145" s="3" t="s">
        <v>420</v>
      </c>
      <c r="C145" s="3">
        <v>3.0091783800025E13</v>
      </c>
      <c r="D145" s="3" t="s">
        <v>421</v>
      </c>
      <c r="E145" s="4">
        <v>43385.0</v>
      </c>
      <c r="F145" s="3" t="s">
        <v>16</v>
      </c>
      <c r="G145" s="3" t="s">
        <v>17</v>
      </c>
      <c r="H145" s="3" t="s">
        <v>18</v>
      </c>
      <c r="I145" s="3" t="s">
        <v>422</v>
      </c>
      <c r="J145" s="3" t="s">
        <v>20</v>
      </c>
      <c r="K145" s="3" t="s">
        <v>21</v>
      </c>
      <c r="L145" s="3">
        <v>1.0</v>
      </c>
    </row>
    <row r="146">
      <c r="A146" s="3" t="s">
        <v>164</v>
      </c>
      <c r="B146" s="3" t="s">
        <v>423</v>
      </c>
      <c r="C146" s="3">
        <v>4.5227479800035E13</v>
      </c>
      <c r="D146" s="3" t="s">
        <v>424</v>
      </c>
      <c r="E146" s="4">
        <v>43406.0</v>
      </c>
      <c r="F146" s="3" t="s">
        <v>425</v>
      </c>
      <c r="G146" s="3" t="s">
        <v>17</v>
      </c>
      <c r="H146" s="3" t="s">
        <v>18</v>
      </c>
      <c r="I146" s="3" t="s">
        <v>426</v>
      </c>
      <c r="J146" s="3" t="s">
        <v>20</v>
      </c>
      <c r="K146" s="3" t="s">
        <v>21</v>
      </c>
      <c r="L146" s="3">
        <v>1.0</v>
      </c>
    </row>
    <row r="147">
      <c r="A147" s="3" t="s">
        <v>427</v>
      </c>
      <c r="B147" s="3" t="s">
        <v>233</v>
      </c>
      <c r="C147" s="3">
        <v>8.2071933400014E13</v>
      </c>
      <c r="D147" s="3" t="s">
        <v>428</v>
      </c>
      <c r="E147" s="4">
        <v>43411.0</v>
      </c>
      <c r="F147" s="3" t="s">
        <v>16</v>
      </c>
      <c r="G147" s="3" t="s">
        <v>17</v>
      </c>
      <c r="H147" s="3" t="s">
        <v>18</v>
      </c>
      <c r="I147" s="3" t="s">
        <v>429</v>
      </c>
      <c r="J147" s="3" t="s">
        <v>20</v>
      </c>
      <c r="K147" s="3" t="s">
        <v>21</v>
      </c>
      <c r="L147" s="3">
        <v>1.0</v>
      </c>
    </row>
    <row r="148">
      <c r="A148" s="3" t="s">
        <v>430</v>
      </c>
      <c r="B148" s="3" t="s">
        <v>149</v>
      </c>
      <c r="C148" s="3">
        <v>4.3470528100021E13</v>
      </c>
      <c r="D148" s="3" t="s">
        <v>431</v>
      </c>
      <c r="E148" s="4">
        <v>43411.0</v>
      </c>
      <c r="F148" s="3" t="s">
        <v>16</v>
      </c>
      <c r="G148" s="3" t="s">
        <v>17</v>
      </c>
      <c r="H148" s="3" t="s">
        <v>18</v>
      </c>
      <c r="I148" s="3" t="s">
        <v>429</v>
      </c>
      <c r="J148" s="3" t="s">
        <v>20</v>
      </c>
      <c r="K148" s="3" t="s">
        <v>21</v>
      </c>
      <c r="L148" s="3">
        <v>1.0</v>
      </c>
    </row>
    <row r="149">
      <c r="A149" s="3" t="s">
        <v>432</v>
      </c>
      <c r="B149" s="3" t="s">
        <v>433</v>
      </c>
      <c r="C149" s="3">
        <v>8.2791162900018E13</v>
      </c>
      <c r="D149" s="3" t="s">
        <v>434</v>
      </c>
      <c r="E149" s="4">
        <v>43347.0</v>
      </c>
      <c r="F149" s="3" t="s">
        <v>16</v>
      </c>
      <c r="G149" s="3" t="s">
        <v>17</v>
      </c>
      <c r="H149" s="3" t="s">
        <v>18</v>
      </c>
      <c r="I149" s="3" t="s">
        <v>435</v>
      </c>
      <c r="J149" s="3" t="s">
        <v>20</v>
      </c>
      <c r="K149" s="3" t="s">
        <v>21</v>
      </c>
      <c r="L149" s="3">
        <v>1.0</v>
      </c>
    </row>
    <row r="150">
      <c r="A150" s="3" t="s">
        <v>0</v>
      </c>
      <c r="B150" s="3" t="s">
        <v>1</v>
      </c>
      <c r="C150" s="3" t="s">
        <v>2</v>
      </c>
      <c r="D150" s="3" t="s">
        <v>3</v>
      </c>
      <c r="E150" s="3" t="s">
        <v>4</v>
      </c>
      <c r="F150" s="3" t="s">
        <v>5</v>
      </c>
      <c r="G150" s="3" t="s">
        <v>6</v>
      </c>
      <c r="H150" s="3" t="s">
        <v>7</v>
      </c>
      <c r="I150" s="3" t="s">
        <v>8</v>
      </c>
      <c r="J150" s="3" t="s">
        <v>9</v>
      </c>
      <c r="K150" s="3" t="s">
        <v>10</v>
      </c>
      <c r="L150" s="3" t="s">
        <v>11</v>
      </c>
    </row>
    <row r="151">
      <c r="A151" s="3" t="s">
        <v>182</v>
      </c>
      <c r="B151" s="3" t="s">
        <v>201</v>
      </c>
      <c r="C151" s="3">
        <v>4.515460970001E13</v>
      </c>
      <c r="D151" s="3" t="s">
        <v>436</v>
      </c>
      <c r="E151" s="4">
        <v>43417.0</v>
      </c>
      <c r="F151" s="3" t="s">
        <v>437</v>
      </c>
      <c r="G151" s="3" t="s">
        <v>17</v>
      </c>
      <c r="H151" s="3" t="s">
        <v>18</v>
      </c>
      <c r="I151" s="3" t="s">
        <v>438</v>
      </c>
      <c r="J151" s="3" t="s">
        <v>20</v>
      </c>
      <c r="K151" s="3" t="s">
        <v>21</v>
      </c>
      <c r="L151" s="3">
        <v>1.0</v>
      </c>
    </row>
    <row r="152">
      <c r="A152" s="3" t="s">
        <v>439</v>
      </c>
      <c r="B152" s="3" t="s">
        <v>440</v>
      </c>
      <c r="C152" s="3">
        <v>4.8428452600072E13</v>
      </c>
      <c r="D152" s="3" t="s">
        <v>441</v>
      </c>
      <c r="E152" s="4">
        <v>43417.0</v>
      </c>
      <c r="F152" s="3" t="s">
        <v>16</v>
      </c>
      <c r="G152" s="3" t="s">
        <v>17</v>
      </c>
      <c r="H152" s="3" t="s">
        <v>18</v>
      </c>
      <c r="I152" s="3" t="s">
        <v>438</v>
      </c>
      <c r="J152" s="3" t="s">
        <v>20</v>
      </c>
      <c r="K152" s="3" t="s">
        <v>21</v>
      </c>
      <c r="L152" s="3">
        <v>1.0</v>
      </c>
    </row>
    <row r="153">
      <c r="A153" s="3" t="s">
        <v>442</v>
      </c>
      <c r="B153" s="3" t="s">
        <v>377</v>
      </c>
      <c r="C153" s="3">
        <v>5.2539664400011E13</v>
      </c>
      <c r="D153" s="3" t="s">
        <v>443</v>
      </c>
      <c r="E153" s="4">
        <v>43418.0</v>
      </c>
      <c r="F153" s="3" t="s">
        <v>444</v>
      </c>
      <c r="G153" s="3" t="s">
        <v>17</v>
      </c>
      <c r="H153" s="3" t="s">
        <v>18</v>
      </c>
      <c r="I153" s="3" t="s">
        <v>445</v>
      </c>
      <c r="J153" s="3" t="s">
        <v>20</v>
      </c>
      <c r="K153" s="3" t="s">
        <v>21</v>
      </c>
      <c r="L153" s="3">
        <v>1.0</v>
      </c>
    </row>
    <row r="154">
      <c r="A154" s="3" t="s">
        <v>442</v>
      </c>
      <c r="B154" s="3" t="s">
        <v>105</v>
      </c>
      <c r="C154" s="3">
        <v>5.2539664400011E13</v>
      </c>
      <c r="D154" s="3" t="s">
        <v>443</v>
      </c>
      <c r="E154" s="4">
        <v>43418.0</v>
      </c>
      <c r="F154" s="3" t="s">
        <v>446</v>
      </c>
      <c r="G154" s="3" t="s">
        <v>17</v>
      </c>
      <c r="H154" s="3" t="s">
        <v>48</v>
      </c>
      <c r="I154" s="3" t="s">
        <v>445</v>
      </c>
      <c r="J154" s="3" t="s">
        <v>20</v>
      </c>
      <c r="K154" s="3" t="s">
        <v>21</v>
      </c>
      <c r="L154" s="3">
        <v>1.0</v>
      </c>
    </row>
    <row r="155">
      <c r="A155" s="3" t="s">
        <v>442</v>
      </c>
      <c r="B155" s="3" t="s">
        <v>447</v>
      </c>
      <c r="C155" s="3">
        <v>5.2539664400011E13</v>
      </c>
      <c r="D155" s="3" t="s">
        <v>443</v>
      </c>
      <c r="E155" s="4">
        <v>43418.0</v>
      </c>
      <c r="F155" s="3" t="s">
        <v>312</v>
      </c>
      <c r="G155" s="3" t="s">
        <v>17</v>
      </c>
      <c r="H155" s="3" t="s">
        <v>18</v>
      </c>
      <c r="I155" s="3" t="s">
        <v>445</v>
      </c>
      <c r="J155" s="3" t="s">
        <v>20</v>
      </c>
      <c r="K155" s="3" t="s">
        <v>21</v>
      </c>
      <c r="L155" s="3">
        <v>1.0</v>
      </c>
    </row>
    <row r="156">
      <c r="A156" s="3" t="s">
        <v>448</v>
      </c>
      <c r="B156" s="3" t="s">
        <v>416</v>
      </c>
      <c r="C156" s="3">
        <v>8.312204960001E13</v>
      </c>
      <c r="D156" s="3" t="s">
        <v>449</v>
      </c>
      <c r="E156" s="4">
        <v>43419.0</v>
      </c>
      <c r="F156" s="3" t="s">
        <v>450</v>
      </c>
      <c r="G156" s="3" t="s">
        <v>17</v>
      </c>
      <c r="H156" s="3" t="s">
        <v>18</v>
      </c>
      <c r="I156" s="3" t="s">
        <v>451</v>
      </c>
      <c r="J156" s="3" t="s">
        <v>20</v>
      </c>
      <c r="K156" s="3" t="s">
        <v>21</v>
      </c>
      <c r="L156" s="3">
        <v>1.0</v>
      </c>
    </row>
    <row r="157">
      <c r="A157" s="3" t="s">
        <v>328</v>
      </c>
      <c r="B157" s="3" t="s">
        <v>209</v>
      </c>
      <c r="C157" s="3">
        <v>4.3403882400042E13</v>
      </c>
      <c r="D157" s="3" t="s">
        <v>452</v>
      </c>
      <c r="E157" s="4">
        <v>43420.0</v>
      </c>
      <c r="F157" s="3" t="s">
        <v>453</v>
      </c>
      <c r="G157" s="3" t="s">
        <v>17</v>
      </c>
      <c r="H157" s="3" t="s">
        <v>18</v>
      </c>
      <c r="I157" s="3" t="s">
        <v>454</v>
      </c>
      <c r="J157" s="3" t="s">
        <v>20</v>
      </c>
      <c r="K157" s="3" t="s">
        <v>21</v>
      </c>
      <c r="L157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16.13"/>
  </cols>
  <sheetData>
    <row r="1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0</v>
      </c>
      <c r="B2" s="3" t="s">
        <v>1</v>
      </c>
      <c r="C2" s="3" t="str">
        <f t="shared" ref="C2:C157" si="1">substitute(SUBSTITUTE(B2," ",""),",",".")</f>
        <v>montant</v>
      </c>
      <c r="D2" s="3"/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</row>
    <row r="3">
      <c r="A3" s="3" t="s">
        <v>0</v>
      </c>
      <c r="B3" s="3" t="s">
        <v>1</v>
      </c>
      <c r="C3" s="3" t="str">
        <f t="shared" si="1"/>
        <v>montant</v>
      </c>
      <c r="D3" s="3"/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</row>
    <row r="4">
      <c r="A4" s="3" t="s">
        <v>0</v>
      </c>
      <c r="B4" s="3" t="s">
        <v>1</v>
      </c>
      <c r="C4" s="3" t="str">
        <f t="shared" si="1"/>
        <v>montant</v>
      </c>
      <c r="D4" s="3"/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</row>
    <row r="5">
      <c r="A5" s="3" t="s">
        <v>0</v>
      </c>
      <c r="B5" s="3" t="s">
        <v>1</v>
      </c>
      <c r="C5" s="3" t="str">
        <f t="shared" si="1"/>
        <v>montant</v>
      </c>
      <c r="D5" s="3"/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</row>
    <row r="6">
      <c r="A6" s="3" t="s">
        <v>0</v>
      </c>
      <c r="B6" s="3" t="s">
        <v>1</v>
      </c>
      <c r="C6" s="3" t="str">
        <f t="shared" si="1"/>
        <v>montant</v>
      </c>
      <c r="D6" s="3"/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  <c r="N6" s="3" t="s">
        <v>11</v>
      </c>
    </row>
    <row r="7">
      <c r="A7" s="3" t="s">
        <v>0</v>
      </c>
      <c r="B7" s="3" t="s">
        <v>1</v>
      </c>
      <c r="C7" s="3" t="str">
        <f t="shared" si="1"/>
        <v>montant</v>
      </c>
      <c r="D7" s="3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</row>
    <row r="8">
      <c r="A8" s="3" t="s">
        <v>0</v>
      </c>
      <c r="B8" s="3" t="s">
        <v>1</v>
      </c>
      <c r="C8" s="3" t="str">
        <f t="shared" si="1"/>
        <v>montant</v>
      </c>
      <c r="D8" s="3"/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  <c r="J8" s="3" t="s">
        <v>7</v>
      </c>
      <c r="K8" s="3" t="s">
        <v>8</v>
      </c>
      <c r="L8" s="3" t="s">
        <v>9</v>
      </c>
      <c r="M8" s="3" t="s">
        <v>10</v>
      </c>
      <c r="N8" s="3" t="s">
        <v>11</v>
      </c>
    </row>
    <row r="9">
      <c r="A9" s="3" t="s">
        <v>0</v>
      </c>
      <c r="B9" s="3" t="s">
        <v>1</v>
      </c>
      <c r="C9" s="3" t="str">
        <f t="shared" si="1"/>
        <v>montant</v>
      </c>
      <c r="D9" s="3"/>
      <c r="E9" s="3" t="s">
        <v>2</v>
      </c>
      <c r="F9" s="3" t="s">
        <v>3</v>
      </c>
      <c r="G9" s="3" t="s">
        <v>4</v>
      </c>
      <c r="H9" s="3" t="s">
        <v>5</v>
      </c>
      <c r="I9" s="3" t="s">
        <v>6</v>
      </c>
      <c r="J9" s="3" t="s">
        <v>7</v>
      </c>
      <c r="K9" s="3" t="s">
        <v>8</v>
      </c>
      <c r="L9" s="3" t="s">
        <v>9</v>
      </c>
      <c r="M9" s="3" t="s">
        <v>10</v>
      </c>
      <c r="N9" s="3" t="s">
        <v>11</v>
      </c>
    </row>
    <row r="10">
      <c r="A10" s="3" t="s">
        <v>206</v>
      </c>
      <c r="B10" s="3" t="s">
        <v>207</v>
      </c>
      <c r="C10" s="3" t="str">
        <f t="shared" si="1"/>
        <v>9900.00</v>
      </c>
      <c r="D10" s="3"/>
      <c r="E10" s="3">
        <v>8.246985E8</v>
      </c>
      <c r="F10" s="3" t="s">
        <v>119</v>
      </c>
      <c r="G10" s="4">
        <v>43266.0</v>
      </c>
      <c r="H10" s="3" t="s">
        <v>16</v>
      </c>
      <c r="I10" s="3" t="s">
        <v>17</v>
      </c>
      <c r="J10" s="3" t="s">
        <v>18</v>
      </c>
      <c r="K10" s="3" t="s">
        <v>185</v>
      </c>
      <c r="L10" s="3" t="s">
        <v>20</v>
      </c>
      <c r="M10" s="3" t="s">
        <v>21</v>
      </c>
      <c r="N10" s="3">
        <v>1.0</v>
      </c>
    </row>
    <row r="11">
      <c r="A11" s="3" t="s">
        <v>13</v>
      </c>
      <c r="B11" s="3" t="s">
        <v>14</v>
      </c>
      <c r="C11" s="3" t="str">
        <f t="shared" si="1"/>
        <v>97740.00</v>
      </c>
      <c r="D11" s="5">
        <v>97740.0</v>
      </c>
      <c r="E11" s="3">
        <v>3.05378234E8</v>
      </c>
      <c r="F11" s="3" t="s">
        <v>15</v>
      </c>
      <c r="G11" s="4">
        <v>43069.0</v>
      </c>
      <c r="H11" s="3" t="s">
        <v>16</v>
      </c>
      <c r="I11" s="3" t="s">
        <v>17</v>
      </c>
      <c r="J11" s="3" t="s">
        <v>18</v>
      </c>
      <c r="K11" s="3" t="s">
        <v>19</v>
      </c>
      <c r="L11" s="3" t="s">
        <v>20</v>
      </c>
      <c r="M11" s="3" t="s">
        <v>21</v>
      </c>
      <c r="N11" s="3">
        <v>1.0</v>
      </c>
    </row>
    <row r="12">
      <c r="A12" s="3" t="s">
        <v>57</v>
      </c>
      <c r="B12" s="3" t="s">
        <v>58</v>
      </c>
      <c r="C12" s="3" t="str">
        <f t="shared" si="1"/>
        <v>96187.50</v>
      </c>
      <c r="D12" s="5">
        <v>96187.5</v>
      </c>
      <c r="E12" s="3">
        <v>3.42215456E8</v>
      </c>
      <c r="F12" s="3" t="s">
        <v>59</v>
      </c>
      <c r="G12" s="4">
        <v>43126.0</v>
      </c>
      <c r="H12" s="3" t="s">
        <v>16</v>
      </c>
      <c r="I12" s="3" t="s">
        <v>17</v>
      </c>
      <c r="J12" s="3" t="s">
        <v>18</v>
      </c>
      <c r="K12" s="3" t="s">
        <v>60</v>
      </c>
      <c r="L12" s="3" t="s">
        <v>20</v>
      </c>
      <c r="M12" s="3" t="s">
        <v>21</v>
      </c>
      <c r="N12" s="3">
        <v>1.0</v>
      </c>
    </row>
    <row r="13">
      <c r="A13" s="3" t="s">
        <v>129</v>
      </c>
      <c r="B13" s="3" t="s">
        <v>130</v>
      </c>
      <c r="C13" s="3" t="str">
        <f t="shared" si="1"/>
        <v>9610.00</v>
      </c>
      <c r="D13" s="5">
        <v>9610.0</v>
      </c>
      <c r="E13" s="3">
        <v>4.38794034E8</v>
      </c>
      <c r="F13" s="3" t="s">
        <v>119</v>
      </c>
      <c r="G13" s="4">
        <v>43244.0</v>
      </c>
      <c r="H13" s="3" t="s">
        <v>120</v>
      </c>
      <c r="I13" s="3" t="s">
        <v>17</v>
      </c>
      <c r="J13" s="3" t="s">
        <v>18</v>
      </c>
      <c r="K13" s="3" t="s">
        <v>121</v>
      </c>
      <c r="L13" s="3" t="s">
        <v>20</v>
      </c>
      <c r="M13" s="3" t="s">
        <v>21</v>
      </c>
      <c r="N13" s="3">
        <v>1.0</v>
      </c>
    </row>
    <row r="14">
      <c r="A14" s="3" t="s">
        <v>22</v>
      </c>
      <c r="B14" s="3" t="s">
        <v>23</v>
      </c>
      <c r="C14" s="3" t="str">
        <f t="shared" si="1"/>
        <v>95932.00</v>
      </c>
      <c r="D14" s="5">
        <v>95932.0</v>
      </c>
      <c r="E14" s="3">
        <v>4.88566613E8</v>
      </c>
      <c r="F14" s="3" t="s">
        <v>24</v>
      </c>
      <c r="G14" s="4">
        <v>43091.0</v>
      </c>
      <c r="H14" s="3" t="s">
        <v>25</v>
      </c>
      <c r="I14" s="3" t="s">
        <v>17</v>
      </c>
      <c r="J14" s="3" t="s">
        <v>18</v>
      </c>
      <c r="K14" s="3" t="s">
        <v>26</v>
      </c>
      <c r="L14" s="3" t="s">
        <v>20</v>
      </c>
      <c r="M14" s="3" t="s">
        <v>21</v>
      </c>
      <c r="N14" s="3">
        <v>1.0</v>
      </c>
    </row>
    <row r="15">
      <c r="A15" s="3" t="s">
        <v>164</v>
      </c>
      <c r="B15" s="3" t="s">
        <v>423</v>
      </c>
      <c r="C15" s="3" t="str">
        <f t="shared" si="1"/>
        <v>9500.00</v>
      </c>
      <c r="D15" s="5">
        <v>9500.0</v>
      </c>
      <c r="E15" s="3">
        <v>4.5227479800035E13</v>
      </c>
      <c r="F15" s="3" t="s">
        <v>424</v>
      </c>
      <c r="G15" s="4">
        <v>43406.0</v>
      </c>
      <c r="H15" s="3" t="s">
        <v>425</v>
      </c>
      <c r="I15" s="3" t="s">
        <v>17</v>
      </c>
      <c r="J15" s="3" t="s">
        <v>18</v>
      </c>
      <c r="K15" s="3" t="s">
        <v>426</v>
      </c>
      <c r="L15" s="3" t="s">
        <v>20</v>
      </c>
      <c r="M15" s="3" t="s">
        <v>21</v>
      </c>
      <c r="N15" s="3">
        <v>1.0</v>
      </c>
    </row>
    <row r="16">
      <c r="A16" s="3" t="s">
        <v>439</v>
      </c>
      <c r="B16" s="3" t="s">
        <v>440</v>
      </c>
      <c r="C16" s="3" t="str">
        <f t="shared" si="1"/>
        <v>90000.00</v>
      </c>
      <c r="D16" s="5">
        <v>90000.0</v>
      </c>
      <c r="E16" s="3">
        <v>4.8428452600072E13</v>
      </c>
      <c r="F16" s="3" t="s">
        <v>441</v>
      </c>
      <c r="G16" s="4">
        <v>43417.0</v>
      </c>
      <c r="H16" s="3" t="s">
        <v>16</v>
      </c>
      <c r="I16" s="3" t="s">
        <v>17</v>
      </c>
      <c r="J16" s="3" t="s">
        <v>18</v>
      </c>
      <c r="K16" s="3" t="s">
        <v>438</v>
      </c>
      <c r="L16" s="3" t="s">
        <v>20</v>
      </c>
      <c r="M16" s="3" t="s">
        <v>21</v>
      </c>
      <c r="N16" s="3">
        <v>1.0</v>
      </c>
    </row>
    <row r="17">
      <c r="A17" s="3" t="s">
        <v>191</v>
      </c>
      <c r="B17" s="3" t="s">
        <v>313</v>
      </c>
      <c r="C17" s="3" t="str">
        <f t="shared" si="1"/>
        <v>9000.00</v>
      </c>
      <c r="D17" s="5">
        <v>9000.0</v>
      </c>
      <c r="E17" s="3">
        <v>3.7809063300017E13</v>
      </c>
      <c r="F17" s="3" t="s">
        <v>314</v>
      </c>
      <c r="G17" s="4">
        <v>43306.0</v>
      </c>
      <c r="H17" s="3" t="s">
        <v>312</v>
      </c>
      <c r="I17" s="3" t="s">
        <v>17</v>
      </c>
      <c r="J17" s="3" t="s">
        <v>18</v>
      </c>
      <c r="K17" s="3" t="s">
        <v>308</v>
      </c>
      <c r="L17" s="3" t="s">
        <v>20</v>
      </c>
      <c r="M17" s="3" t="s">
        <v>21</v>
      </c>
      <c r="N17" s="3">
        <v>1.0</v>
      </c>
    </row>
    <row r="18">
      <c r="A18" s="3" t="s">
        <v>368</v>
      </c>
      <c r="B18" s="3" t="s">
        <v>313</v>
      </c>
      <c r="C18" s="3" t="str">
        <f t="shared" si="1"/>
        <v>9000.00</v>
      </c>
      <c r="D18" s="5">
        <v>9000.0</v>
      </c>
      <c r="E18" s="3">
        <v>1.3002285800019E13</v>
      </c>
      <c r="F18" s="3" t="s">
        <v>370</v>
      </c>
      <c r="G18" s="4">
        <v>43342.0</v>
      </c>
      <c r="H18" s="3" t="s">
        <v>373</v>
      </c>
      <c r="I18" s="3" t="s">
        <v>17</v>
      </c>
      <c r="J18" s="3" t="s">
        <v>18</v>
      </c>
      <c r="K18" s="3" t="s">
        <v>372</v>
      </c>
      <c r="L18" s="3" t="s">
        <v>20</v>
      </c>
      <c r="M18" s="3" t="s">
        <v>21</v>
      </c>
      <c r="N18" s="3">
        <v>1.0</v>
      </c>
    </row>
    <row r="19">
      <c r="A19" s="3" t="s">
        <v>419</v>
      </c>
      <c r="B19" s="3" t="s">
        <v>420</v>
      </c>
      <c r="C19" s="3" t="str">
        <f t="shared" si="1"/>
        <v>87400.00</v>
      </c>
      <c r="D19" s="5">
        <v>87400.0</v>
      </c>
      <c r="E19" s="3">
        <v>3.0091783800025E13</v>
      </c>
      <c r="F19" s="3" t="s">
        <v>421</v>
      </c>
      <c r="G19" s="4">
        <v>43385.0</v>
      </c>
      <c r="H19" s="3" t="s">
        <v>16</v>
      </c>
      <c r="I19" s="3" t="s">
        <v>17</v>
      </c>
      <c r="J19" s="3" t="s">
        <v>18</v>
      </c>
      <c r="K19" s="3" t="s">
        <v>422</v>
      </c>
      <c r="L19" s="3" t="s">
        <v>20</v>
      </c>
      <c r="M19" s="3" t="s">
        <v>21</v>
      </c>
      <c r="N19" s="3">
        <v>1.0</v>
      </c>
    </row>
    <row r="20">
      <c r="A20" s="3" t="s">
        <v>368</v>
      </c>
      <c r="B20" s="3" t="s">
        <v>369</v>
      </c>
      <c r="C20" s="3" t="str">
        <f t="shared" si="1"/>
        <v>8500.00</v>
      </c>
      <c r="D20" s="5">
        <v>8500.0</v>
      </c>
      <c r="E20" s="3">
        <v>1.3002285800018E13</v>
      </c>
      <c r="F20" s="3" t="s">
        <v>370</v>
      </c>
      <c r="G20" s="4">
        <v>43342.0</v>
      </c>
      <c r="H20" s="3" t="s">
        <v>371</v>
      </c>
      <c r="I20" s="3" t="s">
        <v>17</v>
      </c>
      <c r="J20" s="3" t="s">
        <v>18</v>
      </c>
      <c r="K20" s="3" t="s">
        <v>372</v>
      </c>
      <c r="L20" s="3" t="s">
        <v>20</v>
      </c>
      <c r="M20" s="3" t="s">
        <v>21</v>
      </c>
      <c r="N20" s="3">
        <v>1.0</v>
      </c>
    </row>
    <row r="21">
      <c r="A21" s="3" t="s">
        <v>165</v>
      </c>
      <c r="B21" s="3" t="s">
        <v>166</v>
      </c>
      <c r="C21" s="3" t="str">
        <f t="shared" si="1"/>
        <v>8000.00</v>
      </c>
      <c r="D21" s="5">
        <v>8000.0</v>
      </c>
      <c r="E21" s="3">
        <v>8.33920077E8</v>
      </c>
      <c r="F21" s="3" t="s">
        <v>119</v>
      </c>
      <c r="G21" s="4">
        <v>43257.0</v>
      </c>
      <c r="H21" s="3" t="s">
        <v>120</v>
      </c>
      <c r="I21" s="3" t="s">
        <v>17</v>
      </c>
      <c r="J21" s="3" t="s">
        <v>18</v>
      </c>
      <c r="K21" s="3" t="s">
        <v>156</v>
      </c>
      <c r="L21" s="3" t="s">
        <v>20</v>
      </c>
      <c r="M21" s="3" t="s">
        <v>21</v>
      </c>
      <c r="N21" s="3">
        <v>1.0</v>
      </c>
    </row>
    <row r="22">
      <c r="A22" s="3" t="s">
        <v>173</v>
      </c>
      <c r="B22" s="3" t="s">
        <v>166</v>
      </c>
      <c r="C22" s="3" t="str">
        <f t="shared" si="1"/>
        <v>8000.00</v>
      </c>
      <c r="D22" s="5">
        <v>8000.0</v>
      </c>
      <c r="E22" s="3">
        <v>8.1141156E8</v>
      </c>
      <c r="F22" s="3" t="s">
        <v>119</v>
      </c>
      <c r="G22" s="4">
        <v>43263.0</v>
      </c>
      <c r="H22" s="3" t="s">
        <v>174</v>
      </c>
      <c r="I22" s="3" t="s">
        <v>17</v>
      </c>
      <c r="J22" s="3" t="s">
        <v>18</v>
      </c>
      <c r="K22" s="3" t="s">
        <v>175</v>
      </c>
      <c r="L22" s="3" t="s">
        <v>20</v>
      </c>
      <c r="M22" s="3" t="s">
        <v>21</v>
      </c>
      <c r="N22" s="3">
        <v>1.0</v>
      </c>
    </row>
    <row r="23">
      <c r="A23" s="3" t="s">
        <v>247</v>
      </c>
      <c r="B23" s="3" t="s">
        <v>166</v>
      </c>
      <c r="C23" s="3" t="str">
        <f t="shared" si="1"/>
        <v>8000.00</v>
      </c>
      <c r="D23" s="5">
        <v>8000.0</v>
      </c>
      <c r="E23" s="3">
        <v>5.24259363E8</v>
      </c>
      <c r="F23" s="3" t="s">
        <v>143</v>
      </c>
      <c r="G23" s="4">
        <v>43283.0</v>
      </c>
      <c r="H23" s="3" t="s">
        <v>230</v>
      </c>
      <c r="I23" s="3" t="s">
        <v>17</v>
      </c>
      <c r="J23" s="3" t="s">
        <v>18</v>
      </c>
      <c r="K23" s="3" t="s">
        <v>246</v>
      </c>
      <c r="L23" s="3" t="s">
        <v>20</v>
      </c>
      <c r="M23" s="3" t="s">
        <v>21</v>
      </c>
      <c r="N23" s="3">
        <v>1.0</v>
      </c>
    </row>
    <row r="24">
      <c r="A24" s="3" t="s">
        <v>389</v>
      </c>
      <c r="B24" s="3" t="s">
        <v>166</v>
      </c>
      <c r="C24" s="3" t="str">
        <f t="shared" si="1"/>
        <v>8000.00</v>
      </c>
      <c r="D24" s="5">
        <v>8000.0</v>
      </c>
      <c r="E24" s="3">
        <v>8.3176796700019E13</v>
      </c>
      <c r="F24" s="3" t="s">
        <v>275</v>
      </c>
      <c r="G24" s="4">
        <v>43353.0</v>
      </c>
      <c r="H24" s="3" t="s">
        <v>390</v>
      </c>
      <c r="I24" s="3" t="s">
        <v>17</v>
      </c>
      <c r="J24" s="3" t="s">
        <v>18</v>
      </c>
      <c r="K24" s="3" t="s">
        <v>383</v>
      </c>
      <c r="L24" s="3" t="s">
        <v>20</v>
      </c>
      <c r="M24" s="3" t="s">
        <v>21</v>
      </c>
      <c r="N24" s="3">
        <v>1.0</v>
      </c>
    </row>
    <row r="25">
      <c r="A25" s="3" t="s">
        <v>49</v>
      </c>
      <c r="B25" s="3" t="s">
        <v>50</v>
      </c>
      <c r="C25" s="3" t="str">
        <f t="shared" si="1"/>
        <v>7900.00</v>
      </c>
      <c r="D25" s="5">
        <v>7900.0</v>
      </c>
      <c r="E25" s="3">
        <v>3.06040312E8</v>
      </c>
      <c r="F25" s="3" t="s">
        <v>51</v>
      </c>
      <c r="G25" s="4">
        <v>43130.0</v>
      </c>
      <c r="H25" s="3" t="s">
        <v>16</v>
      </c>
      <c r="I25" s="3" t="s">
        <v>17</v>
      </c>
      <c r="J25" s="3" t="s">
        <v>18</v>
      </c>
      <c r="K25" s="3" t="s">
        <v>52</v>
      </c>
      <c r="L25" s="3" t="s">
        <v>20</v>
      </c>
      <c r="M25" s="3" t="s">
        <v>21</v>
      </c>
      <c r="N25" s="3">
        <v>1.0</v>
      </c>
    </row>
    <row r="26">
      <c r="A26" s="3" t="s">
        <v>65</v>
      </c>
      <c r="B26" s="3" t="s">
        <v>66</v>
      </c>
      <c r="C26" s="3" t="str">
        <f t="shared" si="1"/>
        <v>77000.00</v>
      </c>
      <c r="D26" s="5">
        <v>77000.0</v>
      </c>
      <c r="E26" s="3">
        <v>4.18921409E8</v>
      </c>
      <c r="F26" s="3" t="s">
        <v>67</v>
      </c>
      <c r="G26" s="4">
        <v>43143.0</v>
      </c>
      <c r="H26" s="3" t="s">
        <v>16</v>
      </c>
      <c r="I26" s="3" t="s">
        <v>17</v>
      </c>
      <c r="J26" s="3" t="s">
        <v>18</v>
      </c>
      <c r="K26" s="3" t="s">
        <v>68</v>
      </c>
      <c r="L26" s="3" t="s">
        <v>20</v>
      </c>
      <c r="M26" s="3" t="s">
        <v>21</v>
      </c>
      <c r="N26" s="3">
        <v>1.0</v>
      </c>
    </row>
    <row r="27">
      <c r="A27" s="3" t="s">
        <v>153</v>
      </c>
      <c r="B27" s="3" t="s">
        <v>154</v>
      </c>
      <c r="C27" s="3" t="str">
        <f t="shared" si="1"/>
        <v>7700.00</v>
      </c>
      <c r="D27" s="5">
        <v>7700.0</v>
      </c>
      <c r="E27" s="3">
        <v>4.44932446E8</v>
      </c>
      <c r="F27" s="3" t="s">
        <v>155</v>
      </c>
      <c r="G27" s="4">
        <v>43257.0</v>
      </c>
      <c r="H27" s="3" t="s">
        <v>120</v>
      </c>
      <c r="I27" s="3" t="s">
        <v>17</v>
      </c>
      <c r="J27" s="3" t="s">
        <v>18</v>
      </c>
      <c r="K27" s="3" t="s">
        <v>156</v>
      </c>
      <c r="L27" s="3" t="s">
        <v>20</v>
      </c>
      <c r="M27" s="3" t="s">
        <v>21</v>
      </c>
      <c r="N27" s="3">
        <v>1.0</v>
      </c>
    </row>
    <row r="28">
      <c r="A28" s="3" t="s">
        <v>401</v>
      </c>
      <c r="B28" s="3" t="s">
        <v>402</v>
      </c>
      <c r="C28" s="3" t="str">
        <f t="shared" si="1"/>
        <v>7500.00</v>
      </c>
      <c r="D28" s="5">
        <v>7500.0</v>
      </c>
      <c r="E28" s="3">
        <v>4.9322382000017E13</v>
      </c>
      <c r="F28" s="3" t="s">
        <v>403</v>
      </c>
      <c r="G28" s="4">
        <v>43364.0</v>
      </c>
      <c r="H28" s="3" t="s">
        <v>397</v>
      </c>
      <c r="I28" s="3" t="s">
        <v>17</v>
      </c>
      <c r="J28" s="3" t="s">
        <v>18</v>
      </c>
      <c r="K28" s="3" t="s">
        <v>404</v>
      </c>
      <c r="L28" s="3" t="s">
        <v>20</v>
      </c>
      <c r="M28" s="3" t="s">
        <v>21</v>
      </c>
      <c r="N28" s="3">
        <v>1.0</v>
      </c>
    </row>
    <row r="29">
      <c r="A29" s="3" t="s">
        <v>432</v>
      </c>
      <c r="B29" s="3" t="s">
        <v>433</v>
      </c>
      <c r="C29" s="3" t="str">
        <f t="shared" si="1"/>
        <v>72200.00</v>
      </c>
      <c r="D29" s="5">
        <v>72200.0</v>
      </c>
      <c r="E29" s="3">
        <v>8.2791162900018E13</v>
      </c>
      <c r="F29" s="3" t="s">
        <v>434</v>
      </c>
      <c r="G29" s="4">
        <v>43347.0</v>
      </c>
      <c r="H29" s="3" t="s">
        <v>16</v>
      </c>
      <c r="I29" s="3" t="s">
        <v>17</v>
      </c>
      <c r="J29" s="3" t="s">
        <v>18</v>
      </c>
      <c r="K29" s="3" t="s">
        <v>435</v>
      </c>
      <c r="L29" s="3" t="s">
        <v>20</v>
      </c>
      <c r="M29" s="3" t="s">
        <v>21</v>
      </c>
      <c r="N29" s="3">
        <v>1.0</v>
      </c>
    </row>
    <row r="30">
      <c r="A30" s="3" t="s">
        <v>224</v>
      </c>
      <c r="B30" s="3" t="s">
        <v>225</v>
      </c>
      <c r="C30" s="3" t="str">
        <f t="shared" si="1"/>
        <v>7190.00</v>
      </c>
      <c r="D30" s="5">
        <v>7190.0</v>
      </c>
      <c r="E30" s="3">
        <v>8.28195339E8</v>
      </c>
      <c r="F30" s="3" t="s">
        <v>220</v>
      </c>
      <c r="G30" s="4">
        <v>43264.0</v>
      </c>
      <c r="H30" s="3" t="s">
        <v>120</v>
      </c>
      <c r="I30" s="3" t="s">
        <v>17</v>
      </c>
      <c r="J30" s="3" t="s">
        <v>18</v>
      </c>
      <c r="K30" s="3" t="s">
        <v>226</v>
      </c>
      <c r="L30" s="3" t="s">
        <v>20</v>
      </c>
      <c r="M30" s="3" t="s">
        <v>21</v>
      </c>
      <c r="N30" s="3">
        <v>1.0</v>
      </c>
    </row>
    <row r="31">
      <c r="A31" s="3" t="s">
        <v>334</v>
      </c>
      <c r="B31" s="3" t="s">
        <v>335</v>
      </c>
      <c r="C31" s="3" t="str">
        <f t="shared" si="1"/>
        <v>7000.00</v>
      </c>
      <c r="D31" s="5">
        <v>7000.0</v>
      </c>
      <c r="E31" s="3">
        <v>4.1087071100083E13</v>
      </c>
      <c r="F31" s="3" t="s">
        <v>336</v>
      </c>
      <c r="G31" s="4">
        <v>43312.0</v>
      </c>
      <c r="H31" s="3" t="s">
        <v>337</v>
      </c>
      <c r="I31" s="3" t="s">
        <v>17</v>
      </c>
      <c r="J31" s="3" t="s">
        <v>18</v>
      </c>
      <c r="K31" s="3" t="s">
        <v>338</v>
      </c>
      <c r="L31" s="3" t="s">
        <v>20</v>
      </c>
      <c r="M31" s="3" t="s">
        <v>21</v>
      </c>
      <c r="N31" s="3">
        <v>1.0</v>
      </c>
    </row>
    <row r="32">
      <c r="A32" s="3" t="s">
        <v>99</v>
      </c>
      <c r="B32" s="3" t="s">
        <v>100</v>
      </c>
      <c r="C32" s="3" t="str">
        <f t="shared" si="1"/>
        <v>65000.00</v>
      </c>
      <c r="D32" s="5">
        <v>65000.0</v>
      </c>
      <c r="E32" s="3">
        <v>7.81843594E8</v>
      </c>
      <c r="F32" s="3" t="s">
        <v>101</v>
      </c>
      <c r="G32" s="4">
        <v>43182.0</v>
      </c>
      <c r="H32" s="3" t="s">
        <v>102</v>
      </c>
      <c r="I32" s="3" t="s">
        <v>17</v>
      </c>
      <c r="J32" s="3" t="s">
        <v>18</v>
      </c>
      <c r="K32" s="3" t="s">
        <v>103</v>
      </c>
      <c r="L32" s="3" t="s">
        <v>20</v>
      </c>
      <c r="M32" s="3" t="s">
        <v>21</v>
      </c>
      <c r="N32" s="3">
        <v>1.0</v>
      </c>
    </row>
    <row r="33">
      <c r="A33" s="3" t="s">
        <v>188</v>
      </c>
      <c r="B33" s="3" t="s">
        <v>189</v>
      </c>
      <c r="C33" s="3" t="str">
        <f t="shared" si="1"/>
        <v>6500.00</v>
      </c>
      <c r="D33" s="5">
        <v>6500.0</v>
      </c>
      <c r="E33" s="3">
        <v>4.22839365E8</v>
      </c>
      <c r="F33" s="3" t="s">
        <v>143</v>
      </c>
      <c r="G33" s="4">
        <v>43269.0</v>
      </c>
      <c r="H33" s="3" t="s">
        <v>190</v>
      </c>
      <c r="I33" s="3" t="s">
        <v>17</v>
      </c>
      <c r="J33" s="3" t="s">
        <v>18</v>
      </c>
      <c r="K33" s="3" t="s">
        <v>187</v>
      </c>
      <c r="L33" s="3" t="s">
        <v>20</v>
      </c>
      <c r="M33" s="3" t="s">
        <v>21</v>
      </c>
      <c r="N33" s="3">
        <v>1.0</v>
      </c>
    </row>
    <row r="34">
      <c r="A34" s="3" t="s">
        <v>78</v>
      </c>
      <c r="B34" s="3" t="s">
        <v>79</v>
      </c>
      <c r="C34" s="3" t="str">
        <f t="shared" si="1"/>
        <v>60000.00</v>
      </c>
      <c r="D34" s="5">
        <v>60000.0</v>
      </c>
      <c r="E34" s="3">
        <v>8.32333181E8</v>
      </c>
      <c r="F34" s="3" t="s">
        <v>80</v>
      </c>
      <c r="G34" s="4">
        <v>43161.0</v>
      </c>
      <c r="H34" s="3" t="s">
        <v>81</v>
      </c>
      <c r="I34" s="3" t="s">
        <v>17</v>
      </c>
      <c r="J34" s="3" t="s">
        <v>18</v>
      </c>
      <c r="K34" s="3" t="s">
        <v>77</v>
      </c>
      <c r="L34" s="3" t="s">
        <v>20</v>
      </c>
      <c r="M34" s="3" t="s">
        <v>21</v>
      </c>
      <c r="N34" s="3">
        <v>1.0</v>
      </c>
    </row>
    <row r="35">
      <c r="A35" s="3" t="s">
        <v>356</v>
      </c>
      <c r="B35" s="3" t="s">
        <v>79</v>
      </c>
      <c r="C35" s="3" t="str">
        <f t="shared" si="1"/>
        <v>60000.00</v>
      </c>
      <c r="D35" s="5">
        <v>60000.0</v>
      </c>
      <c r="E35" s="3">
        <v>3.0016423300037E13</v>
      </c>
      <c r="F35" s="3" t="s">
        <v>357</v>
      </c>
      <c r="G35" s="4">
        <v>43182.0</v>
      </c>
      <c r="H35" s="3" t="s">
        <v>16</v>
      </c>
      <c r="I35" s="3" t="s">
        <v>17</v>
      </c>
      <c r="J35" s="3" t="s">
        <v>18</v>
      </c>
      <c r="K35" s="3" t="s">
        <v>103</v>
      </c>
      <c r="L35" s="3" t="s">
        <v>20</v>
      </c>
      <c r="M35" s="3" t="s">
        <v>21</v>
      </c>
      <c r="N35" s="3">
        <v>1.0</v>
      </c>
    </row>
    <row r="36">
      <c r="A36" s="3" t="s">
        <v>406</v>
      </c>
      <c r="B36" s="3" t="s">
        <v>407</v>
      </c>
      <c r="C36" s="3" t="str">
        <f t="shared" si="1"/>
        <v>59400.00</v>
      </c>
      <c r="D36" s="5">
        <v>59400.0</v>
      </c>
      <c r="E36" s="3">
        <v>5.1779186900012E13</v>
      </c>
      <c r="F36" s="3" t="s">
        <v>408</v>
      </c>
      <c r="G36" s="4">
        <v>43306.0</v>
      </c>
      <c r="H36" s="3" t="s">
        <v>16</v>
      </c>
      <c r="I36" s="3" t="s">
        <v>17</v>
      </c>
      <c r="J36" s="3" t="s">
        <v>18</v>
      </c>
      <c r="K36" s="3" t="s">
        <v>308</v>
      </c>
      <c r="L36" s="3" t="s">
        <v>20</v>
      </c>
      <c r="M36" s="3" t="s">
        <v>21</v>
      </c>
      <c r="N36" s="3">
        <v>1.0</v>
      </c>
    </row>
    <row r="37">
      <c r="A37" s="3" t="s">
        <v>293</v>
      </c>
      <c r="B37" s="3" t="s">
        <v>294</v>
      </c>
      <c r="C37" s="3" t="str">
        <f t="shared" si="1"/>
        <v>58000.00</v>
      </c>
      <c r="D37" s="5">
        <v>58000.0</v>
      </c>
      <c r="E37" s="3">
        <v>3.9811228400011E13</v>
      </c>
      <c r="F37" s="3" t="s">
        <v>295</v>
      </c>
      <c r="G37" s="4">
        <v>43319.0</v>
      </c>
      <c r="H37" s="3" t="s">
        <v>296</v>
      </c>
      <c r="I37" s="3" t="s">
        <v>17</v>
      </c>
      <c r="J37" s="3" t="s">
        <v>18</v>
      </c>
      <c r="K37" s="3" t="s">
        <v>297</v>
      </c>
      <c r="L37" s="3" t="s">
        <v>20</v>
      </c>
      <c r="M37" s="3" t="s">
        <v>21</v>
      </c>
      <c r="N37" s="3">
        <v>1.0</v>
      </c>
    </row>
    <row r="38">
      <c r="A38" s="3" t="s">
        <v>221</v>
      </c>
      <c r="B38" s="3" t="s">
        <v>222</v>
      </c>
      <c r="C38" s="3" t="str">
        <f t="shared" si="1"/>
        <v>5800.00</v>
      </c>
      <c r="D38" s="5">
        <v>5800.0</v>
      </c>
      <c r="E38" s="3">
        <v>4.38269631E8</v>
      </c>
      <c r="F38" s="3" t="s">
        <v>220</v>
      </c>
      <c r="G38" s="4">
        <v>43270.0</v>
      </c>
      <c r="H38" s="3" t="s">
        <v>120</v>
      </c>
      <c r="I38" s="3" t="s">
        <v>17</v>
      </c>
      <c r="J38" s="3" t="s">
        <v>18</v>
      </c>
      <c r="K38" s="3" t="s">
        <v>223</v>
      </c>
      <c r="L38" s="3" t="s">
        <v>20</v>
      </c>
      <c r="M38" s="3" t="s">
        <v>21</v>
      </c>
      <c r="N38" s="3">
        <v>1.0</v>
      </c>
    </row>
    <row r="39">
      <c r="A39" s="3" t="s">
        <v>243</v>
      </c>
      <c r="B39" s="3" t="s">
        <v>244</v>
      </c>
      <c r="C39" s="3" t="str">
        <f t="shared" si="1"/>
        <v>57000.00</v>
      </c>
      <c r="D39" s="5">
        <v>57000.0</v>
      </c>
      <c r="E39" s="3">
        <v>4.7941474E8</v>
      </c>
      <c r="F39" s="3" t="s">
        <v>245</v>
      </c>
      <c r="G39" s="4">
        <v>43283.0</v>
      </c>
      <c r="H39" s="3" t="s">
        <v>16</v>
      </c>
      <c r="I39" s="3" t="s">
        <v>17</v>
      </c>
      <c r="J39" s="3" t="s">
        <v>18</v>
      </c>
      <c r="K39" s="3" t="s">
        <v>246</v>
      </c>
      <c r="L39" s="3" t="s">
        <v>20</v>
      </c>
      <c r="M39" s="3" t="s">
        <v>21</v>
      </c>
      <c r="N39" s="3">
        <v>1.0</v>
      </c>
    </row>
    <row r="40">
      <c r="A40" s="3" t="s">
        <v>298</v>
      </c>
      <c r="B40" s="3" t="s">
        <v>299</v>
      </c>
      <c r="C40" s="3" t="str">
        <f t="shared" si="1"/>
        <v>55000.00</v>
      </c>
      <c r="D40" s="5">
        <v>55000.0</v>
      </c>
      <c r="E40" s="3">
        <v>8.0077623900017E13</v>
      </c>
      <c r="F40" s="3" t="s">
        <v>300</v>
      </c>
      <c r="G40" s="4">
        <v>43318.0</v>
      </c>
      <c r="H40" s="3" t="s">
        <v>301</v>
      </c>
      <c r="I40" s="3" t="s">
        <v>17</v>
      </c>
      <c r="J40" s="3" t="s">
        <v>18</v>
      </c>
      <c r="K40" s="3" t="s">
        <v>302</v>
      </c>
      <c r="L40" s="3" t="s">
        <v>20</v>
      </c>
      <c r="M40" s="3" t="s">
        <v>21</v>
      </c>
      <c r="N40" s="3">
        <v>1.0</v>
      </c>
    </row>
    <row r="41">
      <c r="A41" s="3" t="s">
        <v>145</v>
      </c>
      <c r="B41" s="3" t="s">
        <v>299</v>
      </c>
      <c r="C41" s="3" t="str">
        <f t="shared" si="1"/>
        <v>55000.00</v>
      </c>
      <c r="D41" s="5">
        <v>55000.0</v>
      </c>
      <c r="E41" s="3">
        <v>4.3288382500031E13</v>
      </c>
      <c r="F41" s="3" t="s">
        <v>300</v>
      </c>
      <c r="G41" s="4">
        <v>43304.0</v>
      </c>
      <c r="H41" s="3" t="s">
        <v>322</v>
      </c>
      <c r="I41" s="3" t="s">
        <v>17</v>
      </c>
      <c r="J41" s="3" t="s">
        <v>18</v>
      </c>
      <c r="K41" s="3" t="s">
        <v>321</v>
      </c>
      <c r="L41" s="3" t="s">
        <v>20</v>
      </c>
      <c r="M41" s="3" t="s">
        <v>21</v>
      </c>
      <c r="N41" s="3">
        <v>1.0</v>
      </c>
    </row>
    <row r="42">
      <c r="A42" s="3" t="s">
        <v>289</v>
      </c>
      <c r="B42" s="3" t="s">
        <v>299</v>
      </c>
      <c r="C42" s="3" t="str">
        <f t="shared" si="1"/>
        <v>55000.00</v>
      </c>
      <c r="D42" s="5">
        <v>55000.0</v>
      </c>
      <c r="E42" s="3">
        <v>8.0127651000011E13</v>
      </c>
      <c r="F42" s="3" t="s">
        <v>300</v>
      </c>
      <c r="G42" s="4">
        <v>43356.0</v>
      </c>
      <c r="H42" s="3" t="s">
        <v>409</v>
      </c>
      <c r="I42" s="3" t="s">
        <v>17</v>
      </c>
      <c r="J42" s="3" t="s">
        <v>18</v>
      </c>
      <c r="K42" s="3" t="s">
        <v>410</v>
      </c>
      <c r="L42" s="3" t="s">
        <v>20</v>
      </c>
      <c r="M42" s="3" t="s">
        <v>21</v>
      </c>
      <c r="N42" s="3">
        <v>1.0</v>
      </c>
    </row>
    <row r="43">
      <c r="A43" s="3" t="s">
        <v>249</v>
      </c>
      <c r="B43" s="3" t="s">
        <v>250</v>
      </c>
      <c r="C43" s="3" t="str">
        <f t="shared" si="1"/>
        <v>54000.00</v>
      </c>
      <c r="D43" s="5">
        <v>54000.0</v>
      </c>
      <c r="E43" s="3">
        <v>4.8237148100029E13</v>
      </c>
      <c r="F43" s="3" t="s">
        <v>132</v>
      </c>
      <c r="G43" s="4">
        <v>43264.0</v>
      </c>
      <c r="H43" s="3" t="s">
        <v>251</v>
      </c>
      <c r="I43" s="3" t="s">
        <v>17</v>
      </c>
      <c r="J43" s="3" t="s">
        <v>18</v>
      </c>
      <c r="K43" s="3" t="s">
        <v>226</v>
      </c>
      <c r="L43" s="3" t="s">
        <v>20</v>
      </c>
      <c r="M43" s="3" t="s">
        <v>21</v>
      </c>
      <c r="N43" s="3">
        <v>1.0</v>
      </c>
    </row>
    <row r="44">
      <c r="A44" s="3" t="s">
        <v>285</v>
      </c>
      <c r="B44" s="3" t="s">
        <v>286</v>
      </c>
      <c r="C44" s="3" t="str">
        <f t="shared" si="1"/>
        <v>52500.00</v>
      </c>
      <c r="D44" s="5">
        <v>52500.0</v>
      </c>
      <c r="E44" s="3">
        <v>3.8956456800027E13</v>
      </c>
      <c r="F44" s="3" t="s">
        <v>287</v>
      </c>
      <c r="G44" s="4">
        <v>43252.0</v>
      </c>
      <c r="H44" s="3" t="s">
        <v>288</v>
      </c>
      <c r="I44" s="3" t="s">
        <v>17</v>
      </c>
      <c r="J44" s="3" t="s">
        <v>18</v>
      </c>
      <c r="K44" s="3" t="s">
        <v>134</v>
      </c>
      <c r="L44" s="3" t="s">
        <v>20</v>
      </c>
      <c r="M44" s="3" t="s">
        <v>21</v>
      </c>
      <c r="N44" s="3">
        <v>1.0</v>
      </c>
    </row>
    <row r="45">
      <c r="A45" s="3" t="s">
        <v>200</v>
      </c>
      <c r="B45" s="3" t="s">
        <v>201</v>
      </c>
      <c r="C45" s="3" t="str">
        <f t="shared" si="1"/>
        <v>50000.00</v>
      </c>
      <c r="D45" s="5">
        <v>50000.0</v>
      </c>
      <c r="E45" s="3">
        <v>3.79140221E8</v>
      </c>
      <c r="F45" s="3" t="s">
        <v>143</v>
      </c>
      <c r="G45" s="4">
        <v>43269.0</v>
      </c>
      <c r="H45" s="3" t="s">
        <v>202</v>
      </c>
      <c r="I45" s="3" t="s">
        <v>17</v>
      </c>
      <c r="J45" s="3" t="s">
        <v>18</v>
      </c>
      <c r="K45" s="3" t="s">
        <v>187</v>
      </c>
      <c r="L45" s="3" t="s">
        <v>20</v>
      </c>
      <c r="M45" s="3" t="s">
        <v>21</v>
      </c>
      <c r="N45" s="3">
        <v>1.0</v>
      </c>
    </row>
    <row r="46">
      <c r="A46" s="3" t="s">
        <v>182</v>
      </c>
      <c r="B46" s="3" t="s">
        <v>201</v>
      </c>
      <c r="C46" s="3" t="str">
        <f t="shared" si="1"/>
        <v>50000.00</v>
      </c>
      <c r="D46" s="5">
        <v>50000.0</v>
      </c>
      <c r="E46" s="3">
        <v>4.515460970001E13</v>
      </c>
      <c r="F46" s="3" t="s">
        <v>436</v>
      </c>
      <c r="G46" s="4">
        <v>43417.0</v>
      </c>
      <c r="H46" s="3" t="s">
        <v>437</v>
      </c>
      <c r="I46" s="3" t="s">
        <v>17</v>
      </c>
      <c r="J46" s="3" t="s">
        <v>18</v>
      </c>
      <c r="K46" s="3" t="s">
        <v>438</v>
      </c>
      <c r="L46" s="3" t="s">
        <v>20</v>
      </c>
      <c r="M46" s="3" t="s">
        <v>21</v>
      </c>
      <c r="N46" s="3">
        <v>1.0</v>
      </c>
    </row>
    <row r="47">
      <c r="A47" s="3" t="s">
        <v>32</v>
      </c>
      <c r="B47" s="3" t="s">
        <v>33</v>
      </c>
      <c r="C47" s="3" t="str">
        <f t="shared" si="1"/>
        <v>5000.00</v>
      </c>
      <c r="D47" s="5">
        <v>5000.0</v>
      </c>
      <c r="E47" s="3">
        <v>4.34066577E8</v>
      </c>
      <c r="F47" s="3" t="s">
        <v>34</v>
      </c>
      <c r="G47" s="4">
        <v>43077.0</v>
      </c>
      <c r="H47" s="3" t="s">
        <v>16</v>
      </c>
      <c r="I47" s="3" t="s">
        <v>17</v>
      </c>
      <c r="J47" s="3" t="s">
        <v>18</v>
      </c>
      <c r="K47" s="3" t="s">
        <v>35</v>
      </c>
      <c r="L47" s="3" t="s">
        <v>20</v>
      </c>
      <c r="M47" s="3" t="s">
        <v>21</v>
      </c>
      <c r="N47" s="3">
        <v>1.0</v>
      </c>
    </row>
    <row r="48">
      <c r="A48" s="3" t="s">
        <v>139</v>
      </c>
      <c r="B48" s="3" t="s">
        <v>33</v>
      </c>
      <c r="C48" s="3" t="str">
        <f t="shared" si="1"/>
        <v>5000.00</v>
      </c>
      <c r="D48" s="5">
        <v>5000.0</v>
      </c>
      <c r="E48" s="3">
        <v>4.80293711E8</v>
      </c>
      <c r="F48" s="3" t="s">
        <v>140</v>
      </c>
      <c r="G48" s="4">
        <v>43252.0</v>
      </c>
      <c r="H48" s="3" t="s">
        <v>141</v>
      </c>
      <c r="I48" s="3" t="s">
        <v>17</v>
      </c>
      <c r="J48" s="3" t="s">
        <v>18</v>
      </c>
      <c r="K48" s="3" t="s">
        <v>134</v>
      </c>
      <c r="L48" s="3" t="s">
        <v>20</v>
      </c>
      <c r="M48" s="3" t="s">
        <v>21</v>
      </c>
      <c r="N48" s="3">
        <v>1.0</v>
      </c>
    </row>
    <row r="49">
      <c r="A49" s="3" t="s">
        <v>145</v>
      </c>
      <c r="B49" s="3" t="s">
        <v>33</v>
      </c>
      <c r="C49" s="3" t="str">
        <f t="shared" si="1"/>
        <v>5000.00</v>
      </c>
      <c r="D49" s="5">
        <v>5000.0</v>
      </c>
      <c r="E49" s="3">
        <v>4.32883825E8</v>
      </c>
      <c r="F49" s="3" t="s">
        <v>146</v>
      </c>
      <c r="G49" s="4">
        <v>43251.0</v>
      </c>
      <c r="H49" s="3" t="s">
        <v>16</v>
      </c>
      <c r="I49" s="3" t="s">
        <v>17</v>
      </c>
      <c r="J49" s="3" t="s">
        <v>18</v>
      </c>
      <c r="K49" s="3" t="s">
        <v>147</v>
      </c>
      <c r="L49" s="3" t="s">
        <v>20</v>
      </c>
      <c r="M49" s="3" t="s">
        <v>21</v>
      </c>
      <c r="N49" s="3">
        <v>1.0</v>
      </c>
    </row>
    <row r="50">
      <c r="A50" s="3" t="s">
        <v>164</v>
      </c>
      <c r="B50" s="3" t="s">
        <v>33</v>
      </c>
      <c r="C50" s="3" t="str">
        <f t="shared" si="1"/>
        <v>5000.00</v>
      </c>
      <c r="D50" s="5">
        <v>5000.0</v>
      </c>
      <c r="E50" s="3">
        <v>4.52274798E8</v>
      </c>
      <c r="F50" s="3" t="s">
        <v>119</v>
      </c>
      <c r="G50" s="4">
        <v>43250.0</v>
      </c>
      <c r="H50" s="3" t="s">
        <v>120</v>
      </c>
      <c r="I50" s="3" t="s">
        <v>17</v>
      </c>
      <c r="J50" s="3" t="s">
        <v>18</v>
      </c>
      <c r="K50" s="3" t="s">
        <v>128</v>
      </c>
      <c r="L50" s="3" t="s">
        <v>20</v>
      </c>
      <c r="M50" s="3" t="s">
        <v>21</v>
      </c>
      <c r="N50" s="3">
        <v>1.0</v>
      </c>
    </row>
    <row r="51">
      <c r="A51" s="3" t="s">
        <v>186</v>
      </c>
      <c r="B51" s="3" t="s">
        <v>33</v>
      </c>
      <c r="C51" s="3" t="str">
        <f t="shared" si="1"/>
        <v>5000.00</v>
      </c>
      <c r="D51" s="5">
        <v>5000.0</v>
      </c>
      <c r="E51" s="3">
        <v>8.10971283E8</v>
      </c>
      <c r="F51" s="3" t="s">
        <v>119</v>
      </c>
      <c r="G51" s="4">
        <v>43269.0</v>
      </c>
      <c r="H51" s="3" t="s">
        <v>120</v>
      </c>
      <c r="I51" s="3" t="s">
        <v>17</v>
      </c>
      <c r="J51" s="3" t="s">
        <v>18</v>
      </c>
      <c r="K51" s="3" t="s">
        <v>187</v>
      </c>
      <c r="L51" s="3" t="s">
        <v>20</v>
      </c>
      <c r="M51" s="3" t="s">
        <v>21</v>
      </c>
      <c r="N51" s="3">
        <v>1.0</v>
      </c>
    </row>
    <row r="52">
      <c r="A52" s="3" t="s">
        <v>318</v>
      </c>
      <c r="B52" s="3" t="s">
        <v>33</v>
      </c>
      <c r="C52" s="3" t="str">
        <f t="shared" si="1"/>
        <v>5000.00</v>
      </c>
      <c r="D52" s="5">
        <v>5000.0</v>
      </c>
      <c r="E52" s="3">
        <v>8.2138441900015E13</v>
      </c>
      <c r="F52" s="3" t="s">
        <v>303</v>
      </c>
      <c r="G52" s="4">
        <v>43298.0</v>
      </c>
      <c r="H52" s="3" t="s">
        <v>312</v>
      </c>
      <c r="I52" s="3" t="s">
        <v>17</v>
      </c>
      <c r="J52" s="3" t="s">
        <v>18</v>
      </c>
      <c r="K52" s="3" t="s">
        <v>317</v>
      </c>
      <c r="L52" s="3" t="s">
        <v>20</v>
      </c>
      <c r="M52" s="3" t="s">
        <v>21</v>
      </c>
      <c r="N52" s="3">
        <v>1.0</v>
      </c>
    </row>
    <row r="53">
      <c r="A53" s="3" t="s">
        <v>203</v>
      </c>
      <c r="B53" s="3" t="s">
        <v>33</v>
      </c>
      <c r="C53" s="3" t="str">
        <f t="shared" si="1"/>
        <v>5000.00</v>
      </c>
      <c r="D53" s="5">
        <v>5000.0</v>
      </c>
      <c r="E53" s="3">
        <v>3.5221687300211E13</v>
      </c>
      <c r="F53" s="3" t="s">
        <v>336</v>
      </c>
      <c r="G53" s="4">
        <v>43312.0</v>
      </c>
      <c r="H53" s="3" t="s">
        <v>337</v>
      </c>
      <c r="I53" s="3" t="s">
        <v>17</v>
      </c>
      <c r="J53" s="3" t="s">
        <v>48</v>
      </c>
      <c r="K53" s="3" t="s">
        <v>338</v>
      </c>
      <c r="L53" s="3" t="s">
        <v>20</v>
      </c>
      <c r="M53" s="3" t="s">
        <v>21</v>
      </c>
      <c r="N53" s="3">
        <v>1.0</v>
      </c>
    </row>
    <row r="54">
      <c r="A54" s="3" t="s">
        <v>95</v>
      </c>
      <c r="B54" s="3" t="s">
        <v>96</v>
      </c>
      <c r="C54" s="3" t="str">
        <f t="shared" si="1"/>
        <v>49000.00</v>
      </c>
      <c r="D54" s="5">
        <v>49000.0</v>
      </c>
      <c r="E54" s="3">
        <v>3.98191569E8</v>
      </c>
      <c r="F54" s="3" t="s">
        <v>97</v>
      </c>
      <c r="G54" s="4">
        <v>43124.0</v>
      </c>
      <c r="H54" s="3" t="s">
        <v>16</v>
      </c>
      <c r="I54" s="3" t="s">
        <v>17</v>
      </c>
      <c r="J54" s="3" t="s">
        <v>18</v>
      </c>
      <c r="K54" s="3" t="s">
        <v>98</v>
      </c>
      <c r="L54" s="3" t="s">
        <v>20</v>
      </c>
      <c r="M54" s="3" t="s">
        <v>21</v>
      </c>
      <c r="N54" s="3">
        <v>1.0</v>
      </c>
    </row>
    <row r="55">
      <c r="A55" s="3" t="s">
        <v>191</v>
      </c>
      <c r="B55" s="3" t="s">
        <v>192</v>
      </c>
      <c r="C55" s="3" t="str">
        <f t="shared" si="1"/>
        <v>47500.00</v>
      </c>
      <c r="D55" s="5">
        <v>47500.0</v>
      </c>
      <c r="E55" s="3">
        <v>3.78090633E8</v>
      </c>
      <c r="F55" s="3" t="s">
        <v>143</v>
      </c>
      <c r="G55" s="4">
        <v>43269.0</v>
      </c>
      <c r="H55" s="3" t="s">
        <v>193</v>
      </c>
      <c r="I55" s="3" t="s">
        <v>17</v>
      </c>
      <c r="J55" s="3" t="s">
        <v>18</v>
      </c>
      <c r="K55" s="3" t="s">
        <v>187</v>
      </c>
      <c r="L55" s="3" t="s">
        <v>20</v>
      </c>
      <c r="M55" s="3" t="s">
        <v>21</v>
      </c>
      <c r="N55" s="3">
        <v>1.0</v>
      </c>
    </row>
    <row r="56">
      <c r="A56" s="3" t="s">
        <v>216</v>
      </c>
      <c r="B56" s="3" t="s">
        <v>192</v>
      </c>
      <c r="C56" s="3" t="str">
        <f t="shared" si="1"/>
        <v>47500.00</v>
      </c>
      <c r="D56" s="5">
        <v>47500.0</v>
      </c>
      <c r="E56" s="3">
        <v>4.21985235E8</v>
      </c>
      <c r="F56" s="3" t="s">
        <v>217</v>
      </c>
      <c r="G56" s="4">
        <v>43271.0</v>
      </c>
      <c r="H56" s="3" t="s">
        <v>16</v>
      </c>
      <c r="I56" s="3" t="s">
        <v>17</v>
      </c>
      <c r="J56" s="3" t="s">
        <v>18</v>
      </c>
      <c r="K56" s="3" t="s">
        <v>213</v>
      </c>
      <c r="L56" s="3" t="s">
        <v>20</v>
      </c>
      <c r="M56" s="3" t="s">
        <v>21</v>
      </c>
      <c r="N56" s="3">
        <v>1.0</v>
      </c>
    </row>
    <row r="57">
      <c r="A57" s="3" t="s">
        <v>442</v>
      </c>
      <c r="B57" s="3" t="s">
        <v>447</v>
      </c>
      <c r="C57" s="3" t="str">
        <f t="shared" si="1"/>
        <v>46318.00</v>
      </c>
      <c r="D57" s="5">
        <v>46318.0</v>
      </c>
      <c r="E57" s="3">
        <v>5.2539664400011E13</v>
      </c>
      <c r="F57" s="3" t="s">
        <v>443</v>
      </c>
      <c r="G57" s="4">
        <v>43418.0</v>
      </c>
      <c r="H57" s="3" t="s">
        <v>312</v>
      </c>
      <c r="I57" s="3" t="s">
        <v>17</v>
      </c>
      <c r="J57" s="3" t="s">
        <v>18</v>
      </c>
      <c r="K57" s="3" t="s">
        <v>445</v>
      </c>
      <c r="L57" s="3" t="s">
        <v>20</v>
      </c>
      <c r="M57" s="3" t="s">
        <v>21</v>
      </c>
      <c r="N57" s="3">
        <v>1.0</v>
      </c>
    </row>
    <row r="58">
      <c r="A58" s="3" t="s">
        <v>203</v>
      </c>
      <c r="B58" s="3" t="s">
        <v>204</v>
      </c>
      <c r="C58" s="3" t="str">
        <f t="shared" si="1"/>
        <v>45000.00</v>
      </c>
      <c r="D58" s="5">
        <v>45000.0</v>
      </c>
      <c r="E58" s="3">
        <v>3.52216873E8</v>
      </c>
      <c r="F58" s="3" t="s">
        <v>132</v>
      </c>
      <c r="G58" s="4">
        <v>43269.0</v>
      </c>
      <c r="H58" s="3" t="s">
        <v>205</v>
      </c>
      <c r="I58" s="3" t="s">
        <v>17</v>
      </c>
      <c r="J58" s="3" t="s">
        <v>18</v>
      </c>
      <c r="K58" s="3" t="s">
        <v>187</v>
      </c>
      <c r="L58" s="3" t="s">
        <v>20</v>
      </c>
      <c r="M58" s="3" t="s">
        <v>21</v>
      </c>
      <c r="N58" s="3">
        <v>1.0</v>
      </c>
    </row>
    <row r="59">
      <c r="A59" s="3" t="s">
        <v>238</v>
      </c>
      <c r="B59" s="3" t="s">
        <v>204</v>
      </c>
      <c r="C59" s="3" t="str">
        <f t="shared" si="1"/>
        <v>45000.00</v>
      </c>
      <c r="D59" s="5">
        <v>45000.0</v>
      </c>
      <c r="E59" s="3">
        <v>3.49753467E8</v>
      </c>
      <c r="F59" s="3" t="s">
        <v>239</v>
      </c>
      <c r="G59" s="4">
        <v>43279.0</v>
      </c>
      <c r="H59" s="3" t="s">
        <v>16</v>
      </c>
      <c r="I59" s="3" t="s">
        <v>17</v>
      </c>
      <c r="J59" s="3" t="s">
        <v>18</v>
      </c>
      <c r="K59" s="3" t="s">
        <v>237</v>
      </c>
      <c r="L59" s="3" t="s">
        <v>20</v>
      </c>
      <c r="M59" s="3" t="s">
        <v>21</v>
      </c>
      <c r="N59" s="3">
        <v>1.0</v>
      </c>
    </row>
    <row r="60">
      <c r="A60" s="3" t="s">
        <v>61</v>
      </c>
      <c r="B60" s="3" t="s">
        <v>62</v>
      </c>
      <c r="C60" s="3" t="str">
        <f t="shared" si="1"/>
        <v>4372007.00</v>
      </c>
      <c r="D60" s="5">
        <v>4372007.0</v>
      </c>
      <c r="E60" s="3">
        <v>7.81814488E8</v>
      </c>
      <c r="F60" s="3" t="s">
        <v>63</v>
      </c>
      <c r="G60" s="4">
        <v>43136.0</v>
      </c>
      <c r="H60" s="3" t="s">
        <v>16</v>
      </c>
      <c r="I60" s="3" t="s">
        <v>17</v>
      </c>
      <c r="J60" s="3" t="s">
        <v>18</v>
      </c>
      <c r="K60" s="3" t="s">
        <v>64</v>
      </c>
      <c r="L60" s="3" t="s">
        <v>20</v>
      </c>
      <c r="M60" s="3" t="s">
        <v>21</v>
      </c>
      <c r="N60" s="3">
        <v>1.0</v>
      </c>
    </row>
    <row r="61">
      <c r="A61" s="3" t="s">
        <v>136</v>
      </c>
      <c r="B61" s="3" t="s">
        <v>137</v>
      </c>
      <c r="C61" s="3" t="str">
        <f t="shared" si="1"/>
        <v>42750.00</v>
      </c>
      <c r="D61" s="5">
        <v>42750.0</v>
      </c>
      <c r="E61" s="3">
        <v>5.22896091E8</v>
      </c>
      <c r="F61" s="3" t="s">
        <v>132</v>
      </c>
      <c r="G61" s="4">
        <v>43255.0</v>
      </c>
      <c r="H61" s="3" t="s">
        <v>133</v>
      </c>
      <c r="I61" s="3" t="s">
        <v>17</v>
      </c>
      <c r="J61" s="3" t="s">
        <v>18</v>
      </c>
      <c r="K61" s="3" t="s">
        <v>138</v>
      </c>
      <c r="L61" s="3" t="s">
        <v>20</v>
      </c>
      <c r="M61" s="3" t="s">
        <v>21</v>
      </c>
      <c r="N61" s="3">
        <v>1.0</v>
      </c>
    </row>
    <row r="62">
      <c r="A62" s="3" t="s">
        <v>269</v>
      </c>
      <c r="B62" s="3" t="s">
        <v>270</v>
      </c>
      <c r="C62" s="3" t="str">
        <f t="shared" si="1"/>
        <v>42700.00</v>
      </c>
      <c r="D62" s="5">
        <v>42700.0</v>
      </c>
      <c r="E62" s="3">
        <v>4.2971672300011E13</v>
      </c>
      <c r="F62" s="3" t="s">
        <v>271</v>
      </c>
      <c r="G62" s="4">
        <v>43299.0</v>
      </c>
      <c r="H62" s="3" t="s">
        <v>272</v>
      </c>
      <c r="I62" s="3" t="s">
        <v>17</v>
      </c>
      <c r="J62" s="3" t="s">
        <v>18</v>
      </c>
      <c r="K62" s="3" t="s">
        <v>273</v>
      </c>
      <c r="L62" s="3" t="s">
        <v>20</v>
      </c>
      <c r="M62" s="3" t="s">
        <v>21</v>
      </c>
      <c r="N62" s="3">
        <v>1.0</v>
      </c>
    </row>
    <row r="63">
      <c r="A63" s="3" t="s">
        <v>305</v>
      </c>
      <c r="B63" s="3" t="s">
        <v>306</v>
      </c>
      <c r="C63" s="3" t="str">
        <f t="shared" si="1"/>
        <v>420000.00</v>
      </c>
      <c r="D63" s="5">
        <v>420000.0</v>
      </c>
      <c r="E63" s="3">
        <v>3.7781852100025E13</v>
      </c>
      <c r="F63" s="3" t="s">
        <v>307</v>
      </c>
      <c r="G63" s="4">
        <v>43306.0</v>
      </c>
      <c r="H63" s="3" t="s">
        <v>16</v>
      </c>
      <c r="I63" s="3" t="s">
        <v>17</v>
      </c>
      <c r="J63" s="3" t="s">
        <v>18</v>
      </c>
      <c r="K63" s="3" t="s">
        <v>308</v>
      </c>
      <c r="L63" s="3" t="s">
        <v>20</v>
      </c>
      <c r="M63" s="3" t="s">
        <v>21</v>
      </c>
      <c r="N63" s="3">
        <v>1.0</v>
      </c>
    </row>
    <row r="64">
      <c r="A64" s="3" t="s">
        <v>182</v>
      </c>
      <c r="B64" s="3" t="s">
        <v>257</v>
      </c>
      <c r="C64" s="3" t="str">
        <f t="shared" si="1"/>
        <v>41000.00</v>
      </c>
      <c r="D64" s="5">
        <v>41000.0</v>
      </c>
      <c r="E64" s="3">
        <v>4.515469700001E13</v>
      </c>
      <c r="F64" s="3" t="s">
        <v>132</v>
      </c>
      <c r="G64" s="4">
        <v>43286.0</v>
      </c>
      <c r="H64" s="3" t="s">
        <v>258</v>
      </c>
      <c r="I64" s="3" t="s">
        <v>17</v>
      </c>
      <c r="J64" s="3" t="s">
        <v>18</v>
      </c>
      <c r="K64" s="3" t="s">
        <v>259</v>
      </c>
      <c r="L64" s="3" t="s">
        <v>20</v>
      </c>
      <c r="M64" s="3" t="s">
        <v>21</v>
      </c>
      <c r="N64" s="3">
        <v>1.0</v>
      </c>
    </row>
    <row r="65">
      <c r="A65" s="3" t="s">
        <v>179</v>
      </c>
      <c r="B65" s="3" t="s">
        <v>180</v>
      </c>
      <c r="C65" s="3" t="str">
        <f t="shared" si="1"/>
        <v>407253.00</v>
      </c>
      <c r="D65" s="5">
        <v>407253.0</v>
      </c>
      <c r="E65" s="3">
        <v>3.21237034E8</v>
      </c>
      <c r="F65" s="3" t="s">
        <v>181</v>
      </c>
      <c r="G65" s="4">
        <v>43259.0</v>
      </c>
      <c r="H65" s="3" t="s">
        <v>16</v>
      </c>
      <c r="I65" s="3" t="s">
        <v>17</v>
      </c>
      <c r="J65" s="3" t="s">
        <v>18</v>
      </c>
      <c r="K65" s="3" t="s">
        <v>172</v>
      </c>
      <c r="L65" s="3" t="s">
        <v>20</v>
      </c>
      <c r="M65" s="3" t="s">
        <v>21</v>
      </c>
      <c r="N65" s="3">
        <v>1.0</v>
      </c>
    </row>
    <row r="66">
      <c r="A66" s="3" t="s">
        <v>36</v>
      </c>
      <c r="B66" s="3" t="s">
        <v>37</v>
      </c>
      <c r="C66" s="3" t="str">
        <f t="shared" si="1"/>
        <v>40000.00</v>
      </c>
      <c r="D66" s="5">
        <v>40000.0</v>
      </c>
      <c r="E66" s="3">
        <v>4.89563072E8</v>
      </c>
      <c r="F66" s="3" t="s">
        <v>38</v>
      </c>
      <c r="G66" s="4">
        <v>43133.0</v>
      </c>
      <c r="H66" s="3" t="s">
        <v>39</v>
      </c>
      <c r="I66" s="3" t="s">
        <v>17</v>
      </c>
      <c r="J66" s="3" t="s">
        <v>18</v>
      </c>
      <c r="K66" s="3" t="s">
        <v>40</v>
      </c>
      <c r="L66" s="3" t="s">
        <v>20</v>
      </c>
      <c r="M66" s="3" t="s">
        <v>21</v>
      </c>
      <c r="N66" s="3">
        <v>1.0</v>
      </c>
    </row>
    <row r="67">
      <c r="A67" s="3" t="s">
        <v>227</v>
      </c>
      <c r="B67" s="3" t="s">
        <v>37</v>
      </c>
      <c r="C67" s="3" t="str">
        <f t="shared" si="1"/>
        <v>40000.00</v>
      </c>
      <c r="D67" s="5">
        <v>40000.0</v>
      </c>
      <c r="E67" s="3">
        <v>3.4169319E8</v>
      </c>
      <c r="F67" s="3" t="s">
        <v>220</v>
      </c>
      <c r="G67" s="4">
        <v>43269.0</v>
      </c>
      <c r="H67" s="3" t="s">
        <v>120</v>
      </c>
      <c r="I67" s="3" t="s">
        <v>17</v>
      </c>
      <c r="J67" s="3" t="s">
        <v>18</v>
      </c>
      <c r="K67" s="3" t="s">
        <v>187</v>
      </c>
      <c r="L67" s="3" t="s">
        <v>20</v>
      </c>
      <c r="M67" s="3" t="s">
        <v>21</v>
      </c>
      <c r="N67" s="3">
        <v>1.0</v>
      </c>
    </row>
    <row r="68">
      <c r="A68" s="3" t="s">
        <v>263</v>
      </c>
      <c r="B68" s="3" t="s">
        <v>37</v>
      </c>
      <c r="C68" s="3" t="str">
        <f t="shared" si="1"/>
        <v>40000.00</v>
      </c>
      <c r="D68" s="5">
        <v>40000.0</v>
      </c>
      <c r="E68" s="3">
        <v>8.2343035000012E13</v>
      </c>
      <c r="F68" s="3" t="s">
        <v>260</v>
      </c>
      <c r="G68" s="4">
        <v>43280.0</v>
      </c>
      <c r="H68" s="3" t="s">
        <v>264</v>
      </c>
      <c r="I68" s="3" t="s">
        <v>17</v>
      </c>
      <c r="J68" s="3" t="s">
        <v>18</v>
      </c>
      <c r="K68" s="3" t="s">
        <v>265</v>
      </c>
      <c r="L68" s="3" t="s">
        <v>20</v>
      </c>
      <c r="M68" s="3" t="s">
        <v>21</v>
      </c>
      <c r="N68" s="3">
        <v>1.0</v>
      </c>
    </row>
    <row r="69">
      <c r="A69" s="3" t="s">
        <v>323</v>
      </c>
      <c r="B69" s="3" t="s">
        <v>339</v>
      </c>
      <c r="C69" s="3" t="str">
        <f t="shared" si="1"/>
        <v>4000.00</v>
      </c>
      <c r="D69" s="5">
        <v>4000.0</v>
      </c>
      <c r="E69" s="3">
        <v>5.3454877100037E13</v>
      </c>
      <c r="F69" s="3" t="s">
        <v>336</v>
      </c>
      <c r="G69" s="4">
        <v>43311.0</v>
      </c>
      <c r="H69" s="3" t="s">
        <v>337</v>
      </c>
      <c r="I69" s="3" t="s">
        <v>17</v>
      </c>
      <c r="J69" s="3" t="s">
        <v>48</v>
      </c>
      <c r="K69" s="3" t="s">
        <v>340</v>
      </c>
      <c r="L69" s="3" t="s">
        <v>20</v>
      </c>
      <c r="M69" s="3" t="s">
        <v>21</v>
      </c>
      <c r="N69" s="3">
        <v>1.0</v>
      </c>
    </row>
    <row r="70">
      <c r="A70" s="3" t="s">
        <v>249</v>
      </c>
      <c r="B70" s="3" t="s">
        <v>339</v>
      </c>
      <c r="C70" s="3" t="str">
        <f t="shared" si="1"/>
        <v>4000.00</v>
      </c>
      <c r="D70" s="5">
        <v>4000.0</v>
      </c>
      <c r="E70" s="3">
        <v>4.8237148100029E13</v>
      </c>
      <c r="F70" s="3" t="s">
        <v>399</v>
      </c>
      <c r="G70" s="4">
        <v>43368.0</v>
      </c>
      <c r="H70" s="3" t="s">
        <v>337</v>
      </c>
      <c r="I70" s="3" t="s">
        <v>17</v>
      </c>
      <c r="J70" s="3" t="s">
        <v>48</v>
      </c>
      <c r="K70" s="3" t="s">
        <v>400</v>
      </c>
      <c r="L70" s="3" t="s">
        <v>20</v>
      </c>
      <c r="M70" s="3" t="s">
        <v>21</v>
      </c>
      <c r="N70" s="3">
        <v>1.0</v>
      </c>
    </row>
    <row r="71">
      <c r="A71" s="3" t="s">
        <v>74</v>
      </c>
      <c r="B71" s="3" t="s">
        <v>75</v>
      </c>
      <c r="C71" s="3" t="str">
        <f t="shared" si="1"/>
        <v>38000.00</v>
      </c>
      <c r="D71" s="5">
        <v>38000.0</v>
      </c>
      <c r="E71" s="3">
        <v>4.19009105E8</v>
      </c>
      <c r="F71" s="3" t="s">
        <v>76</v>
      </c>
      <c r="G71" s="4">
        <v>43161.0</v>
      </c>
      <c r="H71" s="3" t="s">
        <v>16</v>
      </c>
      <c r="I71" s="3" t="s">
        <v>17</v>
      </c>
      <c r="J71" s="3" t="s">
        <v>18</v>
      </c>
      <c r="K71" s="3" t="s">
        <v>77</v>
      </c>
      <c r="L71" s="3" t="s">
        <v>20</v>
      </c>
      <c r="M71" s="3" t="s">
        <v>21</v>
      </c>
      <c r="N71" s="3">
        <v>1.0</v>
      </c>
    </row>
    <row r="72">
      <c r="A72" s="3" t="s">
        <v>131</v>
      </c>
      <c r="B72" s="3" t="s">
        <v>75</v>
      </c>
      <c r="C72" s="3" t="str">
        <f t="shared" si="1"/>
        <v>38000.00</v>
      </c>
      <c r="D72" s="5">
        <v>38000.0</v>
      </c>
      <c r="E72" s="3">
        <v>4.19009105E8</v>
      </c>
      <c r="F72" s="3" t="s">
        <v>132</v>
      </c>
      <c r="G72" s="4">
        <v>43252.0</v>
      </c>
      <c r="H72" s="3" t="s">
        <v>133</v>
      </c>
      <c r="I72" s="3" t="s">
        <v>17</v>
      </c>
      <c r="J72" s="3" t="s">
        <v>18</v>
      </c>
      <c r="K72" s="3" t="s">
        <v>134</v>
      </c>
      <c r="L72" s="3" t="s">
        <v>20</v>
      </c>
      <c r="M72" s="3" t="s">
        <v>21</v>
      </c>
      <c r="N72" s="3">
        <v>1.0</v>
      </c>
    </row>
    <row r="73">
      <c r="A73" s="3" t="s">
        <v>84</v>
      </c>
      <c r="B73" s="3" t="s">
        <v>85</v>
      </c>
      <c r="C73" s="3" t="str">
        <f t="shared" si="1"/>
        <v>35000.00</v>
      </c>
      <c r="D73" s="5">
        <v>35000.0</v>
      </c>
      <c r="E73" s="3">
        <v>3.4169319E8</v>
      </c>
      <c r="F73" s="3" t="s">
        <v>86</v>
      </c>
      <c r="G73" s="4">
        <v>43174.0</v>
      </c>
      <c r="H73" s="3" t="s">
        <v>87</v>
      </c>
      <c r="I73" s="3" t="s">
        <v>17</v>
      </c>
      <c r="J73" s="3" t="s">
        <v>18</v>
      </c>
      <c r="K73" s="3" t="s">
        <v>88</v>
      </c>
      <c r="L73" s="3" t="s">
        <v>20</v>
      </c>
      <c r="M73" s="3" t="s">
        <v>21</v>
      </c>
      <c r="N73" s="3">
        <v>1.0</v>
      </c>
    </row>
    <row r="74">
      <c r="A74" s="3" t="s">
        <v>148</v>
      </c>
      <c r="B74" s="3" t="s">
        <v>85</v>
      </c>
      <c r="C74" s="3" t="str">
        <f t="shared" si="1"/>
        <v>35000.00</v>
      </c>
      <c r="D74" s="5">
        <v>35000.0</v>
      </c>
      <c r="E74" s="3">
        <v>4.02652853E8</v>
      </c>
      <c r="F74" s="3" t="s">
        <v>143</v>
      </c>
      <c r="G74" s="4">
        <v>43269.0</v>
      </c>
      <c r="H74" s="3" t="s">
        <v>230</v>
      </c>
      <c r="I74" s="3" t="s">
        <v>17</v>
      </c>
      <c r="J74" s="3" t="s">
        <v>18</v>
      </c>
      <c r="K74" s="3" t="s">
        <v>187</v>
      </c>
      <c r="L74" s="3" t="s">
        <v>20</v>
      </c>
      <c r="M74" s="3" t="s">
        <v>21</v>
      </c>
      <c r="N74" s="3">
        <v>1.0</v>
      </c>
    </row>
    <row r="75">
      <c r="A75" s="3" t="s">
        <v>341</v>
      </c>
      <c r="B75" s="3" t="s">
        <v>342</v>
      </c>
      <c r="C75" s="3" t="str">
        <f t="shared" si="1"/>
        <v>3500.00</v>
      </c>
      <c r="D75" s="5">
        <v>3500.0</v>
      </c>
      <c r="E75" s="3">
        <v>4.1900910500018E13</v>
      </c>
      <c r="F75" s="3" t="s">
        <v>336</v>
      </c>
      <c r="G75" s="4">
        <v>43335.0</v>
      </c>
      <c r="H75" s="3" t="s">
        <v>337</v>
      </c>
      <c r="I75" s="3" t="s">
        <v>17</v>
      </c>
      <c r="J75" s="3" t="s">
        <v>48</v>
      </c>
      <c r="K75" s="3" t="s">
        <v>343</v>
      </c>
      <c r="L75" s="3" t="s">
        <v>20</v>
      </c>
      <c r="M75" s="3" t="s">
        <v>21</v>
      </c>
      <c r="N75" s="3">
        <v>1.0</v>
      </c>
    </row>
    <row r="76">
      <c r="A76" s="3" t="s">
        <v>69</v>
      </c>
      <c r="B76" s="3" t="s">
        <v>70</v>
      </c>
      <c r="C76" s="3" t="str">
        <f t="shared" si="1"/>
        <v>34000.00</v>
      </c>
      <c r="D76" s="5">
        <v>34000.0</v>
      </c>
      <c r="E76" s="3">
        <v>4.20252348E8</v>
      </c>
      <c r="F76" s="3" t="s">
        <v>71</v>
      </c>
      <c r="G76" s="4">
        <v>43160.0</v>
      </c>
      <c r="H76" s="3" t="s">
        <v>72</v>
      </c>
      <c r="I76" s="3" t="s">
        <v>17</v>
      </c>
      <c r="J76" s="3" t="s">
        <v>18</v>
      </c>
      <c r="K76" s="3" t="s">
        <v>73</v>
      </c>
      <c r="L76" s="3" t="s">
        <v>20</v>
      </c>
      <c r="M76" s="3" t="s">
        <v>21</v>
      </c>
      <c r="N76" s="3">
        <v>1.0</v>
      </c>
    </row>
    <row r="77">
      <c r="A77" s="3" t="s">
        <v>218</v>
      </c>
      <c r="B77" s="3" t="s">
        <v>219</v>
      </c>
      <c r="C77" s="3" t="str">
        <f t="shared" si="1"/>
        <v>332775.00</v>
      </c>
      <c r="D77" s="5">
        <v>332775.0</v>
      </c>
      <c r="E77" s="3">
        <v>4.09199817E8</v>
      </c>
      <c r="F77" s="3" t="s">
        <v>220</v>
      </c>
      <c r="G77" s="4">
        <v>43271.0</v>
      </c>
      <c r="H77" s="3" t="s">
        <v>16</v>
      </c>
      <c r="I77" s="3" t="s">
        <v>17</v>
      </c>
      <c r="J77" s="3" t="s">
        <v>18</v>
      </c>
      <c r="K77" s="3" t="s">
        <v>213</v>
      </c>
      <c r="L77" s="3" t="s">
        <v>20</v>
      </c>
      <c r="M77" s="3" t="s">
        <v>21</v>
      </c>
      <c r="N77" s="3">
        <v>1.0</v>
      </c>
    </row>
    <row r="78">
      <c r="A78" s="3" t="s">
        <v>182</v>
      </c>
      <c r="B78" s="3" t="s">
        <v>183</v>
      </c>
      <c r="C78" s="3" t="str">
        <f t="shared" si="1"/>
        <v>33250.00</v>
      </c>
      <c r="D78" s="5">
        <v>33250.0</v>
      </c>
      <c r="E78" s="3">
        <v>4.51546097E8</v>
      </c>
      <c r="F78" s="3" t="s">
        <v>184</v>
      </c>
      <c r="G78" s="4">
        <v>43266.0</v>
      </c>
      <c r="H78" s="3" t="s">
        <v>133</v>
      </c>
      <c r="I78" s="3" t="s">
        <v>17</v>
      </c>
      <c r="J78" s="3" t="s">
        <v>18</v>
      </c>
      <c r="K78" s="3" t="s">
        <v>185</v>
      </c>
      <c r="L78" s="3" t="s">
        <v>20</v>
      </c>
      <c r="M78" s="3" t="s">
        <v>21</v>
      </c>
      <c r="N78" s="3">
        <v>1.0</v>
      </c>
    </row>
    <row r="79">
      <c r="A79" s="3" t="s">
        <v>380</v>
      </c>
      <c r="B79" s="3" t="s">
        <v>381</v>
      </c>
      <c r="C79" s="3" t="str">
        <f t="shared" si="1"/>
        <v>320000.00</v>
      </c>
      <c r="D79" s="5">
        <v>320000.0</v>
      </c>
      <c r="E79" s="3">
        <v>3.9988425300036E13</v>
      </c>
      <c r="F79" s="3" t="s">
        <v>382</v>
      </c>
      <c r="G79" s="4">
        <v>43353.0</v>
      </c>
      <c r="H79" s="3" t="s">
        <v>16</v>
      </c>
      <c r="I79" s="3" t="s">
        <v>17</v>
      </c>
      <c r="J79" s="3" t="s">
        <v>18</v>
      </c>
      <c r="K79" s="3" t="s">
        <v>383</v>
      </c>
      <c r="L79" s="3" t="s">
        <v>20</v>
      </c>
      <c r="M79" s="3" t="s">
        <v>21</v>
      </c>
      <c r="N79" s="3">
        <v>1.0</v>
      </c>
    </row>
    <row r="80">
      <c r="A80" s="3" t="s">
        <v>53</v>
      </c>
      <c r="B80" s="3" t="s">
        <v>54</v>
      </c>
      <c r="C80" s="3" t="str">
        <f t="shared" si="1"/>
        <v>32000.00</v>
      </c>
      <c r="D80" s="5">
        <v>32000.0</v>
      </c>
      <c r="E80" s="3">
        <v>3.06564279E8</v>
      </c>
      <c r="F80" s="3" t="s">
        <v>55</v>
      </c>
      <c r="G80" s="4">
        <v>43126.0</v>
      </c>
      <c r="H80" s="3" t="s">
        <v>16</v>
      </c>
      <c r="I80" s="3" t="s">
        <v>17</v>
      </c>
      <c r="J80" s="3" t="s">
        <v>18</v>
      </c>
      <c r="K80" s="3" t="s">
        <v>56</v>
      </c>
      <c r="L80" s="3" t="s">
        <v>20</v>
      </c>
      <c r="M80" s="3" t="s">
        <v>21</v>
      </c>
      <c r="N80" s="3">
        <v>1.0</v>
      </c>
    </row>
    <row r="81">
      <c r="A81" s="3" t="s">
        <v>360</v>
      </c>
      <c r="B81" s="3" t="s">
        <v>361</v>
      </c>
      <c r="C81" s="3" t="str">
        <f t="shared" si="1"/>
        <v>3000000.00</v>
      </c>
      <c r="D81" s="5">
        <v>3000000.0</v>
      </c>
      <c r="E81" s="3">
        <v>7.8180455400017E13</v>
      </c>
      <c r="F81" s="3" t="s">
        <v>362</v>
      </c>
      <c r="G81" s="4">
        <v>43145.0</v>
      </c>
      <c r="H81" s="3" t="s">
        <v>16</v>
      </c>
      <c r="I81" s="3" t="s">
        <v>17</v>
      </c>
      <c r="J81" s="3" t="s">
        <v>18</v>
      </c>
      <c r="K81" s="3" t="s">
        <v>363</v>
      </c>
      <c r="L81" s="3" t="s">
        <v>20</v>
      </c>
      <c r="M81" s="3" t="s">
        <v>21</v>
      </c>
      <c r="N81" s="3">
        <v>1.0</v>
      </c>
    </row>
    <row r="82">
      <c r="A82" s="3" t="s">
        <v>148</v>
      </c>
      <c r="B82" s="3" t="s">
        <v>149</v>
      </c>
      <c r="C82" s="3" t="str">
        <f t="shared" si="1"/>
        <v>30000.00</v>
      </c>
      <c r="D82" s="5">
        <v>30000.0</v>
      </c>
      <c r="E82" s="3">
        <v>4.02652853E8</v>
      </c>
      <c r="F82" s="3" t="s">
        <v>119</v>
      </c>
      <c r="G82" s="4">
        <v>43252.0</v>
      </c>
      <c r="H82" s="3" t="s">
        <v>120</v>
      </c>
      <c r="I82" s="3" t="s">
        <v>17</v>
      </c>
      <c r="J82" s="3" t="s">
        <v>18</v>
      </c>
      <c r="K82" s="3" t="s">
        <v>134</v>
      </c>
      <c r="L82" s="3" t="s">
        <v>20</v>
      </c>
      <c r="M82" s="3" t="s">
        <v>21</v>
      </c>
      <c r="N82" s="3">
        <v>1.0</v>
      </c>
    </row>
    <row r="83">
      <c r="A83" s="3" t="s">
        <v>430</v>
      </c>
      <c r="B83" s="3" t="s">
        <v>149</v>
      </c>
      <c r="C83" s="3" t="str">
        <f t="shared" si="1"/>
        <v>30000.00</v>
      </c>
      <c r="D83" s="5">
        <v>30000.0</v>
      </c>
      <c r="E83" s="3">
        <v>4.3470528100021E13</v>
      </c>
      <c r="F83" s="3" t="s">
        <v>431</v>
      </c>
      <c r="G83" s="4">
        <v>43411.0</v>
      </c>
      <c r="H83" s="3" t="s">
        <v>16</v>
      </c>
      <c r="I83" s="3" t="s">
        <v>17</v>
      </c>
      <c r="J83" s="3" t="s">
        <v>18</v>
      </c>
      <c r="K83" s="3" t="s">
        <v>429</v>
      </c>
      <c r="L83" s="3" t="s">
        <v>20</v>
      </c>
      <c r="M83" s="3" t="s">
        <v>21</v>
      </c>
      <c r="N83" s="3">
        <v>1.0</v>
      </c>
    </row>
    <row r="84">
      <c r="A84" s="3" t="s">
        <v>289</v>
      </c>
      <c r="B84" s="3" t="s">
        <v>290</v>
      </c>
      <c r="C84" s="3" t="str">
        <f t="shared" si="1"/>
        <v>3000.00</v>
      </c>
      <c r="D84" s="5">
        <v>3000.0</v>
      </c>
      <c r="E84" s="3">
        <v>8.0127165100011E13</v>
      </c>
      <c r="F84" s="3" t="s">
        <v>267</v>
      </c>
      <c r="G84" s="4">
        <v>43301.0</v>
      </c>
      <c r="H84" s="3" t="s">
        <v>291</v>
      </c>
      <c r="I84" s="3" t="s">
        <v>17</v>
      </c>
      <c r="J84" s="3" t="s">
        <v>18</v>
      </c>
      <c r="K84" s="3" t="s">
        <v>292</v>
      </c>
      <c r="L84" s="3" t="s">
        <v>20</v>
      </c>
      <c r="M84" s="3" t="s">
        <v>21</v>
      </c>
      <c r="N84" s="3">
        <v>1.0</v>
      </c>
    </row>
    <row r="85">
      <c r="A85" s="3" t="s">
        <v>364</v>
      </c>
      <c r="B85" s="3" t="s">
        <v>290</v>
      </c>
      <c r="C85" s="3" t="str">
        <f t="shared" si="1"/>
        <v>3000.00</v>
      </c>
      <c r="D85" s="5">
        <v>3000.0</v>
      </c>
      <c r="E85" s="3">
        <v>4.1993219900013E13</v>
      </c>
      <c r="F85" s="3" t="s">
        <v>303</v>
      </c>
      <c r="G85" s="4">
        <v>43298.0</v>
      </c>
      <c r="H85" s="3" t="s">
        <v>365</v>
      </c>
      <c r="I85" s="3" t="s">
        <v>366</v>
      </c>
      <c r="J85" s="3" t="s">
        <v>367</v>
      </c>
      <c r="K85" s="3" t="s">
        <v>317</v>
      </c>
      <c r="L85" s="3" t="s">
        <v>20</v>
      </c>
      <c r="M85" s="3" t="s">
        <v>21</v>
      </c>
      <c r="N85" s="3">
        <v>1.0</v>
      </c>
    </row>
    <row r="86">
      <c r="A86" s="3" t="s">
        <v>374</v>
      </c>
      <c r="B86" s="3" t="s">
        <v>375</v>
      </c>
      <c r="C86" s="3" t="str">
        <f t="shared" si="1"/>
        <v>29000.00</v>
      </c>
      <c r="D86" s="5">
        <v>29000.0</v>
      </c>
      <c r="E86" s="3">
        <v>4.022835430007E13</v>
      </c>
      <c r="F86" s="3" t="s">
        <v>376</v>
      </c>
      <c r="G86" s="4">
        <v>43335.0</v>
      </c>
      <c r="H86" s="3" t="s">
        <v>337</v>
      </c>
      <c r="I86" s="3" t="s">
        <v>17</v>
      </c>
      <c r="J86" s="3" t="s">
        <v>48</v>
      </c>
      <c r="K86" s="3" t="s">
        <v>343</v>
      </c>
      <c r="L86" s="3" t="s">
        <v>20</v>
      </c>
      <c r="M86" s="3" t="s">
        <v>21</v>
      </c>
      <c r="N86" s="3">
        <v>1.0</v>
      </c>
    </row>
    <row r="87">
      <c r="A87" s="3" t="s">
        <v>145</v>
      </c>
      <c r="B87" s="3" t="s">
        <v>319</v>
      </c>
      <c r="C87" s="3" t="str">
        <f t="shared" si="1"/>
        <v>28000.00</v>
      </c>
      <c r="D87" s="5">
        <v>28000.0</v>
      </c>
      <c r="E87" s="3">
        <v>4.3288382500031E13</v>
      </c>
      <c r="F87" s="3" t="s">
        <v>320</v>
      </c>
      <c r="G87" s="4">
        <v>43304.0</v>
      </c>
      <c r="H87" s="3" t="s">
        <v>16</v>
      </c>
      <c r="I87" s="3" t="s">
        <v>17</v>
      </c>
      <c r="J87" s="3" t="s">
        <v>18</v>
      </c>
      <c r="K87" s="3" t="s">
        <v>321</v>
      </c>
      <c r="L87" s="3" t="s">
        <v>20</v>
      </c>
      <c r="M87" s="3" t="s">
        <v>21</v>
      </c>
      <c r="N87" s="3">
        <v>1.0</v>
      </c>
    </row>
    <row r="88">
      <c r="A88" s="3" t="s">
        <v>104</v>
      </c>
      <c r="B88" s="3" t="s">
        <v>162</v>
      </c>
      <c r="C88" s="3" t="str">
        <f t="shared" si="1"/>
        <v>26000.00</v>
      </c>
      <c r="D88" s="5">
        <v>26000.0</v>
      </c>
      <c r="E88" s="3">
        <v>5.33896825E8</v>
      </c>
      <c r="F88" s="3" t="s">
        <v>143</v>
      </c>
      <c r="G88" s="4">
        <v>43257.0</v>
      </c>
      <c r="H88" s="3" t="s">
        <v>163</v>
      </c>
      <c r="I88" s="3" t="s">
        <v>17</v>
      </c>
      <c r="J88" s="3" t="s">
        <v>18</v>
      </c>
      <c r="K88" s="3" t="s">
        <v>156</v>
      </c>
      <c r="L88" s="3" t="s">
        <v>20</v>
      </c>
      <c r="M88" s="3" t="s">
        <v>21</v>
      </c>
      <c r="N88" s="3">
        <v>1.0</v>
      </c>
    </row>
    <row r="89">
      <c r="A89" s="3" t="s">
        <v>227</v>
      </c>
      <c r="B89" s="3" t="s">
        <v>233</v>
      </c>
      <c r="C89" s="3" t="str">
        <f t="shared" si="1"/>
        <v>25000.00</v>
      </c>
      <c r="D89" s="5">
        <v>25000.0</v>
      </c>
      <c r="E89" s="3">
        <v>3.4169319E8</v>
      </c>
      <c r="F89" s="3" t="s">
        <v>143</v>
      </c>
      <c r="G89" s="4">
        <v>43269.0</v>
      </c>
      <c r="H89" s="3" t="s">
        <v>234</v>
      </c>
      <c r="I89" s="3" t="s">
        <v>17</v>
      </c>
      <c r="J89" s="3" t="s">
        <v>18</v>
      </c>
      <c r="K89" s="3" t="s">
        <v>187</v>
      </c>
      <c r="L89" s="3" t="s">
        <v>20</v>
      </c>
      <c r="M89" s="3" t="s">
        <v>21</v>
      </c>
      <c r="N89" s="3">
        <v>1.0</v>
      </c>
    </row>
    <row r="90">
      <c r="A90" s="3" t="s">
        <v>279</v>
      </c>
      <c r="B90" s="3" t="s">
        <v>233</v>
      </c>
      <c r="C90" s="3" t="str">
        <f t="shared" si="1"/>
        <v>25000.00</v>
      </c>
      <c r="D90" s="5">
        <v>25000.0</v>
      </c>
      <c r="E90" s="3">
        <v>3.7954994200025E13</v>
      </c>
      <c r="F90" s="3" t="s">
        <v>280</v>
      </c>
      <c r="G90" s="4">
        <v>43299.0</v>
      </c>
      <c r="H90" s="3" t="s">
        <v>16</v>
      </c>
      <c r="I90" s="3" t="s">
        <v>17</v>
      </c>
      <c r="J90" s="3" t="s">
        <v>18</v>
      </c>
      <c r="K90" s="3" t="s">
        <v>273</v>
      </c>
      <c r="L90" s="3" t="s">
        <v>20</v>
      </c>
      <c r="M90" s="3" t="s">
        <v>21</v>
      </c>
      <c r="N90" s="3">
        <v>1.0</v>
      </c>
    </row>
    <row r="91">
      <c r="A91" s="3" t="s">
        <v>328</v>
      </c>
      <c r="B91" s="3" t="s">
        <v>233</v>
      </c>
      <c r="C91" s="3" t="str">
        <f t="shared" si="1"/>
        <v>25000.00</v>
      </c>
      <c r="D91" s="5">
        <v>25000.0</v>
      </c>
      <c r="E91" s="3">
        <v>4.3403882400042E13</v>
      </c>
      <c r="F91" s="3" t="s">
        <v>329</v>
      </c>
      <c r="G91" s="4">
        <v>43332.0</v>
      </c>
      <c r="H91" s="3" t="s">
        <v>330</v>
      </c>
      <c r="I91" s="3" t="s">
        <v>17</v>
      </c>
      <c r="J91" s="3" t="s">
        <v>18</v>
      </c>
      <c r="K91" s="3" t="s">
        <v>331</v>
      </c>
      <c r="L91" s="3" t="s">
        <v>20</v>
      </c>
      <c r="M91" s="3" t="s">
        <v>21</v>
      </c>
      <c r="N91" s="3">
        <v>1.0</v>
      </c>
    </row>
    <row r="92">
      <c r="A92" s="3" t="s">
        <v>332</v>
      </c>
      <c r="B92" s="3" t="s">
        <v>233</v>
      </c>
      <c r="C92" s="3" t="str">
        <f t="shared" si="1"/>
        <v>25000.00</v>
      </c>
      <c r="D92" s="5">
        <v>25000.0</v>
      </c>
      <c r="E92" s="3">
        <v>3.4063725500027E13</v>
      </c>
      <c r="F92" s="3" t="s">
        <v>280</v>
      </c>
      <c r="G92" s="4">
        <v>43328.0</v>
      </c>
      <c r="H92" s="3" t="s">
        <v>16</v>
      </c>
      <c r="I92" s="3" t="s">
        <v>17</v>
      </c>
      <c r="J92" s="3" t="s">
        <v>18</v>
      </c>
      <c r="K92" s="3" t="s">
        <v>333</v>
      </c>
      <c r="L92" s="3" t="s">
        <v>20</v>
      </c>
      <c r="M92" s="3" t="s">
        <v>21</v>
      </c>
      <c r="N92" s="3">
        <v>1.0</v>
      </c>
    </row>
    <row r="93">
      <c r="A93" s="3" t="s">
        <v>348</v>
      </c>
      <c r="B93" s="3" t="s">
        <v>233</v>
      </c>
      <c r="C93" s="3" t="str">
        <f t="shared" si="1"/>
        <v>25000.00</v>
      </c>
      <c r="D93" s="5">
        <v>25000.0</v>
      </c>
      <c r="E93" s="3">
        <v>8.0961975200011E13</v>
      </c>
      <c r="F93" s="3" t="s">
        <v>349</v>
      </c>
      <c r="G93" s="4">
        <v>43334.0</v>
      </c>
      <c r="H93" s="3" t="s">
        <v>16</v>
      </c>
      <c r="I93" s="3" t="s">
        <v>17</v>
      </c>
      <c r="J93" s="3" t="s">
        <v>18</v>
      </c>
      <c r="K93" s="3" t="s">
        <v>350</v>
      </c>
      <c r="L93" s="3" t="s">
        <v>20</v>
      </c>
      <c r="M93" s="3" t="s">
        <v>21</v>
      </c>
      <c r="N93" s="3">
        <v>1.0</v>
      </c>
    </row>
    <row r="94">
      <c r="A94" s="3" t="s">
        <v>385</v>
      </c>
      <c r="B94" s="3" t="s">
        <v>233</v>
      </c>
      <c r="C94" s="3" t="str">
        <f t="shared" si="1"/>
        <v>25000.00</v>
      </c>
      <c r="D94" s="5">
        <v>25000.0</v>
      </c>
      <c r="E94" s="3">
        <v>4.9058526200069E13</v>
      </c>
      <c r="F94" s="3" t="s">
        <v>388</v>
      </c>
      <c r="G94" s="4">
        <v>43353.0</v>
      </c>
      <c r="H94" s="3" t="s">
        <v>330</v>
      </c>
      <c r="I94" s="3" t="s">
        <v>17</v>
      </c>
      <c r="J94" s="3" t="s">
        <v>18</v>
      </c>
      <c r="K94" s="3" t="s">
        <v>383</v>
      </c>
      <c r="L94" s="3" t="s">
        <v>20</v>
      </c>
      <c r="M94" s="3" t="s">
        <v>21</v>
      </c>
      <c r="N94" s="3">
        <v>1.0</v>
      </c>
    </row>
    <row r="95">
      <c r="A95" s="3" t="s">
        <v>392</v>
      </c>
      <c r="B95" s="3" t="s">
        <v>233</v>
      </c>
      <c r="C95" s="3" t="str">
        <f t="shared" si="1"/>
        <v>25000.00</v>
      </c>
      <c r="D95" s="5">
        <v>25000.0</v>
      </c>
      <c r="E95" s="3">
        <v>4.3383539400027E13</v>
      </c>
      <c r="F95" s="3" t="s">
        <v>388</v>
      </c>
      <c r="G95" s="4">
        <v>43370.0</v>
      </c>
      <c r="H95" s="3" t="s">
        <v>330</v>
      </c>
      <c r="I95" s="3" t="s">
        <v>17</v>
      </c>
      <c r="J95" s="3" t="s">
        <v>18</v>
      </c>
      <c r="K95" s="3" t="s">
        <v>393</v>
      </c>
      <c r="L95" s="3" t="s">
        <v>20</v>
      </c>
      <c r="M95" s="3" t="s">
        <v>21</v>
      </c>
      <c r="N95" s="3">
        <v>1.0</v>
      </c>
    </row>
    <row r="96">
      <c r="A96" s="3" t="s">
        <v>427</v>
      </c>
      <c r="B96" s="3" t="s">
        <v>233</v>
      </c>
      <c r="C96" s="3" t="str">
        <f t="shared" si="1"/>
        <v>25000.00</v>
      </c>
      <c r="D96" s="5">
        <v>25000.0</v>
      </c>
      <c r="E96" s="3">
        <v>8.2071933400014E13</v>
      </c>
      <c r="F96" s="3" t="s">
        <v>428</v>
      </c>
      <c r="G96" s="4">
        <v>43411.0</v>
      </c>
      <c r="H96" s="3" t="s">
        <v>16</v>
      </c>
      <c r="I96" s="3" t="s">
        <v>17</v>
      </c>
      <c r="J96" s="3" t="s">
        <v>18</v>
      </c>
      <c r="K96" s="3" t="s">
        <v>429</v>
      </c>
      <c r="L96" s="3" t="s">
        <v>20</v>
      </c>
      <c r="M96" s="3" t="s">
        <v>21</v>
      </c>
      <c r="N96" s="3">
        <v>1.0</v>
      </c>
    </row>
    <row r="97">
      <c r="A97" s="3" t="s">
        <v>109</v>
      </c>
      <c r="B97" s="3" t="s">
        <v>110</v>
      </c>
      <c r="C97" s="3" t="str">
        <f t="shared" si="1"/>
        <v>24176.00</v>
      </c>
      <c r="D97" s="5">
        <v>24176.0</v>
      </c>
      <c r="E97" s="3">
        <v>8.25241318E8</v>
      </c>
      <c r="F97" s="3" t="s">
        <v>111</v>
      </c>
      <c r="G97" s="4">
        <v>43208.0</v>
      </c>
      <c r="H97" s="3" t="s">
        <v>16</v>
      </c>
      <c r="I97" s="3" t="s">
        <v>17</v>
      </c>
      <c r="J97" s="3" t="s">
        <v>18</v>
      </c>
      <c r="K97" s="3" t="s">
        <v>112</v>
      </c>
      <c r="L97" s="3" t="s">
        <v>20</v>
      </c>
      <c r="M97" s="3" t="s">
        <v>21</v>
      </c>
      <c r="N97" s="3">
        <v>1.0</v>
      </c>
    </row>
    <row r="98">
      <c r="A98" s="3" t="s">
        <v>344</v>
      </c>
      <c r="B98" s="3" t="s">
        <v>345</v>
      </c>
      <c r="C98" s="3" t="str">
        <f t="shared" si="1"/>
        <v>24000.00</v>
      </c>
      <c r="D98" s="5">
        <v>24000.0</v>
      </c>
      <c r="E98" s="3">
        <v>8.203367330001E13</v>
      </c>
      <c r="F98" s="3" t="s">
        <v>346</v>
      </c>
      <c r="G98" s="4">
        <v>43339.0</v>
      </c>
      <c r="H98" s="3" t="s">
        <v>312</v>
      </c>
      <c r="I98" s="3" t="s">
        <v>17</v>
      </c>
      <c r="J98" s="3" t="s">
        <v>48</v>
      </c>
      <c r="K98" s="3" t="s">
        <v>347</v>
      </c>
      <c r="L98" s="3" t="s">
        <v>20</v>
      </c>
      <c r="M98" s="3" t="s">
        <v>21</v>
      </c>
      <c r="N98" s="3">
        <v>1.0</v>
      </c>
    </row>
    <row r="99">
      <c r="A99" s="3" t="s">
        <v>157</v>
      </c>
      <c r="B99" s="3" t="s">
        <v>158</v>
      </c>
      <c r="C99" s="3" t="str">
        <f t="shared" si="1"/>
        <v>23500.00</v>
      </c>
      <c r="D99" s="5">
        <v>23500.0</v>
      </c>
      <c r="E99" s="3">
        <v>7.89145869E8</v>
      </c>
      <c r="F99" s="3" t="s">
        <v>119</v>
      </c>
      <c r="G99" s="4">
        <v>43255.0</v>
      </c>
      <c r="H99" s="3" t="s">
        <v>159</v>
      </c>
      <c r="I99" s="3" t="s">
        <v>17</v>
      </c>
      <c r="J99" s="3" t="s">
        <v>18</v>
      </c>
      <c r="K99" s="3" t="s">
        <v>138</v>
      </c>
      <c r="L99" s="3" t="s">
        <v>20</v>
      </c>
      <c r="M99" s="3" t="s">
        <v>21</v>
      </c>
      <c r="N99" s="3">
        <v>1.0</v>
      </c>
    </row>
    <row r="100">
      <c r="A100" s="3" t="s">
        <v>353</v>
      </c>
      <c r="B100" s="3" t="s">
        <v>354</v>
      </c>
      <c r="C100" s="3" t="str">
        <f t="shared" si="1"/>
        <v>230000.00</v>
      </c>
      <c r="D100" s="5">
        <v>230000.0</v>
      </c>
      <c r="E100" s="3">
        <v>4.9058526200069E13</v>
      </c>
      <c r="F100" s="3" t="s">
        <v>355</v>
      </c>
      <c r="G100" s="4">
        <v>43182.0</v>
      </c>
      <c r="H100" s="3" t="s">
        <v>16</v>
      </c>
      <c r="I100" s="3" t="s">
        <v>17</v>
      </c>
      <c r="J100" s="3" t="s">
        <v>18</v>
      </c>
      <c r="K100" s="3" t="s">
        <v>103</v>
      </c>
      <c r="L100" s="3" t="s">
        <v>20</v>
      </c>
      <c r="M100" s="3" t="s">
        <v>21</v>
      </c>
      <c r="N100" s="3">
        <v>1.0</v>
      </c>
    </row>
    <row r="101">
      <c r="A101" s="3" t="s">
        <v>235</v>
      </c>
      <c r="B101" s="3" t="s">
        <v>236</v>
      </c>
      <c r="C101" s="3" t="str">
        <f t="shared" si="1"/>
        <v>2100.00</v>
      </c>
      <c r="D101" s="5">
        <v>2100.0</v>
      </c>
      <c r="E101" s="3">
        <v>7.50447567E8</v>
      </c>
      <c r="F101" s="3" t="s">
        <v>220</v>
      </c>
      <c r="G101" s="4">
        <v>43279.0</v>
      </c>
      <c r="H101" s="3" t="s">
        <v>120</v>
      </c>
      <c r="I101" s="3" t="s">
        <v>17</v>
      </c>
      <c r="J101" s="3" t="s">
        <v>18</v>
      </c>
      <c r="K101" s="3" t="s">
        <v>237</v>
      </c>
      <c r="L101" s="3" t="s">
        <v>20</v>
      </c>
      <c r="M101" s="3" t="s">
        <v>21</v>
      </c>
      <c r="N101" s="3">
        <v>1.0</v>
      </c>
    </row>
    <row r="102">
      <c r="A102" s="3" t="s">
        <v>252</v>
      </c>
      <c r="B102" s="3" t="s">
        <v>253</v>
      </c>
      <c r="C102" s="3" t="str">
        <f t="shared" si="1"/>
        <v>200000.00</v>
      </c>
      <c r="D102" s="5">
        <v>200000.0</v>
      </c>
      <c r="E102" s="3">
        <v>4.8875025800011E13</v>
      </c>
      <c r="F102" s="3" t="s">
        <v>254</v>
      </c>
      <c r="G102" s="4">
        <v>43285.0</v>
      </c>
      <c r="H102" s="3" t="s">
        <v>255</v>
      </c>
      <c r="I102" s="3" t="s">
        <v>17</v>
      </c>
      <c r="J102" s="3" t="s">
        <v>18</v>
      </c>
      <c r="K102" s="3" t="s">
        <v>256</v>
      </c>
      <c r="L102" s="3" t="s">
        <v>20</v>
      </c>
      <c r="M102" s="3" t="s">
        <v>21</v>
      </c>
      <c r="N102" s="3">
        <v>1.0</v>
      </c>
    </row>
    <row r="103">
      <c r="A103" s="3" t="s">
        <v>36</v>
      </c>
      <c r="B103" s="3" t="s">
        <v>167</v>
      </c>
      <c r="C103" s="3" t="str">
        <f t="shared" si="1"/>
        <v>20000.00</v>
      </c>
      <c r="D103" s="5">
        <v>20000.0</v>
      </c>
      <c r="E103" s="3">
        <v>4.89563072E8</v>
      </c>
      <c r="F103" s="3" t="s">
        <v>119</v>
      </c>
      <c r="G103" s="4">
        <v>43255.0</v>
      </c>
      <c r="H103" s="3" t="s">
        <v>120</v>
      </c>
      <c r="I103" s="3" t="s">
        <v>17</v>
      </c>
      <c r="J103" s="3" t="s">
        <v>18</v>
      </c>
      <c r="K103" s="3" t="s">
        <v>138</v>
      </c>
      <c r="L103" s="3" t="s">
        <v>20</v>
      </c>
      <c r="M103" s="3" t="s">
        <v>21</v>
      </c>
      <c r="N103" s="3">
        <v>1.0</v>
      </c>
    </row>
    <row r="104">
      <c r="A104" s="3" t="s">
        <v>136</v>
      </c>
      <c r="B104" s="3" t="s">
        <v>167</v>
      </c>
      <c r="C104" s="3" t="str">
        <f t="shared" si="1"/>
        <v>20000.00</v>
      </c>
      <c r="D104" s="5">
        <v>20000.0</v>
      </c>
      <c r="E104" s="3">
        <v>5.22896091E8</v>
      </c>
      <c r="F104" s="3" t="s">
        <v>214</v>
      </c>
      <c r="G104" s="4">
        <v>43271.0</v>
      </c>
      <c r="H104" s="3" t="s">
        <v>215</v>
      </c>
      <c r="I104" s="3" t="s">
        <v>17</v>
      </c>
      <c r="J104" s="3" t="s">
        <v>18</v>
      </c>
      <c r="K104" s="3" t="s">
        <v>213</v>
      </c>
      <c r="L104" s="3" t="s">
        <v>20</v>
      </c>
      <c r="M104" s="3" t="s">
        <v>21</v>
      </c>
      <c r="N104" s="3">
        <v>1.0</v>
      </c>
    </row>
    <row r="105">
      <c r="A105" s="3" t="s">
        <v>231</v>
      </c>
      <c r="B105" s="3" t="s">
        <v>167</v>
      </c>
      <c r="C105" s="3" t="str">
        <f t="shared" si="1"/>
        <v>20000.00</v>
      </c>
      <c r="D105" s="5">
        <v>20000.0</v>
      </c>
      <c r="E105" s="3">
        <v>4.20089567E8</v>
      </c>
      <c r="F105" s="3" t="s">
        <v>143</v>
      </c>
      <c r="G105" s="4">
        <v>43269.0</v>
      </c>
      <c r="H105" s="3" t="s">
        <v>232</v>
      </c>
      <c r="I105" s="3" t="s">
        <v>17</v>
      </c>
      <c r="J105" s="3" t="s">
        <v>18</v>
      </c>
      <c r="K105" s="3" t="s">
        <v>187</v>
      </c>
      <c r="L105" s="3" t="s">
        <v>20</v>
      </c>
      <c r="M105" s="3" t="s">
        <v>21</v>
      </c>
      <c r="N105" s="3">
        <v>1.0</v>
      </c>
    </row>
    <row r="106">
      <c r="A106" s="3" t="s">
        <v>385</v>
      </c>
      <c r="B106" s="3" t="s">
        <v>167</v>
      </c>
      <c r="C106" s="3" t="str">
        <f t="shared" si="1"/>
        <v>20000.00</v>
      </c>
      <c r="D106" s="5">
        <v>20000.0</v>
      </c>
      <c r="E106" s="3">
        <v>4.9058526200069E13</v>
      </c>
      <c r="F106" s="3" t="s">
        <v>386</v>
      </c>
      <c r="G106" s="4">
        <v>43353.0</v>
      </c>
      <c r="H106" s="3" t="s">
        <v>387</v>
      </c>
      <c r="I106" s="3" t="s">
        <v>17</v>
      </c>
      <c r="J106" s="3" t="s">
        <v>18</v>
      </c>
      <c r="K106" s="3" t="s">
        <v>383</v>
      </c>
      <c r="L106" s="3" t="s">
        <v>20</v>
      </c>
      <c r="M106" s="3" t="s">
        <v>21</v>
      </c>
      <c r="N106" s="3">
        <v>1.0</v>
      </c>
    </row>
    <row r="107">
      <c r="A107" s="3" t="s">
        <v>411</v>
      </c>
      <c r="B107" s="3" t="s">
        <v>412</v>
      </c>
      <c r="C107" s="3" t="str">
        <f t="shared" si="1"/>
        <v>2000.00</v>
      </c>
      <c r="D107" s="5">
        <v>2000.0</v>
      </c>
      <c r="E107" s="3">
        <v>8.1028483600014E13</v>
      </c>
      <c r="F107" s="3" t="s">
        <v>303</v>
      </c>
      <c r="G107" s="4">
        <v>43342.0</v>
      </c>
      <c r="H107" s="3" t="s">
        <v>413</v>
      </c>
      <c r="I107" s="3" t="s">
        <v>17</v>
      </c>
      <c r="J107" s="3" t="s">
        <v>48</v>
      </c>
      <c r="K107" s="3" t="s">
        <v>372</v>
      </c>
      <c r="L107" s="3" t="s">
        <v>20</v>
      </c>
      <c r="M107" s="3" t="s">
        <v>21</v>
      </c>
      <c r="N107" s="3">
        <v>1.0</v>
      </c>
    </row>
    <row r="108">
      <c r="A108" s="3" t="s">
        <v>150</v>
      </c>
      <c r="B108" s="3" t="s">
        <v>151</v>
      </c>
      <c r="C108" s="3" t="str">
        <f t="shared" si="1"/>
        <v>19025.00</v>
      </c>
      <c r="D108" s="5">
        <v>19025.0</v>
      </c>
      <c r="E108" s="3">
        <v>8.2239982E8</v>
      </c>
      <c r="F108" s="3" t="s">
        <v>119</v>
      </c>
      <c r="G108" s="4">
        <v>43247.0</v>
      </c>
      <c r="H108" s="3" t="s">
        <v>120</v>
      </c>
      <c r="I108" s="3" t="s">
        <v>17</v>
      </c>
      <c r="J108" s="3" t="s">
        <v>18</v>
      </c>
      <c r="K108" s="3" t="s">
        <v>152</v>
      </c>
      <c r="L108" s="3" t="s">
        <v>20</v>
      </c>
      <c r="M108" s="3" t="s">
        <v>21</v>
      </c>
      <c r="N108" s="3">
        <v>1.0</v>
      </c>
    </row>
    <row r="109">
      <c r="A109" s="3" t="s">
        <v>210</v>
      </c>
      <c r="B109" s="3" t="s">
        <v>211</v>
      </c>
      <c r="C109" s="3" t="str">
        <f t="shared" si="1"/>
        <v>180000.00</v>
      </c>
      <c r="D109" s="5">
        <v>180000.0</v>
      </c>
      <c r="E109" s="3">
        <v>8.18313264E8</v>
      </c>
      <c r="F109" s="3" t="s">
        <v>212</v>
      </c>
      <c r="G109" s="4">
        <v>43271.0</v>
      </c>
      <c r="H109" s="3" t="s">
        <v>16</v>
      </c>
      <c r="I109" s="3" t="s">
        <v>17</v>
      </c>
      <c r="J109" s="3" t="s">
        <v>18</v>
      </c>
      <c r="K109" s="3" t="s">
        <v>213</v>
      </c>
      <c r="L109" s="3" t="s">
        <v>20</v>
      </c>
      <c r="M109" s="3" t="s">
        <v>21</v>
      </c>
      <c r="N109" s="3">
        <v>1.0</v>
      </c>
    </row>
    <row r="110">
      <c r="A110" s="3" t="s">
        <v>358</v>
      </c>
      <c r="B110" s="3" t="s">
        <v>211</v>
      </c>
      <c r="C110" s="3" t="str">
        <f t="shared" si="1"/>
        <v>180000.00</v>
      </c>
      <c r="D110" s="5">
        <v>180000.0</v>
      </c>
      <c r="E110" s="3">
        <v>7.8184375000048E13</v>
      </c>
      <c r="F110" s="3" t="s">
        <v>359</v>
      </c>
      <c r="G110" s="4">
        <v>43182.0</v>
      </c>
      <c r="H110" s="3" t="s">
        <v>16</v>
      </c>
      <c r="I110" s="3" t="s">
        <v>17</v>
      </c>
      <c r="J110" s="3" t="s">
        <v>18</v>
      </c>
      <c r="K110" s="3" t="s">
        <v>103</v>
      </c>
      <c r="L110" s="3" t="s">
        <v>20</v>
      </c>
      <c r="M110" s="3" t="s">
        <v>21</v>
      </c>
      <c r="N110" s="3">
        <v>1.0</v>
      </c>
    </row>
    <row r="111">
      <c r="A111" s="3" t="s">
        <v>323</v>
      </c>
      <c r="B111" s="3" t="s">
        <v>324</v>
      </c>
      <c r="C111" s="3" t="str">
        <f t="shared" si="1"/>
        <v>17940.00</v>
      </c>
      <c r="D111" s="5">
        <v>17940.0</v>
      </c>
      <c r="E111" s="3">
        <v>5.3454877100037E13</v>
      </c>
      <c r="F111" s="3" t="s">
        <v>325</v>
      </c>
      <c r="G111" s="4">
        <v>43329.0</v>
      </c>
      <c r="H111" s="3" t="s">
        <v>326</v>
      </c>
      <c r="I111" s="3" t="s">
        <v>17</v>
      </c>
      <c r="J111" s="3" t="s">
        <v>18</v>
      </c>
      <c r="K111" s="3" t="s">
        <v>327</v>
      </c>
      <c r="L111" s="3" t="s">
        <v>20</v>
      </c>
      <c r="M111" s="3" t="s">
        <v>21</v>
      </c>
      <c r="N111" s="3">
        <v>1.0</v>
      </c>
    </row>
    <row r="112">
      <c r="A112" s="3" t="s">
        <v>122</v>
      </c>
      <c r="B112" s="3" t="s">
        <v>123</v>
      </c>
      <c r="C112" s="3" t="str">
        <f t="shared" si="1"/>
        <v>17500.00</v>
      </c>
      <c r="D112" s="5">
        <v>17500.0</v>
      </c>
      <c r="E112" s="3">
        <v>3.83890233E8</v>
      </c>
      <c r="F112" s="3" t="s">
        <v>124</v>
      </c>
      <c r="G112" s="4">
        <v>43248.0</v>
      </c>
      <c r="H112" s="3" t="s">
        <v>125</v>
      </c>
      <c r="I112" s="3" t="s">
        <v>17</v>
      </c>
      <c r="J112" s="3" t="s">
        <v>18</v>
      </c>
      <c r="K112" s="3" t="s">
        <v>126</v>
      </c>
      <c r="L112" s="3" t="s">
        <v>20</v>
      </c>
      <c r="M112" s="3" t="s">
        <v>21</v>
      </c>
      <c r="N112" s="3">
        <v>1.0</v>
      </c>
    </row>
    <row r="113">
      <c r="A113" s="3" t="s">
        <v>122</v>
      </c>
      <c r="B113" s="3" t="s">
        <v>135</v>
      </c>
      <c r="C113" s="3" t="str">
        <f t="shared" si="1"/>
        <v>17000.00</v>
      </c>
      <c r="D113" s="5">
        <v>17000.0</v>
      </c>
      <c r="E113" s="3">
        <v>3.83890233E8</v>
      </c>
      <c r="F113" s="3" t="s">
        <v>119</v>
      </c>
      <c r="G113" s="4">
        <v>43252.0</v>
      </c>
      <c r="H113" s="3" t="s">
        <v>120</v>
      </c>
      <c r="I113" s="3" t="s">
        <v>17</v>
      </c>
      <c r="J113" s="3" t="s">
        <v>18</v>
      </c>
      <c r="K113" s="3" t="s">
        <v>134</v>
      </c>
      <c r="L113" s="3" t="s">
        <v>20</v>
      </c>
      <c r="M113" s="3" t="s">
        <v>21</v>
      </c>
      <c r="N113" s="3">
        <v>1.0</v>
      </c>
    </row>
    <row r="114">
      <c r="A114" s="3" t="s">
        <v>42</v>
      </c>
      <c r="B114" s="3" t="s">
        <v>43</v>
      </c>
      <c r="C114" s="3" t="str">
        <f t="shared" si="1"/>
        <v>1680000.00</v>
      </c>
      <c r="D114" s="5">
        <v>1680000.0</v>
      </c>
      <c r="E114" s="3">
        <v>4.83013405E8</v>
      </c>
      <c r="F114" s="3" t="s">
        <v>44</v>
      </c>
      <c r="G114" s="4">
        <v>43091.0</v>
      </c>
      <c r="H114" s="3" t="s">
        <v>16</v>
      </c>
      <c r="I114" s="3" t="s">
        <v>17</v>
      </c>
      <c r="J114" s="3" t="s">
        <v>18</v>
      </c>
      <c r="K114" s="3" t="s">
        <v>26</v>
      </c>
      <c r="L114" s="3" t="s">
        <v>20</v>
      </c>
      <c r="M114" s="3" t="s">
        <v>21</v>
      </c>
      <c r="N114" s="3">
        <v>1.0</v>
      </c>
    </row>
    <row r="115">
      <c r="A115" s="3" t="s">
        <v>228</v>
      </c>
      <c r="B115" s="3" t="s">
        <v>229</v>
      </c>
      <c r="C115" s="3" t="str">
        <f t="shared" si="1"/>
        <v>160000.00</v>
      </c>
      <c r="D115" s="5">
        <v>160000.0</v>
      </c>
      <c r="E115" s="3">
        <v>4.20089567E8</v>
      </c>
      <c r="F115" s="3" t="s">
        <v>143</v>
      </c>
      <c r="G115" s="4">
        <v>43269.0</v>
      </c>
      <c r="H115" s="3" t="s">
        <v>230</v>
      </c>
      <c r="I115" s="3" t="s">
        <v>17</v>
      </c>
      <c r="J115" s="3" t="s">
        <v>18</v>
      </c>
      <c r="K115" s="3" t="s">
        <v>187</v>
      </c>
      <c r="L115" s="3" t="s">
        <v>20</v>
      </c>
      <c r="M115" s="3" t="s">
        <v>21</v>
      </c>
      <c r="N115" s="3">
        <v>1.0</v>
      </c>
    </row>
    <row r="116">
      <c r="A116" s="3" t="s">
        <v>240</v>
      </c>
      <c r="B116" s="3" t="s">
        <v>241</v>
      </c>
      <c r="C116" s="3" t="str">
        <f t="shared" si="1"/>
        <v>15200.00</v>
      </c>
      <c r="D116" s="5">
        <v>15200.0</v>
      </c>
      <c r="E116" s="3">
        <v>4.84382189E8</v>
      </c>
      <c r="F116" s="3" t="s">
        <v>143</v>
      </c>
      <c r="G116" s="4">
        <v>43279.0</v>
      </c>
      <c r="H116" s="3" t="s">
        <v>242</v>
      </c>
      <c r="I116" s="3" t="s">
        <v>17</v>
      </c>
      <c r="J116" s="3" t="s">
        <v>18</v>
      </c>
      <c r="K116" s="3" t="s">
        <v>237</v>
      </c>
      <c r="L116" s="3" t="s">
        <v>20</v>
      </c>
      <c r="M116" s="3" t="s">
        <v>21</v>
      </c>
      <c r="N116" s="3">
        <v>1.0</v>
      </c>
    </row>
    <row r="117">
      <c r="A117" s="3" t="s">
        <v>89</v>
      </c>
      <c r="B117" s="3" t="s">
        <v>90</v>
      </c>
      <c r="C117" s="3" t="str">
        <f t="shared" si="1"/>
        <v>150000.00</v>
      </c>
      <c r="D117" s="5">
        <v>150000.0</v>
      </c>
      <c r="E117" s="3">
        <v>5.09079794E8</v>
      </c>
      <c r="F117" s="3" t="s">
        <v>91</v>
      </c>
      <c r="G117" s="4">
        <v>43185.0</v>
      </c>
      <c r="H117" s="3" t="s">
        <v>92</v>
      </c>
      <c r="I117" s="3" t="s">
        <v>17</v>
      </c>
      <c r="J117" s="3" t="s">
        <v>18</v>
      </c>
      <c r="K117" s="3" t="s">
        <v>93</v>
      </c>
      <c r="L117" s="3" t="s">
        <v>20</v>
      </c>
      <c r="M117" s="3" t="s">
        <v>21</v>
      </c>
      <c r="N117" s="3">
        <v>1.0</v>
      </c>
    </row>
    <row r="118">
      <c r="A118" s="3" t="s">
        <v>170</v>
      </c>
      <c r="B118" s="3" t="s">
        <v>90</v>
      </c>
      <c r="C118" s="3" t="str">
        <f t="shared" si="1"/>
        <v>150000.00</v>
      </c>
      <c r="D118" s="5">
        <v>150000.0</v>
      </c>
      <c r="E118" s="3">
        <v>3.44264759E8</v>
      </c>
      <c r="F118" s="3" t="s">
        <v>143</v>
      </c>
      <c r="G118" s="4">
        <v>43259.0</v>
      </c>
      <c r="H118" s="3" t="s">
        <v>171</v>
      </c>
      <c r="I118" s="3" t="s">
        <v>17</v>
      </c>
      <c r="J118" s="3" t="s">
        <v>18</v>
      </c>
      <c r="K118" s="3" t="s">
        <v>172</v>
      </c>
      <c r="L118" s="3" t="s">
        <v>20</v>
      </c>
      <c r="M118" s="3" t="s">
        <v>21</v>
      </c>
      <c r="N118" s="3">
        <v>1.0</v>
      </c>
    </row>
    <row r="119">
      <c r="A119" s="3" t="s">
        <v>104</v>
      </c>
      <c r="B119" s="3" t="s">
        <v>105</v>
      </c>
      <c r="C119" s="3" t="str">
        <f t="shared" si="1"/>
        <v>15000.00</v>
      </c>
      <c r="D119" s="5">
        <v>15000.0</v>
      </c>
      <c r="E119" s="3">
        <v>5.33896825E8</v>
      </c>
      <c r="F119" s="3" t="s">
        <v>106</v>
      </c>
      <c r="G119" s="4">
        <v>43222.0</v>
      </c>
      <c r="H119" s="3" t="s">
        <v>107</v>
      </c>
      <c r="I119" s="3" t="s">
        <v>17</v>
      </c>
      <c r="J119" s="3" t="s">
        <v>18</v>
      </c>
      <c r="K119" s="3" t="s">
        <v>108</v>
      </c>
      <c r="L119" s="3" t="s">
        <v>20</v>
      </c>
      <c r="M119" s="3" t="s">
        <v>21</v>
      </c>
      <c r="N119" s="3">
        <v>1.0</v>
      </c>
    </row>
    <row r="120">
      <c r="A120" s="3" t="s">
        <v>142</v>
      </c>
      <c r="B120" s="3" t="s">
        <v>105</v>
      </c>
      <c r="C120" s="3" t="str">
        <f t="shared" si="1"/>
        <v>15000.00</v>
      </c>
      <c r="D120" s="5">
        <v>15000.0</v>
      </c>
      <c r="E120" s="3">
        <v>3.28480082E8</v>
      </c>
      <c r="F120" s="3" t="s">
        <v>143</v>
      </c>
      <c r="G120" s="4">
        <v>43252.0</v>
      </c>
      <c r="H120" s="3" t="s">
        <v>144</v>
      </c>
      <c r="I120" s="3" t="s">
        <v>17</v>
      </c>
      <c r="J120" s="3" t="s">
        <v>18</v>
      </c>
      <c r="K120" s="3" t="s">
        <v>134</v>
      </c>
      <c r="L120" s="3" t="s">
        <v>20</v>
      </c>
      <c r="M120" s="3" t="s">
        <v>21</v>
      </c>
      <c r="N120" s="3">
        <v>1.0</v>
      </c>
    </row>
    <row r="121">
      <c r="A121" s="3" t="s">
        <v>168</v>
      </c>
      <c r="B121" s="3" t="s">
        <v>105</v>
      </c>
      <c r="C121" s="3" t="str">
        <f t="shared" si="1"/>
        <v>15000.00</v>
      </c>
      <c r="D121" s="5">
        <v>15000.0</v>
      </c>
      <c r="E121" s="3">
        <v>8.0910251E8</v>
      </c>
      <c r="F121" s="3" t="s">
        <v>119</v>
      </c>
      <c r="G121" s="4">
        <v>43262.0</v>
      </c>
      <c r="H121" s="3" t="s">
        <v>120</v>
      </c>
      <c r="I121" s="3" t="s">
        <v>17</v>
      </c>
      <c r="J121" s="3" t="s">
        <v>18</v>
      </c>
      <c r="K121" s="3" t="s">
        <v>169</v>
      </c>
      <c r="L121" s="3" t="s">
        <v>20</v>
      </c>
      <c r="M121" s="3" t="s">
        <v>21</v>
      </c>
      <c r="N121" s="3">
        <v>1.0</v>
      </c>
    </row>
    <row r="122">
      <c r="A122" s="3" t="s">
        <v>198</v>
      </c>
      <c r="B122" s="3" t="s">
        <v>105</v>
      </c>
      <c r="C122" s="3" t="str">
        <f t="shared" si="1"/>
        <v>15000.00</v>
      </c>
      <c r="D122" s="5">
        <v>15000.0</v>
      </c>
      <c r="E122" s="3">
        <v>3.50118865E8</v>
      </c>
      <c r="F122" s="3" t="s">
        <v>143</v>
      </c>
      <c r="G122" s="4">
        <v>43269.0</v>
      </c>
      <c r="H122" s="3" t="s">
        <v>199</v>
      </c>
      <c r="I122" s="3" t="s">
        <v>17</v>
      </c>
      <c r="J122" s="3" t="s">
        <v>18</v>
      </c>
      <c r="K122" s="3" t="s">
        <v>187</v>
      </c>
      <c r="L122" s="3" t="s">
        <v>20</v>
      </c>
      <c r="M122" s="3" t="s">
        <v>21</v>
      </c>
      <c r="N122" s="3">
        <v>1.0</v>
      </c>
    </row>
    <row r="123">
      <c r="A123" s="3" t="s">
        <v>36</v>
      </c>
      <c r="B123" s="3" t="s">
        <v>105</v>
      </c>
      <c r="C123" s="3" t="str">
        <f t="shared" si="1"/>
        <v>15000.00</v>
      </c>
      <c r="D123" s="5">
        <v>15000.0</v>
      </c>
      <c r="E123" s="3">
        <v>4.895630720002E13</v>
      </c>
      <c r="F123" s="3" t="s">
        <v>260</v>
      </c>
      <c r="G123" s="4">
        <v>43287.0</v>
      </c>
      <c r="H123" s="3" t="s">
        <v>261</v>
      </c>
      <c r="I123" s="3" t="s">
        <v>17</v>
      </c>
      <c r="J123" s="3" t="s">
        <v>18</v>
      </c>
      <c r="K123" s="3" t="s">
        <v>262</v>
      </c>
      <c r="L123" s="3" t="s">
        <v>20</v>
      </c>
      <c r="M123" s="3" t="s">
        <v>21</v>
      </c>
      <c r="N123" s="3">
        <v>1.0</v>
      </c>
    </row>
    <row r="124">
      <c r="A124" s="3" t="s">
        <v>277</v>
      </c>
      <c r="B124" s="3" t="s">
        <v>105</v>
      </c>
      <c r="C124" s="3" t="str">
        <f t="shared" si="1"/>
        <v>15000.00</v>
      </c>
      <c r="D124" s="5">
        <v>15000.0</v>
      </c>
      <c r="E124" s="3">
        <v>4.3434085700037E13</v>
      </c>
      <c r="F124" s="3" t="s">
        <v>143</v>
      </c>
      <c r="G124" s="4">
        <v>43300.0</v>
      </c>
      <c r="H124" s="3" t="s">
        <v>16</v>
      </c>
      <c r="I124" s="3" t="s">
        <v>17</v>
      </c>
      <c r="J124" s="3" t="s">
        <v>18</v>
      </c>
      <c r="K124" s="3" t="s">
        <v>278</v>
      </c>
      <c r="L124" s="3" t="s">
        <v>20</v>
      </c>
      <c r="M124" s="3" t="s">
        <v>21</v>
      </c>
      <c r="N124" s="3">
        <v>1.0</v>
      </c>
    </row>
    <row r="125">
      <c r="A125" s="3" t="s">
        <v>351</v>
      </c>
      <c r="B125" s="3" t="s">
        <v>105</v>
      </c>
      <c r="C125" s="3" t="str">
        <f t="shared" si="1"/>
        <v>15000.00</v>
      </c>
      <c r="D125" s="5">
        <v>15000.0</v>
      </c>
      <c r="E125" s="3">
        <v>3.9856806300059E13</v>
      </c>
      <c r="F125" s="3" t="s">
        <v>267</v>
      </c>
      <c r="G125" s="4">
        <v>43339.0</v>
      </c>
      <c r="H125" s="3" t="s">
        <v>352</v>
      </c>
      <c r="I125" s="3" t="s">
        <v>17</v>
      </c>
      <c r="J125" s="3" t="s">
        <v>18</v>
      </c>
      <c r="K125" s="3" t="s">
        <v>347</v>
      </c>
      <c r="L125" s="3" t="s">
        <v>20</v>
      </c>
      <c r="M125" s="3" t="s">
        <v>21</v>
      </c>
      <c r="N125" s="3">
        <v>1.0</v>
      </c>
    </row>
    <row r="126">
      <c r="A126" s="3" t="s">
        <v>442</v>
      </c>
      <c r="B126" s="3" t="s">
        <v>105</v>
      </c>
      <c r="C126" s="3" t="str">
        <f t="shared" si="1"/>
        <v>15000.00</v>
      </c>
      <c r="D126" s="5">
        <v>15000.0</v>
      </c>
      <c r="E126" s="3">
        <v>5.2539664400011E13</v>
      </c>
      <c r="F126" s="3" t="s">
        <v>443</v>
      </c>
      <c r="G126" s="4">
        <v>43418.0</v>
      </c>
      <c r="H126" s="3" t="s">
        <v>446</v>
      </c>
      <c r="I126" s="3" t="s">
        <v>17</v>
      </c>
      <c r="J126" s="3" t="s">
        <v>48</v>
      </c>
      <c r="K126" s="3" t="s">
        <v>445</v>
      </c>
      <c r="L126" s="3" t="s">
        <v>20</v>
      </c>
      <c r="M126" s="3" t="s">
        <v>21</v>
      </c>
      <c r="N126" s="3">
        <v>1.0</v>
      </c>
    </row>
    <row r="127">
      <c r="A127" s="3" t="s">
        <v>249</v>
      </c>
      <c r="B127" s="3" t="s">
        <v>414</v>
      </c>
      <c r="C127" s="3" t="str">
        <f t="shared" si="1"/>
        <v>1500.00</v>
      </c>
      <c r="D127" s="5">
        <v>1500.0</v>
      </c>
      <c r="E127" s="3">
        <v>4.8237148100029E13</v>
      </c>
      <c r="F127" s="3" t="s">
        <v>303</v>
      </c>
      <c r="G127" s="4">
        <v>43368.0</v>
      </c>
      <c r="H127" s="3" t="s">
        <v>413</v>
      </c>
      <c r="I127" s="3" t="s">
        <v>17</v>
      </c>
      <c r="J127" s="3" t="s">
        <v>48</v>
      </c>
      <c r="K127" s="3" t="s">
        <v>400</v>
      </c>
      <c r="L127" s="3" t="s">
        <v>20</v>
      </c>
      <c r="M127" s="3" t="s">
        <v>21</v>
      </c>
      <c r="N127" s="3">
        <v>1.0</v>
      </c>
    </row>
    <row r="128">
      <c r="A128" s="3" t="s">
        <v>194</v>
      </c>
      <c r="B128" s="3" t="s">
        <v>195</v>
      </c>
      <c r="C128" s="3" t="str">
        <f t="shared" si="1"/>
        <v>14825.00</v>
      </c>
      <c r="D128" s="5">
        <v>14825.0</v>
      </c>
      <c r="E128" s="3">
        <v>8.0294758E8</v>
      </c>
      <c r="F128" s="3" t="s">
        <v>196</v>
      </c>
      <c r="G128" s="4">
        <v>43269.0</v>
      </c>
      <c r="H128" s="3" t="s">
        <v>197</v>
      </c>
      <c r="I128" s="3" t="s">
        <v>17</v>
      </c>
      <c r="J128" s="3" t="s">
        <v>18</v>
      </c>
      <c r="K128" s="3" t="s">
        <v>187</v>
      </c>
      <c r="L128" s="3" t="s">
        <v>20</v>
      </c>
      <c r="M128" s="3" t="s">
        <v>21</v>
      </c>
      <c r="N128" s="3">
        <v>1.0</v>
      </c>
    </row>
    <row r="129">
      <c r="A129" s="3" t="s">
        <v>415</v>
      </c>
      <c r="B129" s="3" t="s">
        <v>416</v>
      </c>
      <c r="C129" s="3" t="str">
        <f t="shared" si="1"/>
        <v>14250.00</v>
      </c>
      <c r="D129" s="5">
        <v>14250.0</v>
      </c>
      <c r="E129" s="3">
        <v>4.9848483100033E13</v>
      </c>
      <c r="F129" s="3" t="s">
        <v>417</v>
      </c>
      <c r="G129" s="4">
        <v>43391.0</v>
      </c>
      <c r="H129" s="3" t="s">
        <v>16</v>
      </c>
      <c r="I129" s="3" t="s">
        <v>17</v>
      </c>
      <c r="J129" s="3" t="s">
        <v>18</v>
      </c>
      <c r="K129" s="3" t="s">
        <v>418</v>
      </c>
      <c r="L129" s="3" t="s">
        <v>20</v>
      </c>
      <c r="M129" s="3" t="s">
        <v>21</v>
      </c>
      <c r="N129" s="3">
        <v>1.0</v>
      </c>
    </row>
    <row r="130">
      <c r="A130" s="3" t="s">
        <v>448</v>
      </c>
      <c r="B130" s="3" t="s">
        <v>416</v>
      </c>
      <c r="C130" s="3" t="str">
        <f t="shared" si="1"/>
        <v>14250.00</v>
      </c>
      <c r="D130" s="5">
        <v>14250.0</v>
      </c>
      <c r="E130" s="3">
        <v>8.312204960001E13</v>
      </c>
      <c r="F130" s="3" t="s">
        <v>449</v>
      </c>
      <c r="G130" s="4">
        <v>43419.0</v>
      </c>
      <c r="H130" s="3" t="s">
        <v>450</v>
      </c>
      <c r="I130" s="3" t="s">
        <v>17</v>
      </c>
      <c r="J130" s="3" t="s">
        <v>18</v>
      </c>
      <c r="K130" s="3" t="s">
        <v>451</v>
      </c>
      <c r="L130" s="3" t="s">
        <v>20</v>
      </c>
      <c r="M130" s="3" t="s">
        <v>21</v>
      </c>
      <c r="N130" s="3">
        <v>1.0</v>
      </c>
    </row>
    <row r="131">
      <c r="A131" s="3" t="s">
        <v>208</v>
      </c>
      <c r="B131" s="3" t="s">
        <v>209</v>
      </c>
      <c r="C131" s="3" t="str">
        <f t="shared" si="1"/>
        <v>14000.00</v>
      </c>
      <c r="D131" s="5">
        <v>14000.0</v>
      </c>
      <c r="E131" s="3">
        <v>8.09584576E8</v>
      </c>
      <c r="F131" s="3" t="s">
        <v>119</v>
      </c>
      <c r="G131" s="4">
        <v>43252.0</v>
      </c>
      <c r="H131" s="3" t="s">
        <v>120</v>
      </c>
      <c r="I131" s="3" t="s">
        <v>17</v>
      </c>
      <c r="J131" s="3" t="s">
        <v>18</v>
      </c>
      <c r="K131" s="3" t="s">
        <v>134</v>
      </c>
      <c r="L131" s="3" t="s">
        <v>20</v>
      </c>
      <c r="M131" s="3" t="s">
        <v>21</v>
      </c>
      <c r="N131" s="3">
        <v>1.0</v>
      </c>
    </row>
    <row r="132">
      <c r="A132" s="3" t="s">
        <v>328</v>
      </c>
      <c r="B132" s="3" t="s">
        <v>209</v>
      </c>
      <c r="C132" s="3" t="str">
        <f t="shared" si="1"/>
        <v>14000.00</v>
      </c>
      <c r="D132" s="5">
        <v>14000.0</v>
      </c>
      <c r="E132" s="3">
        <v>4.3403882400042E13</v>
      </c>
      <c r="F132" s="3" t="s">
        <v>452</v>
      </c>
      <c r="G132" s="4">
        <v>43420.0</v>
      </c>
      <c r="H132" s="3" t="s">
        <v>453</v>
      </c>
      <c r="I132" s="3" t="s">
        <v>17</v>
      </c>
      <c r="J132" s="3" t="s">
        <v>18</v>
      </c>
      <c r="K132" s="3" t="s">
        <v>454</v>
      </c>
      <c r="L132" s="3" t="s">
        <v>20</v>
      </c>
      <c r="M132" s="3" t="s">
        <v>21</v>
      </c>
      <c r="N132" s="3">
        <v>1.0</v>
      </c>
    </row>
    <row r="133">
      <c r="A133" s="3" t="s">
        <v>309</v>
      </c>
      <c r="B133" s="3" t="s">
        <v>310</v>
      </c>
      <c r="C133" s="3" t="str">
        <f t="shared" si="1"/>
        <v>139000.00</v>
      </c>
      <c r="D133" s="5">
        <v>139000.0</v>
      </c>
      <c r="E133" s="3">
        <v>3.7796404400038E13</v>
      </c>
      <c r="F133" s="3" t="s">
        <v>311</v>
      </c>
      <c r="G133" s="4">
        <v>43306.0</v>
      </c>
      <c r="H133" s="3" t="s">
        <v>312</v>
      </c>
      <c r="I133" s="3" t="s">
        <v>17</v>
      </c>
      <c r="J133" s="3" t="s">
        <v>18</v>
      </c>
      <c r="K133" s="3" t="s">
        <v>308</v>
      </c>
      <c r="L133" s="3" t="s">
        <v>20</v>
      </c>
      <c r="M133" s="3" t="s">
        <v>21</v>
      </c>
      <c r="N133" s="3">
        <v>1.0</v>
      </c>
    </row>
    <row r="134">
      <c r="A134" s="3" t="s">
        <v>113</v>
      </c>
      <c r="B134" s="3" t="s">
        <v>114</v>
      </c>
      <c r="C134" s="3" t="str">
        <f t="shared" si="1"/>
        <v>137000.00</v>
      </c>
      <c r="D134" s="5">
        <v>137000.0</v>
      </c>
      <c r="E134" s="3">
        <v>4.95009441E8</v>
      </c>
      <c r="F134" s="3" t="s">
        <v>115</v>
      </c>
      <c r="G134" s="4">
        <v>43235.0</v>
      </c>
      <c r="H134" s="3" t="s">
        <v>16</v>
      </c>
      <c r="I134" s="3" t="s">
        <v>17</v>
      </c>
      <c r="J134" s="3" t="s">
        <v>18</v>
      </c>
      <c r="K134" s="3" t="s">
        <v>116</v>
      </c>
      <c r="L134" s="3" t="s">
        <v>20</v>
      </c>
      <c r="M134" s="3" t="s">
        <v>21</v>
      </c>
      <c r="N134" s="3">
        <v>1.0</v>
      </c>
    </row>
    <row r="135">
      <c r="A135" s="3" t="s">
        <v>289</v>
      </c>
      <c r="B135" s="3" t="s">
        <v>315</v>
      </c>
      <c r="C135" s="3" t="str">
        <f t="shared" si="1"/>
        <v>13538.00</v>
      </c>
      <c r="D135" s="5">
        <v>13538.0</v>
      </c>
      <c r="E135" s="3">
        <v>8.0127165100011E13</v>
      </c>
      <c r="F135" s="3" t="s">
        <v>303</v>
      </c>
      <c r="G135" s="4">
        <v>43298.0</v>
      </c>
      <c r="H135" s="3" t="s">
        <v>316</v>
      </c>
      <c r="I135" s="3" t="s">
        <v>17</v>
      </c>
      <c r="J135" s="3" t="s">
        <v>18</v>
      </c>
      <c r="K135" s="3" t="s">
        <v>317</v>
      </c>
      <c r="L135" s="3" t="s">
        <v>20</v>
      </c>
      <c r="M135" s="3" t="s">
        <v>21</v>
      </c>
      <c r="N135" s="3">
        <v>1.0</v>
      </c>
    </row>
    <row r="136">
      <c r="A136" s="3" t="s">
        <v>394</v>
      </c>
      <c r="B136" s="3" t="s">
        <v>395</v>
      </c>
      <c r="C136" s="3" t="str">
        <f t="shared" si="1"/>
        <v>133663.21</v>
      </c>
      <c r="D136" s="5">
        <v>133663.21</v>
      </c>
      <c r="E136" s="3">
        <v>7.8184992200021E13</v>
      </c>
      <c r="F136" s="3" t="s">
        <v>396</v>
      </c>
      <c r="G136" s="4">
        <v>43361.0</v>
      </c>
      <c r="H136" s="3" t="s">
        <v>397</v>
      </c>
      <c r="I136" s="3" t="s">
        <v>17</v>
      </c>
      <c r="J136" s="3" t="s">
        <v>48</v>
      </c>
      <c r="K136" s="3" t="s">
        <v>398</v>
      </c>
      <c r="L136" s="3" t="s">
        <v>20</v>
      </c>
      <c r="M136" s="3" t="s">
        <v>21</v>
      </c>
      <c r="N136" s="3">
        <v>1.0</v>
      </c>
    </row>
    <row r="137">
      <c r="A137" s="3" t="s">
        <v>22</v>
      </c>
      <c r="B137" s="3" t="s">
        <v>377</v>
      </c>
      <c r="C137" s="3" t="str">
        <f t="shared" si="1"/>
        <v>13000.00</v>
      </c>
      <c r="D137" s="5">
        <v>13000.0</v>
      </c>
      <c r="E137" s="3">
        <v>4.8856661300037E13</v>
      </c>
      <c r="F137" s="3" t="s">
        <v>376</v>
      </c>
      <c r="G137" s="4">
        <v>43335.0</v>
      </c>
      <c r="H137" s="3" t="s">
        <v>337</v>
      </c>
      <c r="I137" s="3" t="s">
        <v>17</v>
      </c>
      <c r="J137" s="3" t="s">
        <v>48</v>
      </c>
      <c r="K137" s="3" t="s">
        <v>343</v>
      </c>
      <c r="L137" s="3" t="s">
        <v>20</v>
      </c>
      <c r="M137" s="3" t="s">
        <v>21</v>
      </c>
      <c r="N137" s="3">
        <v>1.0</v>
      </c>
    </row>
    <row r="138">
      <c r="A138" s="3" t="s">
        <v>442</v>
      </c>
      <c r="B138" s="3" t="s">
        <v>377</v>
      </c>
      <c r="C138" s="3" t="str">
        <f t="shared" si="1"/>
        <v>13000.00</v>
      </c>
      <c r="D138" s="5">
        <v>13000.0</v>
      </c>
      <c r="E138" s="3">
        <v>5.2539664400011E13</v>
      </c>
      <c r="F138" s="3" t="s">
        <v>443</v>
      </c>
      <c r="G138" s="4">
        <v>43418.0</v>
      </c>
      <c r="H138" s="3" t="s">
        <v>444</v>
      </c>
      <c r="I138" s="3" t="s">
        <v>17</v>
      </c>
      <c r="J138" s="3" t="s">
        <v>18</v>
      </c>
      <c r="K138" s="3" t="s">
        <v>445</v>
      </c>
      <c r="L138" s="3" t="s">
        <v>20</v>
      </c>
      <c r="M138" s="3" t="s">
        <v>21</v>
      </c>
      <c r="N138" s="3">
        <v>1.0</v>
      </c>
    </row>
    <row r="139">
      <c r="A139" s="3" t="s">
        <v>176</v>
      </c>
      <c r="B139" s="3" t="s">
        <v>177</v>
      </c>
      <c r="C139" s="3" t="str">
        <f t="shared" si="1"/>
        <v>12600.00</v>
      </c>
      <c r="D139" s="5">
        <v>12600.0</v>
      </c>
      <c r="E139" s="3">
        <v>7.9836587E8</v>
      </c>
      <c r="F139" s="3" t="s">
        <v>119</v>
      </c>
      <c r="G139" s="4">
        <v>43264.0</v>
      </c>
      <c r="H139" s="3" t="s">
        <v>174</v>
      </c>
      <c r="I139" s="3" t="s">
        <v>17</v>
      </c>
      <c r="J139" s="3" t="s">
        <v>18</v>
      </c>
      <c r="K139" s="3" t="s">
        <v>178</v>
      </c>
      <c r="L139" s="3" t="s">
        <v>20</v>
      </c>
      <c r="M139" s="3" t="s">
        <v>21</v>
      </c>
      <c r="N139" s="3">
        <v>1.0</v>
      </c>
    </row>
    <row r="140">
      <c r="A140" s="3" t="s">
        <v>380</v>
      </c>
      <c r="B140" s="3" t="s">
        <v>384</v>
      </c>
      <c r="C140" s="3" t="str">
        <f t="shared" si="1"/>
        <v>120000.00</v>
      </c>
      <c r="D140" s="5">
        <v>120000.0</v>
      </c>
      <c r="E140" s="3">
        <v>3.9988425300036E13</v>
      </c>
      <c r="F140" s="3" t="s">
        <v>382</v>
      </c>
      <c r="G140" s="4">
        <v>43353.0</v>
      </c>
      <c r="H140" s="3" t="s">
        <v>276</v>
      </c>
      <c r="I140" s="3" t="s">
        <v>17</v>
      </c>
      <c r="J140" s="3" t="s">
        <v>18</v>
      </c>
      <c r="K140" s="3" t="s">
        <v>383</v>
      </c>
      <c r="L140" s="3" t="s">
        <v>20</v>
      </c>
      <c r="M140" s="3" t="s">
        <v>21</v>
      </c>
      <c r="N140" s="3">
        <v>1.0</v>
      </c>
    </row>
    <row r="141">
      <c r="A141" s="3" t="s">
        <v>27</v>
      </c>
      <c r="B141" s="3" t="s">
        <v>28</v>
      </c>
      <c r="C141" s="3" t="str">
        <f t="shared" si="1"/>
        <v>114000.00</v>
      </c>
      <c r="D141" s="5">
        <v>114000.0</v>
      </c>
      <c r="E141" s="3">
        <v>4.44337588E8</v>
      </c>
      <c r="F141" s="3" t="s">
        <v>29</v>
      </c>
      <c r="G141" s="4">
        <v>43112.0</v>
      </c>
      <c r="H141" s="3" t="s">
        <v>30</v>
      </c>
      <c r="I141" s="3" t="s">
        <v>17</v>
      </c>
      <c r="J141" s="3" t="s">
        <v>18</v>
      </c>
      <c r="K141" s="3" t="s">
        <v>31</v>
      </c>
      <c r="L141" s="3" t="s">
        <v>20</v>
      </c>
      <c r="M141" s="3" t="s">
        <v>21</v>
      </c>
      <c r="N141" s="3">
        <v>1.0</v>
      </c>
    </row>
    <row r="142">
      <c r="A142" s="3" t="s">
        <v>27</v>
      </c>
      <c r="B142" s="3" t="s">
        <v>28</v>
      </c>
      <c r="C142" s="3" t="str">
        <f t="shared" si="1"/>
        <v>114000.00</v>
      </c>
      <c r="D142" s="5">
        <v>114000.0</v>
      </c>
      <c r="E142" s="3">
        <v>4.44337588E8</v>
      </c>
      <c r="F142" s="3" t="s">
        <v>82</v>
      </c>
      <c r="G142" s="4">
        <v>43172.0</v>
      </c>
      <c r="H142" s="3" t="s">
        <v>16</v>
      </c>
      <c r="I142" s="3" t="s">
        <v>17</v>
      </c>
      <c r="J142" s="3" t="s">
        <v>18</v>
      </c>
      <c r="K142" s="3" t="s">
        <v>83</v>
      </c>
      <c r="L142" s="3" t="s">
        <v>20</v>
      </c>
      <c r="M142" s="3" t="s">
        <v>21</v>
      </c>
      <c r="N142" s="3">
        <v>1.0</v>
      </c>
    </row>
    <row r="143">
      <c r="A143" s="3" t="s">
        <v>160</v>
      </c>
      <c r="B143" s="3" t="s">
        <v>161</v>
      </c>
      <c r="C143" s="3" t="str">
        <f t="shared" si="1"/>
        <v>11000.00</v>
      </c>
      <c r="D143" s="5">
        <v>11000.0</v>
      </c>
      <c r="E143" s="3">
        <v>8.24274781E8</v>
      </c>
      <c r="F143" s="3" t="s">
        <v>119</v>
      </c>
      <c r="G143" s="4">
        <v>43252.0</v>
      </c>
      <c r="H143" s="3" t="s">
        <v>120</v>
      </c>
      <c r="I143" s="3" t="s">
        <v>17</v>
      </c>
      <c r="J143" s="3" t="s">
        <v>18</v>
      </c>
      <c r="K143" s="3" t="s">
        <v>134</v>
      </c>
      <c r="L143" s="3" t="s">
        <v>20</v>
      </c>
      <c r="M143" s="3" t="s">
        <v>21</v>
      </c>
      <c r="N143" s="3">
        <v>1.0</v>
      </c>
    </row>
    <row r="144">
      <c r="A144" s="3" t="s">
        <v>227</v>
      </c>
      <c r="B144" s="3" t="s">
        <v>161</v>
      </c>
      <c r="C144" s="3" t="str">
        <f t="shared" si="1"/>
        <v>11000.00</v>
      </c>
      <c r="D144" s="5">
        <v>11000.0</v>
      </c>
      <c r="E144" s="3">
        <v>3.4169319000033E13</v>
      </c>
      <c r="F144" s="3" t="s">
        <v>399</v>
      </c>
      <c r="G144" s="4">
        <v>43371.0</v>
      </c>
      <c r="H144" s="3" t="s">
        <v>337</v>
      </c>
      <c r="I144" s="3" t="s">
        <v>17</v>
      </c>
      <c r="J144" s="3" t="s">
        <v>48</v>
      </c>
      <c r="K144" s="3" t="s">
        <v>405</v>
      </c>
      <c r="L144" s="3" t="s">
        <v>20</v>
      </c>
      <c r="M144" s="3" t="s">
        <v>21</v>
      </c>
      <c r="N144" s="3">
        <v>1.0</v>
      </c>
    </row>
    <row r="145">
      <c r="A145" s="3" t="s">
        <v>45</v>
      </c>
      <c r="B145" s="3" t="s">
        <v>46</v>
      </c>
      <c r="C145" s="3" t="str">
        <f t="shared" si="1"/>
        <v>10870.00</v>
      </c>
      <c r="D145" s="5">
        <v>10870.0</v>
      </c>
      <c r="E145" s="3">
        <v>7.89105954E8</v>
      </c>
      <c r="F145" s="3" t="s">
        <v>47</v>
      </c>
      <c r="G145" s="4">
        <v>43091.0</v>
      </c>
      <c r="H145" s="3" t="s">
        <v>16</v>
      </c>
      <c r="I145" s="3" t="s">
        <v>17</v>
      </c>
      <c r="J145" s="3" t="s">
        <v>48</v>
      </c>
      <c r="K145" s="3" t="s">
        <v>26</v>
      </c>
      <c r="L145" s="3" t="s">
        <v>20</v>
      </c>
      <c r="M145" s="3" t="s">
        <v>21</v>
      </c>
      <c r="N145" s="3">
        <v>1.0</v>
      </c>
    </row>
    <row r="146">
      <c r="A146" s="3" t="s">
        <v>378</v>
      </c>
      <c r="B146" s="3" t="s">
        <v>379</v>
      </c>
      <c r="C146" s="3" t="str">
        <f t="shared" si="1"/>
        <v>10300.00</v>
      </c>
      <c r="D146" s="5">
        <v>10300.0</v>
      </c>
      <c r="E146" s="3">
        <v>3.3348540700014E13</v>
      </c>
      <c r="F146" s="3" t="s">
        <v>376</v>
      </c>
      <c r="G146" s="4">
        <v>43342.0</v>
      </c>
      <c r="H146" s="3" t="s">
        <v>337</v>
      </c>
      <c r="I146" s="3" t="s">
        <v>17</v>
      </c>
      <c r="J146" s="3" t="s">
        <v>48</v>
      </c>
      <c r="K146" s="3" t="s">
        <v>372</v>
      </c>
      <c r="L146" s="3" t="s">
        <v>20</v>
      </c>
      <c r="M146" s="3" t="s">
        <v>21</v>
      </c>
      <c r="N146" s="3">
        <v>1.0</v>
      </c>
    </row>
    <row r="147">
      <c r="A147" s="3" t="s">
        <v>117</v>
      </c>
      <c r="B147" s="3" t="s">
        <v>118</v>
      </c>
      <c r="C147" s="3" t="str">
        <f t="shared" si="1"/>
        <v>10000.00</v>
      </c>
      <c r="D147" s="5">
        <v>10000.0</v>
      </c>
      <c r="E147" s="3">
        <v>8.21354933E8</v>
      </c>
      <c r="F147" s="3" t="s">
        <v>119</v>
      </c>
      <c r="G147" s="4">
        <v>43244.0</v>
      </c>
      <c r="H147" s="3" t="s">
        <v>120</v>
      </c>
      <c r="I147" s="3" t="s">
        <v>17</v>
      </c>
      <c r="J147" s="3" t="s">
        <v>18</v>
      </c>
      <c r="K147" s="3" t="s">
        <v>121</v>
      </c>
      <c r="L147" s="3" t="s">
        <v>20</v>
      </c>
      <c r="M147" s="3" t="s">
        <v>21</v>
      </c>
      <c r="N147" s="3">
        <v>1.0</v>
      </c>
    </row>
    <row r="148">
      <c r="A148" s="3" t="s">
        <v>127</v>
      </c>
      <c r="B148" s="3" t="s">
        <v>118</v>
      </c>
      <c r="C148" s="3" t="str">
        <f t="shared" si="1"/>
        <v>10000.00</v>
      </c>
      <c r="D148" s="5">
        <v>10000.0</v>
      </c>
      <c r="E148" s="3">
        <v>7.89632254E8</v>
      </c>
      <c r="F148" s="3" t="s">
        <v>119</v>
      </c>
      <c r="G148" s="4">
        <v>43250.0</v>
      </c>
      <c r="H148" s="3" t="s">
        <v>120</v>
      </c>
      <c r="I148" s="3" t="s">
        <v>17</v>
      </c>
      <c r="J148" s="3" t="s">
        <v>18</v>
      </c>
      <c r="K148" s="3" t="s">
        <v>128</v>
      </c>
      <c r="L148" s="3" t="s">
        <v>20</v>
      </c>
      <c r="M148" s="3" t="s">
        <v>21</v>
      </c>
      <c r="N148" s="3">
        <v>1.0</v>
      </c>
    </row>
    <row r="149">
      <c r="A149" s="3" t="s">
        <v>266</v>
      </c>
      <c r="B149" s="3" t="s">
        <v>118</v>
      </c>
      <c r="C149" s="3" t="str">
        <f t="shared" si="1"/>
        <v>10000.00</v>
      </c>
      <c r="D149" s="5">
        <v>10000.0</v>
      </c>
      <c r="E149" s="3">
        <v>8.2982336800016E13</v>
      </c>
      <c r="F149" s="3" t="s">
        <v>267</v>
      </c>
      <c r="G149" s="4">
        <v>43263.0</v>
      </c>
      <c r="H149" s="3" t="s">
        <v>268</v>
      </c>
      <c r="I149" s="3" t="s">
        <v>17</v>
      </c>
      <c r="J149" s="3" t="s">
        <v>18</v>
      </c>
      <c r="K149" s="3" t="s">
        <v>175</v>
      </c>
      <c r="L149" s="3" t="s">
        <v>20</v>
      </c>
      <c r="M149" s="3" t="s">
        <v>21</v>
      </c>
      <c r="N149" s="3">
        <v>1.0</v>
      </c>
    </row>
    <row r="150">
      <c r="A150" s="3" t="s">
        <v>274</v>
      </c>
      <c r="B150" s="3" t="s">
        <v>118</v>
      </c>
      <c r="C150" s="3" t="str">
        <f t="shared" si="1"/>
        <v>10000.00</v>
      </c>
      <c r="D150" s="5">
        <v>10000.0</v>
      </c>
      <c r="E150" s="3">
        <v>8.221340780001E13</v>
      </c>
      <c r="F150" s="3" t="s">
        <v>275</v>
      </c>
      <c r="G150" s="4">
        <v>43299.0</v>
      </c>
      <c r="H150" s="3" t="s">
        <v>276</v>
      </c>
      <c r="I150" s="3" t="s">
        <v>17</v>
      </c>
      <c r="J150" s="3" t="s">
        <v>18</v>
      </c>
      <c r="K150" s="3" t="s">
        <v>273</v>
      </c>
      <c r="L150" s="3" t="s">
        <v>20</v>
      </c>
      <c r="M150" s="3" t="s">
        <v>21</v>
      </c>
      <c r="N150" s="3">
        <v>1.0</v>
      </c>
    </row>
    <row r="151">
      <c r="A151" s="3" t="s">
        <v>281</v>
      </c>
      <c r="B151" s="3" t="s">
        <v>118</v>
      </c>
      <c r="C151" s="3" t="str">
        <f t="shared" si="1"/>
        <v>10000.00</v>
      </c>
      <c r="D151" s="5">
        <v>10000.0</v>
      </c>
      <c r="E151" s="3">
        <v>7.5198395800024E13</v>
      </c>
      <c r="F151" s="3" t="s">
        <v>267</v>
      </c>
      <c r="G151" s="4">
        <v>43276.0</v>
      </c>
      <c r="H151" s="3" t="s">
        <v>282</v>
      </c>
      <c r="I151" s="3" t="s">
        <v>17</v>
      </c>
      <c r="J151" s="3" t="s">
        <v>18</v>
      </c>
      <c r="K151" s="3" t="s">
        <v>283</v>
      </c>
      <c r="L151" s="3" t="s">
        <v>20</v>
      </c>
      <c r="M151" s="3" t="s">
        <v>21</v>
      </c>
      <c r="N151" s="3" t="s">
        <v>284</v>
      </c>
    </row>
    <row r="152">
      <c r="A152" s="3" t="s">
        <v>22</v>
      </c>
      <c r="B152" s="3" t="s">
        <v>118</v>
      </c>
      <c r="C152" s="3" t="str">
        <f t="shared" si="1"/>
        <v>10000.00</v>
      </c>
      <c r="D152" s="5">
        <v>10000.0</v>
      </c>
      <c r="E152" s="3">
        <v>4.8856661300037E13</v>
      </c>
      <c r="F152" s="3" t="s">
        <v>303</v>
      </c>
      <c r="G152" s="4">
        <v>43285.0</v>
      </c>
      <c r="H152" s="3" t="s">
        <v>304</v>
      </c>
      <c r="I152" s="3" t="s">
        <v>17</v>
      </c>
      <c r="J152" s="3" t="s">
        <v>18</v>
      </c>
      <c r="K152" s="3" t="s">
        <v>256</v>
      </c>
      <c r="L152" s="3" t="s">
        <v>20</v>
      </c>
      <c r="M152" s="3" t="s">
        <v>21</v>
      </c>
      <c r="N152" s="3">
        <v>1.0</v>
      </c>
    </row>
    <row r="153">
      <c r="A153" s="3" t="s">
        <v>41</v>
      </c>
      <c r="C153" s="3" t="str">
        <f t="shared" si="1"/>
        <v/>
      </c>
      <c r="D153" s="5" t="s">
        <v>455</v>
      </c>
    </row>
    <row r="154">
      <c r="A154" s="3" t="s">
        <v>94</v>
      </c>
      <c r="C154" s="3" t="str">
        <f t="shared" si="1"/>
        <v/>
      </c>
      <c r="D154" s="5" t="s">
        <v>455</v>
      </c>
    </row>
    <row r="155">
      <c r="A155" s="3" t="s">
        <v>248</v>
      </c>
      <c r="C155" s="3" t="str">
        <f t="shared" si="1"/>
        <v/>
      </c>
      <c r="D155" s="5" t="s">
        <v>455</v>
      </c>
    </row>
    <row r="156">
      <c r="A156" s="3" t="s">
        <v>391</v>
      </c>
      <c r="C156" s="3" t="str">
        <f t="shared" si="1"/>
        <v/>
      </c>
      <c r="D156" s="5" t="s">
        <v>455</v>
      </c>
    </row>
    <row r="157">
      <c r="A157" s="3" t="s">
        <v>12</v>
      </c>
      <c r="C157" s="3" t="str">
        <f t="shared" si="1"/>
        <v/>
      </c>
      <c r="D157" s="5" t="s">
        <v>455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hidden="1" min="3" max="1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61</v>
      </c>
      <c r="B2" s="5">
        <v>4372007.0</v>
      </c>
      <c r="C2" s="3">
        <v>7.81814488E8</v>
      </c>
      <c r="D2" s="3" t="s">
        <v>63</v>
      </c>
      <c r="E2" s="4">
        <v>43136.0</v>
      </c>
      <c r="F2" s="3" t="s">
        <v>16</v>
      </c>
      <c r="G2" s="3" t="s">
        <v>17</v>
      </c>
      <c r="H2" s="3" t="s">
        <v>18</v>
      </c>
      <c r="I2" s="3" t="s">
        <v>64</v>
      </c>
      <c r="J2" s="3" t="s">
        <v>20</v>
      </c>
      <c r="K2" s="3" t="s">
        <v>21</v>
      </c>
      <c r="L2" s="3">
        <v>1.0</v>
      </c>
    </row>
    <row r="3">
      <c r="A3" s="3" t="s">
        <v>360</v>
      </c>
      <c r="B3" s="5">
        <v>3000000.0</v>
      </c>
      <c r="C3" s="3">
        <v>7.8180455400017E13</v>
      </c>
      <c r="D3" s="3" t="s">
        <v>362</v>
      </c>
      <c r="E3" s="4">
        <v>43145.0</v>
      </c>
      <c r="F3" s="3" t="s">
        <v>16</v>
      </c>
      <c r="G3" s="3" t="s">
        <v>17</v>
      </c>
      <c r="H3" s="3" t="s">
        <v>18</v>
      </c>
      <c r="I3" s="3" t="s">
        <v>363</v>
      </c>
      <c r="J3" s="3" t="s">
        <v>20</v>
      </c>
      <c r="K3" s="3" t="s">
        <v>21</v>
      </c>
      <c r="L3" s="3">
        <v>1.0</v>
      </c>
    </row>
    <row r="4">
      <c r="A4" s="3" t="s">
        <v>42</v>
      </c>
      <c r="B4" s="5">
        <v>1680000.0</v>
      </c>
      <c r="C4" s="3">
        <v>4.83013405E8</v>
      </c>
      <c r="D4" s="3" t="s">
        <v>44</v>
      </c>
      <c r="E4" s="4">
        <v>43091.0</v>
      </c>
      <c r="F4" s="3" t="s">
        <v>16</v>
      </c>
      <c r="G4" s="3" t="s">
        <v>17</v>
      </c>
      <c r="H4" s="3" t="s">
        <v>18</v>
      </c>
      <c r="I4" s="3" t="s">
        <v>26</v>
      </c>
      <c r="J4" s="3" t="s">
        <v>20</v>
      </c>
      <c r="K4" s="3" t="s">
        <v>21</v>
      </c>
      <c r="L4" s="3">
        <v>1.0</v>
      </c>
    </row>
    <row r="5">
      <c r="A5" s="3" t="s">
        <v>305</v>
      </c>
      <c r="B5" s="5">
        <v>420000.0</v>
      </c>
      <c r="C5" s="3">
        <v>3.7781852100025E13</v>
      </c>
      <c r="D5" s="3" t="s">
        <v>307</v>
      </c>
      <c r="E5" s="4">
        <v>43306.0</v>
      </c>
      <c r="F5" s="3" t="s">
        <v>16</v>
      </c>
      <c r="G5" s="3" t="s">
        <v>17</v>
      </c>
      <c r="H5" s="3" t="s">
        <v>18</v>
      </c>
      <c r="I5" s="3" t="s">
        <v>308</v>
      </c>
      <c r="J5" s="3" t="s">
        <v>20</v>
      </c>
      <c r="K5" s="3" t="s">
        <v>21</v>
      </c>
      <c r="L5" s="3">
        <v>1.0</v>
      </c>
    </row>
    <row r="6">
      <c r="A6" s="3" t="s">
        <v>179</v>
      </c>
      <c r="B6" s="5">
        <v>407253.0</v>
      </c>
      <c r="C6" s="3">
        <v>3.21237034E8</v>
      </c>
      <c r="D6" s="3" t="s">
        <v>181</v>
      </c>
      <c r="E6" s="4">
        <v>43259.0</v>
      </c>
      <c r="F6" s="3" t="s">
        <v>16</v>
      </c>
      <c r="G6" s="3" t="s">
        <v>17</v>
      </c>
      <c r="H6" s="3" t="s">
        <v>18</v>
      </c>
      <c r="I6" s="3" t="s">
        <v>172</v>
      </c>
      <c r="J6" s="3" t="s">
        <v>20</v>
      </c>
      <c r="K6" s="3" t="s">
        <v>21</v>
      </c>
      <c r="L6" s="3">
        <v>1.0</v>
      </c>
    </row>
    <row r="7">
      <c r="A7" s="3" t="s">
        <v>218</v>
      </c>
      <c r="B7" s="5">
        <v>332775.0</v>
      </c>
      <c r="C7" s="3">
        <v>4.09199817E8</v>
      </c>
      <c r="D7" s="3" t="s">
        <v>220</v>
      </c>
      <c r="E7" s="4">
        <v>43271.0</v>
      </c>
      <c r="F7" s="3" t="s">
        <v>16</v>
      </c>
      <c r="G7" s="3" t="s">
        <v>17</v>
      </c>
      <c r="H7" s="3" t="s">
        <v>18</v>
      </c>
      <c r="I7" s="3" t="s">
        <v>213</v>
      </c>
      <c r="J7" s="3" t="s">
        <v>20</v>
      </c>
      <c r="K7" s="3" t="s">
        <v>21</v>
      </c>
      <c r="L7" s="3">
        <v>1.0</v>
      </c>
    </row>
    <row r="8">
      <c r="A8" s="3" t="s">
        <v>380</v>
      </c>
      <c r="B8" s="5">
        <v>320000.0</v>
      </c>
      <c r="C8" s="3">
        <v>3.9988425300036E13</v>
      </c>
      <c r="D8" s="3" t="s">
        <v>382</v>
      </c>
      <c r="E8" s="4">
        <v>43353.0</v>
      </c>
      <c r="F8" s="3" t="s">
        <v>16</v>
      </c>
      <c r="G8" s="3" t="s">
        <v>17</v>
      </c>
      <c r="H8" s="3" t="s">
        <v>18</v>
      </c>
      <c r="I8" s="3" t="s">
        <v>383</v>
      </c>
      <c r="J8" s="3" t="s">
        <v>20</v>
      </c>
      <c r="K8" s="3" t="s">
        <v>21</v>
      </c>
      <c r="L8" s="3">
        <v>1.0</v>
      </c>
    </row>
    <row r="9">
      <c r="A9" s="3" t="s">
        <v>353</v>
      </c>
      <c r="B9" s="5">
        <v>230000.0</v>
      </c>
      <c r="C9" s="3">
        <v>4.9058526200069E13</v>
      </c>
      <c r="D9" s="3" t="s">
        <v>355</v>
      </c>
      <c r="E9" s="4">
        <v>43182.0</v>
      </c>
      <c r="F9" s="3" t="s">
        <v>16</v>
      </c>
      <c r="G9" s="3" t="s">
        <v>17</v>
      </c>
      <c r="H9" s="3" t="s">
        <v>18</v>
      </c>
      <c r="I9" s="3" t="s">
        <v>103</v>
      </c>
      <c r="J9" s="3" t="s">
        <v>20</v>
      </c>
      <c r="K9" s="3" t="s">
        <v>21</v>
      </c>
      <c r="L9" s="3">
        <v>1.0</v>
      </c>
    </row>
    <row r="10">
      <c r="A10" s="3" t="s">
        <v>252</v>
      </c>
      <c r="B10" s="5">
        <v>200000.0</v>
      </c>
      <c r="C10" s="3">
        <v>4.8875025800011E13</v>
      </c>
      <c r="D10" s="3" t="s">
        <v>254</v>
      </c>
      <c r="E10" s="4">
        <v>43285.0</v>
      </c>
      <c r="F10" s="3" t="s">
        <v>255</v>
      </c>
      <c r="G10" s="3" t="s">
        <v>17</v>
      </c>
      <c r="H10" s="3" t="s">
        <v>18</v>
      </c>
      <c r="I10" s="3" t="s">
        <v>256</v>
      </c>
      <c r="J10" s="3" t="s">
        <v>20</v>
      </c>
      <c r="K10" s="3" t="s">
        <v>21</v>
      </c>
      <c r="L10" s="3">
        <v>1.0</v>
      </c>
    </row>
    <row r="11">
      <c r="A11" s="3" t="s">
        <v>210</v>
      </c>
      <c r="B11" s="5">
        <v>180000.0</v>
      </c>
      <c r="C11" s="3">
        <v>8.18313264E8</v>
      </c>
      <c r="D11" s="3" t="s">
        <v>212</v>
      </c>
      <c r="E11" s="4">
        <v>43271.0</v>
      </c>
      <c r="F11" s="3" t="s">
        <v>16</v>
      </c>
      <c r="G11" s="3" t="s">
        <v>17</v>
      </c>
      <c r="H11" s="3" t="s">
        <v>18</v>
      </c>
      <c r="I11" s="3" t="s">
        <v>213</v>
      </c>
      <c r="J11" s="3" t="s">
        <v>20</v>
      </c>
      <c r="K11" s="3" t="s">
        <v>21</v>
      </c>
      <c r="L11" s="3">
        <v>1.0</v>
      </c>
    </row>
    <row r="12">
      <c r="A12" s="3" t="s">
        <v>358</v>
      </c>
      <c r="B12" s="5">
        <v>180000.0</v>
      </c>
      <c r="C12" s="3">
        <v>7.8184375000048E13</v>
      </c>
      <c r="D12" s="3" t="s">
        <v>359</v>
      </c>
      <c r="E12" s="4">
        <v>43182.0</v>
      </c>
      <c r="F12" s="3" t="s">
        <v>16</v>
      </c>
      <c r="G12" s="3" t="s">
        <v>17</v>
      </c>
      <c r="H12" s="3" t="s">
        <v>18</v>
      </c>
      <c r="I12" s="3" t="s">
        <v>103</v>
      </c>
      <c r="J12" s="3" t="s">
        <v>20</v>
      </c>
      <c r="K12" s="3" t="s">
        <v>21</v>
      </c>
      <c r="L12" s="3">
        <v>1.0</v>
      </c>
    </row>
    <row r="13">
      <c r="A13" s="3" t="s">
        <v>228</v>
      </c>
      <c r="B13" s="5">
        <v>160000.0</v>
      </c>
      <c r="C13" s="3">
        <v>4.20089567E8</v>
      </c>
      <c r="D13" s="3" t="s">
        <v>143</v>
      </c>
      <c r="E13" s="4">
        <v>43269.0</v>
      </c>
      <c r="F13" s="3" t="s">
        <v>230</v>
      </c>
      <c r="G13" s="3" t="s">
        <v>17</v>
      </c>
      <c r="H13" s="3" t="s">
        <v>18</v>
      </c>
      <c r="I13" s="3" t="s">
        <v>187</v>
      </c>
      <c r="J13" s="3" t="s">
        <v>20</v>
      </c>
      <c r="K13" s="3" t="s">
        <v>21</v>
      </c>
      <c r="L13" s="3">
        <v>1.0</v>
      </c>
    </row>
    <row r="14">
      <c r="A14" s="3" t="s">
        <v>89</v>
      </c>
      <c r="B14" s="5">
        <v>150000.0</v>
      </c>
      <c r="C14" s="3">
        <v>5.09079794E8</v>
      </c>
      <c r="D14" s="3" t="s">
        <v>91</v>
      </c>
      <c r="E14" s="4">
        <v>43185.0</v>
      </c>
      <c r="F14" s="3" t="s">
        <v>92</v>
      </c>
      <c r="G14" s="3" t="s">
        <v>17</v>
      </c>
      <c r="H14" s="3" t="s">
        <v>18</v>
      </c>
      <c r="I14" s="3" t="s">
        <v>93</v>
      </c>
      <c r="J14" s="3" t="s">
        <v>20</v>
      </c>
      <c r="K14" s="3" t="s">
        <v>21</v>
      </c>
      <c r="L14" s="3">
        <v>1.0</v>
      </c>
    </row>
    <row r="15">
      <c r="A15" s="3" t="s">
        <v>170</v>
      </c>
      <c r="B15" s="5">
        <v>150000.0</v>
      </c>
      <c r="C15" s="3">
        <v>3.44264759E8</v>
      </c>
      <c r="D15" s="3" t="s">
        <v>143</v>
      </c>
      <c r="E15" s="4">
        <v>43259.0</v>
      </c>
      <c r="F15" s="3" t="s">
        <v>171</v>
      </c>
      <c r="G15" s="3" t="s">
        <v>17</v>
      </c>
      <c r="H15" s="3" t="s">
        <v>18</v>
      </c>
      <c r="I15" s="3" t="s">
        <v>172</v>
      </c>
      <c r="J15" s="3" t="s">
        <v>20</v>
      </c>
      <c r="K15" s="3" t="s">
        <v>21</v>
      </c>
      <c r="L15" s="3">
        <v>1.0</v>
      </c>
    </row>
    <row r="16">
      <c r="A16" s="3" t="s">
        <v>309</v>
      </c>
      <c r="B16" s="5">
        <v>139000.0</v>
      </c>
      <c r="C16" s="3">
        <v>3.7796404400038E13</v>
      </c>
      <c r="D16" s="3" t="s">
        <v>311</v>
      </c>
      <c r="E16" s="4">
        <v>43306.0</v>
      </c>
      <c r="F16" s="3" t="s">
        <v>312</v>
      </c>
      <c r="G16" s="3" t="s">
        <v>17</v>
      </c>
      <c r="H16" s="3" t="s">
        <v>18</v>
      </c>
      <c r="I16" s="3" t="s">
        <v>308</v>
      </c>
      <c r="J16" s="3" t="s">
        <v>20</v>
      </c>
      <c r="K16" s="3" t="s">
        <v>21</v>
      </c>
      <c r="L16" s="3">
        <v>1.0</v>
      </c>
    </row>
    <row r="17">
      <c r="A17" s="3" t="s">
        <v>113</v>
      </c>
      <c r="B17" s="5">
        <v>137000.0</v>
      </c>
      <c r="C17" s="3">
        <v>4.95009441E8</v>
      </c>
      <c r="D17" s="3" t="s">
        <v>115</v>
      </c>
      <c r="E17" s="4">
        <v>43235.0</v>
      </c>
      <c r="F17" s="3" t="s">
        <v>16</v>
      </c>
      <c r="G17" s="3" t="s">
        <v>17</v>
      </c>
      <c r="H17" s="3" t="s">
        <v>18</v>
      </c>
      <c r="I17" s="3" t="s">
        <v>116</v>
      </c>
      <c r="J17" s="3" t="s">
        <v>20</v>
      </c>
      <c r="K17" s="3" t="s">
        <v>21</v>
      </c>
      <c r="L17" s="3">
        <v>1.0</v>
      </c>
    </row>
    <row r="18">
      <c r="A18" s="3" t="s">
        <v>394</v>
      </c>
      <c r="B18" s="5">
        <v>133663.21</v>
      </c>
      <c r="C18" s="3">
        <v>7.8184992200021E13</v>
      </c>
      <c r="D18" s="3" t="s">
        <v>396</v>
      </c>
      <c r="E18" s="4">
        <v>43361.0</v>
      </c>
      <c r="F18" s="3" t="s">
        <v>397</v>
      </c>
      <c r="G18" s="3" t="s">
        <v>17</v>
      </c>
      <c r="H18" s="3" t="s">
        <v>48</v>
      </c>
      <c r="I18" s="3" t="s">
        <v>398</v>
      </c>
      <c r="J18" s="3" t="s">
        <v>20</v>
      </c>
      <c r="K18" s="3" t="s">
        <v>21</v>
      </c>
      <c r="L18" s="3">
        <v>1.0</v>
      </c>
    </row>
    <row r="19">
      <c r="A19" s="3" t="s">
        <v>380</v>
      </c>
      <c r="B19" s="5">
        <v>120000.0</v>
      </c>
      <c r="C19" s="3">
        <v>3.9988425300036E13</v>
      </c>
      <c r="D19" s="3" t="s">
        <v>382</v>
      </c>
      <c r="E19" s="4">
        <v>43353.0</v>
      </c>
      <c r="F19" s="3" t="s">
        <v>276</v>
      </c>
      <c r="G19" s="3" t="s">
        <v>17</v>
      </c>
      <c r="H19" s="3" t="s">
        <v>18</v>
      </c>
      <c r="I19" s="3" t="s">
        <v>383</v>
      </c>
      <c r="J19" s="3" t="s">
        <v>20</v>
      </c>
      <c r="K19" s="3" t="s">
        <v>21</v>
      </c>
      <c r="L19" s="3">
        <v>1.0</v>
      </c>
    </row>
    <row r="20">
      <c r="A20" s="3" t="s">
        <v>27</v>
      </c>
      <c r="B20" s="5">
        <v>114000.0</v>
      </c>
      <c r="C20" s="3">
        <v>4.44337588E8</v>
      </c>
      <c r="D20" s="3" t="s">
        <v>29</v>
      </c>
      <c r="E20" s="4">
        <v>43112.0</v>
      </c>
      <c r="F20" s="3" t="s">
        <v>30</v>
      </c>
      <c r="G20" s="3" t="s">
        <v>17</v>
      </c>
      <c r="H20" s="3" t="s">
        <v>18</v>
      </c>
      <c r="I20" s="3" t="s">
        <v>31</v>
      </c>
      <c r="J20" s="3" t="s">
        <v>20</v>
      </c>
      <c r="K20" s="3" t="s">
        <v>21</v>
      </c>
      <c r="L20" s="3">
        <v>1.0</v>
      </c>
    </row>
    <row r="21">
      <c r="A21" s="3" t="s">
        <v>27</v>
      </c>
      <c r="B21" s="5">
        <v>114000.0</v>
      </c>
      <c r="C21" s="3">
        <v>4.44337588E8</v>
      </c>
      <c r="D21" s="3" t="s">
        <v>82</v>
      </c>
      <c r="E21" s="4">
        <v>43172.0</v>
      </c>
      <c r="F21" s="3" t="s">
        <v>16</v>
      </c>
      <c r="G21" s="3" t="s">
        <v>17</v>
      </c>
      <c r="H21" s="3" t="s">
        <v>18</v>
      </c>
      <c r="I21" s="3" t="s">
        <v>83</v>
      </c>
      <c r="J21" s="3" t="s">
        <v>20</v>
      </c>
      <c r="K21" s="3" t="s">
        <v>21</v>
      </c>
      <c r="L21" s="3">
        <v>1.0</v>
      </c>
    </row>
    <row r="22">
      <c r="A22" s="3" t="s">
        <v>13</v>
      </c>
      <c r="B22" s="5">
        <v>97740.0</v>
      </c>
      <c r="C22" s="3">
        <v>3.05378234E8</v>
      </c>
      <c r="D22" s="3" t="s">
        <v>15</v>
      </c>
      <c r="E22" s="4">
        <v>43069.0</v>
      </c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21</v>
      </c>
      <c r="L22" s="3">
        <v>1.0</v>
      </c>
    </row>
    <row r="23">
      <c r="A23" s="3" t="s">
        <v>57</v>
      </c>
      <c r="B23" s="5">
        <v>96187.5</v>
      </c>
      <c r="C23" s="3">
        <v>3.42215456E8</v>
      </c>
      <c r="D23" s="3" t="s">
        <v>59</v>
      </c>
      <c r="E23" s="4">
        <v>43126.0</v>
      </c>
      <c r="F23" s="3" t="s">
        <v>16</v>
      </c>
      <c r="G23" s="3" t="s">
        <v>17</v>
      </c>
      <c r="H23" s="3" t="s">
        <v>18</v>
      </c>
      <c r="I23" s="3" t="s">
        <v>60</v>
      </c>
      <c r="J23" s="3" t="s">
        <v>20</v>
      </c>
      <c r="K23" s="3" t="s">
        <v>21</v>
      </c>
      <c r="L23" s="3">
        <v>1.0</v>
      </c>
    </row>
    <row r="24">
      <c r="A24" s="3" t="s">
        <v>22</v>
      </c>
      <c r="B24" s="5">
        <v>95932.0</v>
      </c>
      <c r="C24" s="3">
        <v>4.88566613E8</v>
      </c>
      <c r="D24" s="3" t="s">
        <v>24</v>
      </c>
      <c r="E24" s="4">
        <v>43091.0</v>
      </c>
      <c r="F24" s="3" t="s">
        <v>25</v>
      </c>
      <c r="G24" s="3" t="s">
        <v>17</v>
      </c>
      <c r="H24" s="3" t="s">
        <v>18</v>
      </c>
      <c r="I24" s="3" t="s">
        <v>26</v>
      </c>
      <c r="J24" s="3" t="s">
        <v>20</v>
      </c>
      <c r="K24" s="3" t="s">
        <v>21</v>
      </c>
      <c r="L24" s="3">
        <v>1.0</v>
      </c>
    </row>
    <row r="25">
      <c r="A25" s="3" t="s">
        <v>439</v>
      </c>
      <c r="B25" s="5">
        <v>90000.0</v>
      </c>
      <c r="C25" s="3">
        <v>4.8428452600072E13</v>
      </c>
      <c r="D25" s="3" t="s">
        <v>441</v>
      </c>
      <c r="E25" s="4">
        <v>43417.0</v>
      </c>
      <c r="F25" s="3" t="s">
        <v>16</v>
      </c>
      <c r="G25" s="3" t="s">
        <v>17</v>
      </c>
      <c r="H25" s="3" t="s">
        <v>18</v>
      </c>
      <c r="I25" s="3" t="s">
        <v>438</v>
      </c>
      <c r="J25" s="3" t="s">
        <v>20</v>
      </c>
      <c r="K25" s="3" t="s">
        <v>21</v>
      </c>
      <c r="L25" s="3">
        <v>1.0</v>
      </c>
    </row>
    <row r="26">
      <c r="A26" s="3" t="s">
        <v>419</v>
      </c>
      <c r="B26" s="5">
        <v>87400.0</v>
      </c>
      <c r="C26" s="3">
        <v>3.0091783800025E13</v>
      </c>
      <c r="D26" s="3" t="s">
        <v>421</v>
      </c>
      <c r="E26" s="4">
        <v>43385.0</v>
      </c>
      <c r="F26" s="3" t="s">
        <v>16</v>
      </c>
      <c r="G26" s="3" t="s">
        <v>17</v>
      </c>
      <c r="H26" s="3" t="s">
        <v>18</v>
      </c>
      <c r="I26" s="3" t="s">
        <v>422</v>
      </c>
      <c r="J26" s="3" t="s">
        <v>20</v>
      </c>
      <c r="K26" s="3" t="s">
        <v>21</v>
      </c>
      <c r="L26" s="3">
        <v>1.0</v>
      </c>
    </row>
    <row r="27">
      <c r="A27" s="3" t="s">
        <v>65</v>
      </c>
      <c r="B27" s="5">
        <v>77000.0</v>
      </c>
      <c r="C27" s="3">
        <v>4.18921409E8</v>
      </c>
      <c r="D27" s="3" t="s">
        <v>67</v>
      </c>
      <c r="E27" s="4">
        <v>43143.0</v>
      </c>
      <c r="F27" s="3" t="s">
        <v>16</v>
      </c>
      <c r="G27" s="3" t="s">
        <v>17</v>
      </c>
      <c r="H27" s="3" t="s">
        <v>18</v>
      </c>
      <c r="I27" s="3" t="s">
        <v>68</v>
      </c>
      <c r="J27" s="3" t="s">
        <v>20</v>
      </c>
      <c r="K27" s="3" t="s">
        <v>21</v>
      </c>
      <c r="L27" s="3">
        <v>1.0</v>
      </c>
    </row>
    <row r="28">
      <c r="A28" s="3" t="s">
        <v>432</v>
      </c>
      <c r="B28" s="5">
        <v>72200.0</v>
      </c>
      <c r="C28" s="3">
        <v>8.2791162900018E13</v>
      </c>
      <c r="D28" s="3" t="s">
        <v>434</v>
      </c>
      <c r="E28" s="4">
        <v>43347.0</v>
      </c>
      <c r="F28" s="3" t="s">
        <v>16</v>
      </c>
      <c r="G28" s="3" t="s">
        <v>17</v>
      </c>
      <c r="H28" s="3" t="s">
        <v>18</v>
      </c>
      <c r="I28" s="3" t="s">
        <v>435</v>
      </c>
      <c r="J28" s="3" t="s">
        <v>20</v>
      </c>
      <c r="K28" s="3" t="s">
        <v>21</v>
      </c>
      <c r="L28" s="3">
        <v>1.0</v>
      </c>
    </row>
    <row r="29">
      <c r="A29" s="3" t="s">
        <v>99</v>
      </c>
      <c r="B29" s="5">
        <v>65000.0</v>
      </c>
      <c r="C29" s="3">
        <v>7.81843594E8</v>
      </c>
      <c r="D29" s="3" t="s">
        <v>101</v>
      </c>
      <c r="E29" s="4">
        <v>43182.0</v>
      </c>
      <c r="F29" s="3" t="s">
        <v>102</v>
      </c>
      <c r="G29" s="3" t="s">
        <v>17</v>
      </c>
      <c r="H29" s="3" t="s">
        <v>18</v>
      </c>
      <c r="I29" s="3" t="s">
        <v>103</v>
      </c>
      <c r="J29" s="3" t="s">
        <v>20</v>
      </c>
      <c r="K29" s="3" t="s">
        <v>21</v>
      </c>
      <c r="L29" s="3">
        <v>1.0</v>
      </c>
    </row>
    <row r="30">
      <c r="A30" s="3" t="s">
        <v>78</v>
      </c>
      <c r="B30" s="5">
        <v>60000.0</v>
      </c>
      <c r="C30" s="3">
        <v>8.32333181E8</v>
      </c>
      <c r="D30" s="3" t="s">
        <v>80</v>
      </c>
      <c r="E30" s="4">
        <v>43161.0</v>
      </c>
      <c r="F30" s="3" t="s">
        <v>81</v>
      </c>
      <c r="G30" s="3" t="s">
        <v>17</v>
      </c>
      <c r="H30" s="3" t="s">
        <v>18</v>
      </c>
      <c r="I30" s="3" t="s">
        <v>77</v>
      </c>
      <c r="J30" s="3" t="s">
        <v>20</v>
      </c>
      <c r="K30" s="3" t="s">
        <v>21</v>
      </c>
      <c r="L30" s="3">
        <v>1.0</v>
      </c>
    </row>
    <row r="31">
      <c r="A31" s="3" t="s">
        <v>356</v>
      </c>
      <c r="B31" s="5">
        <v>60000.0</v>
      </c>
      <c r="C31" s="3">
        <v>3.0016423300037E13</v>
      </c>
      <c r="D31" s="3" t="s">
        <v>357</v>
      </c>
      <c r="E31" s="4">
        <v>43182.0</v>
      </c>
      <c r="F31" s="3" t="s">
        <v>16</v>
      </c>
      <c r="G31" s="3" t="s">
        <v>17</v>
      </c>
      <c r="H31" s="3" t="s">
        <v>18</v>
      </c>
      <c r="I31" s="3" t="s">
        <v>103</v>
      </c>
      <c r="J31" s="3" t="s">
        <v>20</v>
      </c>
      <c r="K31" s="3" t="s">
        <v>21</v>
      </c>
      <c r="L31" s="3">
        <v>1.0</v>
      </c>
    </row>
    <row r="32">
      <c r="A32" s="3" t="s">
        <v>406</v>
      </c>
      <c r="B32" s="5">
        <v>59400.0</v>
      </c>
      <c r="C32" s="3">
        <v>5.1779186900012E13</v>
      </c>
      <c r="D32" s="3" t="s">
        <v>408</v>
      </c>
      <c r="E32" s="4">
        <v>43306.0</v>
      </c>
      <c r="F32" s="3" t="s">
        <v>16</v>
      </c>
      <c r="G32" s="3" t="s">
        <v>17</v>
      </c>
      <c r="H32" s="3" t="s">
        <v>18</v>
      </c>
      <c r="I32" s="3" t="s">
        <v>308</v>
      </c>
      <c r="J32" s="3" t="s">
        <v>20</v>
      </c>
      <c r="K32" s="3" t="s">
        <v>21</v>
      </c>
      <c r="L32" s="3">
        <v>1.0</v>
      </c>
    </row>
    <row r="33">
      <c r="A33" s="3" t="s">
        <v>293</v>
      </c>
      <c r="B33" s="5">
        <v>58000.0</v>
      </c>
      <c r="C33" s="3">
        <v>3.9811228400011E13</v>
      </c>
      <c r="D33" s="3" t="s">
        <v>295</v>
      </c>
      <c r="E33" s="4">
        <v>43319.0</v>
      </c>
      <c r="F33" s="3" t="s">
        <v>296</v>
      </c>
      <c r="G33" s="3" t="s">
        <v>17</v>
      </c>
      <c r="H33" s="3" t="s">
        <v>18</v>
      </c>
      <c r="I33" s="3" t="s">
        <v>297</v>
      </c>
      <c r="J33" s="3" t="s">
        <v>20</v>
      </c>
      <c r="K33" s="3" t="s">
        <v>21</v>
      </c>
      <c r="L33" s="3">
        <v>1.0</v>
      </c>
    </row>
    <row r="34">
      <c r="A34" s="3" t="s">
        <v>243</v>
      </c>
      <c r="B34" s="5">
        <v>57000.0</v>
      </c>
      <c r="C34" s="3">
        <v>4.7941474E8</v>
      </c>
      <c r="D34" s="3" t="s">
        <v>245</v>
      </c>
      <c r="E34" s="4">
        <v>43283.0</v>
      </c>
      <c r="F34" s="3" t="s">
        <v>16</v>
      </c>
      <c r="G34" s="3" t="s">
        <v>17</v>
      </c>
      <c r="H34" s="3" t="s">
        <v>18</v>
      </c>
      <c r="I34" s="3" t="s">
        <v>246</v>
      </c>
      <c r="J34" s="3" t="s">
        <v>20</v>
      </c>
      <c r="K34" s="3" t="s">
        <v>21</v>
      </c>
      <c r="L34" s="3">
        <v>1.0</v>
      </c>
    </row>
    <row r="35">
      <c r="A35" s="3" t="s">
        <v>298</v>
      </c>
      <c r="B35" s="5">
        <v>55000.0</v>
      </c>
      <c r="C35" s="3">
        <v>8.0077623900017E13</v>
      </c>
      <c r="D35" s="3" t="s">
        <v>300</v>
      </c>
      <c r="E35" s="4">
        <v>43318.0</v>
      </c>
      <c r="F35" s="3" t="s">
        <v>301</v>
      </c>
      <c r="G35" s="3" t="s">
        <v>17</v>
      </c>
      <c r="H35" s="3" t="s">
        <v>18</v>
      </c>
      <c r="I35" s="3" t="s">
        <v>302</v>
      </c>
      <c r="J35" s="3" t="s">
        <v>20</v>
      </c>
      <c r="K35" s="3" t="s">
        <v>21</v>
      </c>
      <c r="L35" s="3">
        <v>1.0</v>
      </c>
    </row>
    <row r="36">
      <c r="A36" s="3" t="s">
        <v>145</v>
      </c>
      <c r="B36" s="5">
        <v>55000.0</v>
      </c>
      <c r="C36" s="3">
        <v>4.3288382500031E13</v>
      </c>
      <c r="D36" s="3" t="s">
        <v>300</v>
      </c>
      <c r="E36" s="4">
        <v>43304.0</v>
      </c>
      <c r="F36" s="3" t="s">
        <v>322</v>
      </c>
      <c r="G36" s="3" t="s">
        <v>17</v>
      </c>
      <c r="H36" s="3" t="s">
        <v>18</v>
      </c>
      <c r="I36" s="3" t="s">
        <v>321</v>
      </c>
      <c r="J36" s="3" t="s">
        <v>20</v>
      </c>
      <c r="K36" s="3" t="s">
        <v>21</v>
      </c>
      <c r="L36" s="3">
        <v>1.0</v>
      </c>
    </row>
    <row r="37">
      <c r="A37" s="3" t="s">
        <v>289</v>
      </c>
      <c r="B37" s="5">
        <v>55000.0</v>
      </c>
      <c r="C37" s="3">
        <v>8.0127651000011E13</v>
      </c>
      <c r="D37" s="3" t="s">
        <v>300</v>
      </c>
      <c r="E37" s="4">
        <v>43356.0</v>
      </c>
      <c r="F37" s="3" t="s">
        <v>409</v>
      </c>
      <c r="G37" s="3" t="s">
        <v>17</v>
      </c>
      <c r="H37" s="3" t="s">
        <v>18</v>
      </c>
      <c r="I37" s="3" t="s">
        <v>410</v>
      </c>
      <c r="J37" s="3" t="s">
        <v>20</v>
      </c>
      <c r="K37" s="3" t="s">
        <v>21</v>
      </c>
      <c r="L37" s="3">
        <v>1.0</v>
      </c>
    </row>
    <row r="38">
      <c r="A38" s="3" t="s">
        <v>249</v>
      </c>
      <c r="B38" s="5">
        <v>54000.0</v>
      </c>
      <c r="C38" s="3">
        <v>4.8237148100029E13</v>
      </c>
      <c r="D38" s="3" t="s">
        <v>132</v>
      </c>
      <c r="E38" s="4">
        <v>43264.0</v>
      </c>
      <c r="F38" s="3" t="s">
        <v>251</v>
      </c>
      <c r="G38" s="3" t="s">
        <v>17</v>
      </c>
      <c r="H38" s="3" t="s">
        <v>18</v>
      </c>
      <c r="I38" s="3" t="s">
        <v>226</v>
      </c>
      <c r="J38" s="3" t="s">
        <v>20</v>
      </c>
      <c r="K38" s="3" t="s">
        <v>21</v>
      </c>
      <c r="L38" s="3">
        <v>1.0</v>
      </c>
    </row>
    <row r="39">
      <c r="A39" s="3" t="s">
        <v>285</v>
      </c>
      <c r="B39" s="5">
        <v>52500.0</v>
      </c>
      <c r="C39" s="3">
        <v>3.8956456800027E13</v>
      </c>
      <c r="D39" s="3" t="s">
        <v>287</v>
      </c>
      <c r="E39" s="4">
        <v>43252.0</v>
      </c>
      <c r="F39" s="3" t="s">
        <v>288</v>
      </c>
      <c r="G39" s="3" t="s">
        <v>17</v>
      </c>
      <c r="H39" s="3" t="s">
        <v>18</v>
      </c>
      <c r="I39" s="3" t="s">
        <v>134</v>
      </c>
      <c r="J39" s="3" t="s">
        <v>20</v>
      </c>
      <c r="K39" s="3" t="s">
        <v>21</v>
      </c>
      <c r="L39" s="3">
        <v>1.0</v>
      </c>
    </row>
    <row r="40">
      <c r="A40" s="3" t="s">
        <v>200</v>
      </c>
      <c r="B40" s="5">
        <v>50000.0</v>
      </c>
      <c r="C40" s="3">
        <v>3.79140221E8</v>
      </c>
      <c r="D40" s="3" t="s">
        <v>143</v>
      </c>
      <c r="E40" s="4">
        <v>43269.0</v>
      </c>
      <c r="F40" s="3" t="s">
        <v>202</v>
      </c>
      <c r="G40" s="3" t="s">
        <v>17</v>
      </c>
      <c r="H40" s="3" t="s">
        <v>18</v>
      </c>
      <c r="I40" s="3" t="s">
        <v>187</v>
      </c>
      <c r="J40" s="3" t="s">
        <v>20</v>
      </c>
      <c r="K40" s="3" t="s">
        <v>21</v>
      </c>
      <c r="L40" s="3">
        <v>1.0</v>
      </c>
    </row>
    <row r="41">
      <c r="A41" s="3" t="s">
        <v>182</v>
      </c>
      <c r="B41" s="5">
        <v>50000.0</v>
      </c>
      <c r="C41" s="3">
        <v>4.515460970001E13</v>
      </c>
      <c r="D41" s="3" t="s">
        <v>436</v>
      </c>
      <c r="E41" s="4">
        <v>43417.0</v>
      </c>
      <c r="F41" s="3" t="s">
        <v>437</v>
      </c>
      <c r="G41" s="3" t="s">
        <v>17</v>
      </c>
      <c r="H41" s="3" t="s">
        <v>18</v>
      </c>
      <c r="I41" s="3" t="s">
        <v>438</v>
      </c>
      <c r="J41" s="3" t="s">
        <v>20</v>
      </c>
      <c r="K41" s="3" t="s">
        <v>21</v>
      </c>
      <c r="L41" s="3">
        <v>1.0</v>
      </c>
    </row>
    <row r="42">
      <c r="A42" s="3" t="s">
        <v>95</v>
      </c>
      <c r="B42" s="5">
        <v>49000.0</v>
      </c>
      <c r="C42" s="3">
        <v>3.98191569E8</v>
      </c>
      <c r="D42" s="3" t="s">
        <v>97</v>
      </c>
      <c r="E42" s="4">
        <v>43124.0</v>
      </c>
      <c r="F42" s="3" t="s">
        <v>16</v>
      </c>
      <c r="G42" s="3" t="s">
        <v>17</v>
      </c>
      <c r="H42" s="3" t="s">
        <v>18</v>
      </c>
      <c r="I42" s="3" t="s">
        <v>98</v>
      </c>
      <c r="J42" s="3" t="s">
        <v>20</v>
      </c>
      <c r="K42" s="3" t="s">
        <v>21</v>
      </c>
      <c r="L42" s="3">
        <v>1.0</v>
      </c>
    </row>
    <row r="43">
      <c r="A43" s="3" t="s">
        <v>191</v>
      </c>
      <c r="B43" s="5">
        <v>47500.0</v>
      </c>
      <c r="C43" s="3">
        <v>3.78090633E8</v>
      </c>
      <c r="D43" s="3" t="s">
        <v>143</v>
      </c>
      <c r="E43" s="4">
        <v>43269.0</v>
      </c>
      <c r="F43" s="3" t="s">
        <v>193</v>
      </c>
      <c r="G43" s="3" t="s">
        <v>17</v>
      </c>
      <c r="H43" s="3" t="s">
        <v>18</v>
      </c>
      <c r="I43" s="3" t="s">
        <v>187</v>
      </c>
      <c r="J43" s="3" t="s">
        <v>20</v>
      </c>
      <c r="K43" s="3" t="s">
        <v>21</v>
      </c>
      <c r="L43" s="3">
        <v>1.0</v>
      </c>
    </row>
    <row r="44">
      <c r="A44" s="3" t="s">
        <v>216</v>
      </c>
      <c r="B44" s="5">
        <v>47500.0</v>
      </c>
      <c r="C44" s="3">
        <v>4.21985235E8</v>
      </c>
      <c r="D44" s="3" t="s">
        <v>217</v>
      </c>
      <c r="E44" s="4">
        <v>43271.0</v>
      </c>
      <c r="F44" s="3" t="s">
        <v>16</v>
      </c>
      <c r="G44" s="3" t="s">
        <v>17</v>
      </c>
      <c r="H44" s="3" t="s">
        <v>18</v>
      </c>
      <c r="I44" s="3" t="s">
        <v>213</v>
      </c>
      <c r="J44" s="3" t="s">
        <v>20</v>
      </c>
      <c r="K44" s="3" t="s">
        <v>21</v>
      </c>
      <c r="L44" s="3">
        <v>1.0</v>
      </c>
    </row>
    <row r="45">
      <c r="A45" s="3" t="s">
        <v>442</v>
      </c>
      <c r="B45" s="5">
        <v>46318.0</v>
      </c>
      <c r="C45" s="3">
        <v>5.2539664400011E13</v>
      </c>
      <c r="D45" s="3" t="s">
        <v>443</v>
      </c>
      <c r="E45" s="4">
        <v>43418.0</v>
      </c>
      <c r="F45" s="3" t="s">
        <v>312</v>
      </c>
      <c r="G45" s="3" t="s">
        <v>17</v>
      </c>
      <c r="H45" s="3" t="s">
        <v>18</v>
      </c>
      <c r="I45" s="3" t="s">
        <v>445</v>
      </c>
      <c r="J45" s="3" t="s">
        <v>20</v>
      </c>
      <c r="K45" s="3" t="s">
        <v>21</v>
      </c>
      <c r="L45" s="3">
        <v>1.0</v>
      </c>
    </row>
    <row r="46">
      <c r="A46" s="3" t="s">
        <v>203</v>
      </c>
      <c r="B46" s="5">
        <v>45000.0</v>
      </c>
      <c r="C46" s="3">
        <v>3.52216873E8</v>
      </c>
      <c r="D46" s="3" t="s">
        <v>132</v>
      </c>
      <c r="E46" s="4">
        <v>43269.0</v>
      </c>
      <c r="F46" s="3" t="s">
        <v>205</v>
      </c>
      <c r="G46" s="3" t="s">
        <v>17</v>
      </c>
      <c r="H46" s="3" t="s">
        <v>18</v>
      </c>
      <c r="I46" s="3" t="s">
        <v>187</v>
      </c>
      <c r="J46" s="3" t="s">
        <v>20</v>
      </c>
      <c r="K46" s="3" t="s">
        <v>21</v>
      </c>
      <c r="L46" s="3">
        <v>1.0</v>
      </c>
    </row>
    <row r="47">
      <c r="A47" s="3" t="s">
        <v>238</v>
      </c>
      <c r="B47" s="5">
        <v>45000.0</v>
      </c>
      <c r="C47" s="3">
        <v>3.49753467E8</v>
      </c>
      <c r="D47" s="3" t="s">
        <v>239</v>
      </c>
      <c r="E47" s="4">
        <v>43279.0</v>
      </c>
      <c r="F47" s="3" t="s">
        <v>16</v>
      </c>
      <c r="G47" s="3" t="s">
        <v>17</v>
      </c>
      <c r="H47" s="3" t="s">
        <v>18</v>
      </c>
      <c r="I47" s="3" t="s">
        <v>237</v>
      </c>
      <c r="J47" s="3" t="s">
        <v>20</v>
      </c>
      <c r="K47" s="3" t="s">
        <v>21</v>
      </c>
      <c r="L47" s="3">
        <v>1.0</v>
      </c>
    </row>
    <row r="48">
      <c r="A48" s="3" t="s">
        <v>136</v>
      </c>
      <c r="B48" s="5">
        <v>42750.0</v>
      </c>
      <c r="C48" s="3">
        <v>5.22896091E8</v>
      </c>
      <c r="D48" s="3" t="s">
        <v>132</v>
      </c>
      <c r="E48" s="4">
        <v>43255.0</v>
      </c>
      <c r="F48" s="3" t="s">
        <v>133</v>
      </c>
      <c r="G48" s="3" t="s">
        <v>17</v>
      </c>
      <c r="H48" s="3" t="s">
        <v>18</v>
      </c>
      <c r="I48" s="3" t="s">
        <v>138</v>
      </c>
      <c r="J48" s="3" t="s">
        <v>20</v>
      </c>
      <c r="K48" s="3" t="s">
        <v>21</v>
      </c>
      <c r="L48" s="3">
        <v>1.0</v>
      </c>
    </row>
    <row r="49">
      <c r="A49" s="3" t="s">
        <v>269</v>
      </c>
      <c r="B49" s="5">
        <v>42700.0</v>
      </c>
      <c r="C49" s="3">
        <v>4.2971672300011E13</v>
      </c>
      <c r="D49" s="3" t="s">
        <v>271</v>
      </c>
      <c r="E49" s="4">
        <v>43299.0</v>
      </c>
      <c r="F49" s="3" t="s">
        <v>272</v>
      </c>
      <c r="G49" s="3" t="s">
        <v>17</v>
      </c>
      <c r="H49" s="3" t="s">
        <v>18</v>
      </c>
      <c r="I49" s="3" t="s">
        <v>273</v>
      </c>
      <c r="J49" s="3" t="s">
        <v>20</v>
      </c>
      <c r="K49" s="3" t="s">
        <v>21</v>
      </c>
      <c r="L49" s="3">
        <v>1.0</v>
      </c>
    </row>
    <row r="50">
      <c r="A50" s="3" t="s">
        <v>182</v>
      </c>
      <c r="B50" s="5">
        <v>41000.0</v>
      </c>
      <c r="C50" s="3">
        <v>4.515469700001E13</v>
      </c>
      <c r="D50" s="3" t="s">
        <v>132</v>
      </c>
      <c r="E50" s="4">
        <v>43286.0</v>
      </c>
      <c r="F50" s="3" t="s">
        <v>258</v>
      </c>
      <c r="G50" s="3" t="s">
        <v>17</v>
      </c>
      <c r="H50" s="3" t="s">
        <v>18</v>
      </c>
      <c r="I50" s="3" t="s">
        <v>259</v>
      </c>
      <c r="J50" s="3" t="s">
        <v>20</v>
      </c>
      <c r="K50" s="3" t="s">
        <v>21</v>
      </c>
      <c r="L50" s="3">
        <v>1.0</v>
      </c>
    </row>
    <row r="51">
      <c r="A51" s="3" t="s">
        <v>36</v>
      </c>
      <c r="B51" s="5">
        <v>40000.0</v>
      </c>
      <c r="C51" s="3">
        <v>4.89563072E8</v>
      </c>
      <c r="D51" s="3" t="s">
        <v>38</v>
      </c>
      <c r="E51" s="4">
        <v>43133.0</v>
      </c>
      <c r="F51" s="3" t="s">
        <v>39</v>
      </c>
      <c r="G51" s="3" t="s">
        <v>17</v>
      </c>
      <c r="H51" s="3" t="s">
        <v>18</v>
      </c>
      <c r="I51" s="3" t="s">
        <v>40</v>
      </c>
      <c r="J51" s="3" t="s">
        <v>20</v>
      </c>
      <c r="K51" s="3" t="s">
        <v>21</v>
      </c>
      <c r="L51" s="3">
        <v>1.0</v>
      </c>
    </row>
    <row r="52">
      <c r="A52" s="3" t="s">
        <v>227</v>
      </c>
      <c r="B52" s="5">
        <v>40000.0</v>
      </c>
      <c r="C52" s="3">
        <v>3.4169319E8</v>
      </c>
      <c r="D52" s="3" t="s">
        <v>220</v>
      </c>
      <c r="E52" s="4">
        <v>43269.0</v>
      </c>
      <c r="F52" s="3" t="s">
        <v>120</v>
      </c>
      <c r="G52" s="3" t="s">
        <v>17</v>
      </c>
      <c r="H52" s="3" t="s">
        <v>18</v>
      </c>
      <c r="I52" s="3" t="s">
        <v>187</v>
      </c>
      <c r="J52" s="3" t="s">
        <v>20</v>
      </c>
      <c r="K52" s="3" t="s">
        <v>21</v>
      </c>
      <c r="L52" s="3">
        <v>1.0</v>
      </c>
    </row>
    <row r="53">
      <c r="A53" s="3" t="s">
        <v>263</v>
      </c>
      <c r="B53" s="5">
        <v>40000.0</v>
      </c>
      <c r="C53" s="3">
        <v>8.2343035000012E13</v>
      </c>
      <c r="D53" s="3" t="s">
        <v>260</v>
      </c>
      <c r="E53" s="4">
        <v>43280.0</v>
      </c>
      <c r="F53" s="3" t="s">
        <v>264</v>
      </c>
      <c r="G53" s="3" t="s">
        <v>17</v>
      </c>
      <c r="H53" s="3" t="s">
        <v>18</v>
      </c>
      <c r="I53" s="3" t="s">
        <v>265</v>
      </c>
      <c r="J53" s="3" t="s">
        <v>20</v>
      </c>
      <c r="K53" s="3" t="s">
        <v>21</v>
      </c>
      <c r="L53" s="3">
        <v>1.0</v>
      </c>
    </row>
    <row r="54">
      <c r="A54" s="3" t="s">
        <v>74</v>
      </c>
      <c r="B54" s="5">
        <v>38000.0</v>
      </c>
      <c r="C54" s="3">
        <v>4.19009105E8</v>
      </c>
      <c r="D54" s="3" t="s">
        <v>76</v>
      </c>
      <c r="E54" s="4">
        <v>43161.0</v>
      </c>
      <c r="F54" s="3" t="s">
        <v>16</v>
      </c>
      <c r="G54" s="3" t="s">
        <v>17</v>
      </c>
      <c r="H54" s="3" t="s">
        <v>18</v>
      </c>
      <c r="I54" s="3" t="s">
        <v>77</v>
      </c>
      <c r="J54" s="3" t="s">
        <v>20</v>
      </c>
      <c r="K54" s="3" t="s">
        <v>21</v>
      </c>
      <c r="L54" s="3">
        <v>1.0</v>
      </c>
    </row>
    <row r="55">
      <c r="A55" s="3" t="s">
        <v>131</v>
      </c>
      <c r="B55" s="5">
        <v>38000.0</v>
      </c>
      <c r="C55" s="3">
        <v>4.19009105E8</v>
      </c>
      <c r="D55" s="3" t="s">
        <v>132</v>
      </c>
      <c r="E55" s="4">
        <v>43252.0</v>
      </c>
      <c r="F55" s="3" t="s">
        <v>133</v>
      </c>
      <c r="G55" s="3" t="s">
        <v>17</v>
      </c>
      <c r="H55" s="3" t="s">
        <v>18</v>
      </c>
      <c r="I55" s="3" t="s">
        <v>134</v>
      </c>
      <c r="J55" s="3" t="s">
        <v>20</v>
      </c>
      <c r="K55" s="3" t="s">
        <v>21</v>
      </c>
      <c r="L55" s="3">
        <v>1.0</v>
      </c>
    </row>
    <row r="56">
      <c r="A56" s="3" t="s">
        <v>84</v>
      </c>
      <c r="B56" s="5">
        <v>35000.0</v>
      </c>
      <c r="C56" s="3">
        <v>3.4169319E8</v>
      </c>
      <c r="D56" s="3" t="s">
        <v>86</v>
      </c>
      <c r="E56" s="4">
        <v>43174.0</v>
      </c>
      <c r="F56" s="3" t="s">
        <v>87</v>
      </c>
      <c r="G56" s="3" t="s">
        <v>17</v>
      </c>
      <c r="H56" s="3" t="s">
        <v>18</v>
      </c>
      <c r="I56" s="3" t="s">
        <v>88</v>
      </c>
      <c r="J56" s="3" t="s">
        <v>20</v>
      </c>
      <c r="K56" s="3" t="s">
        <v>21</v>
      </c>
      <c r="L56" s="3">
        <v>1.0</v>
      </c>
    </row>
    <row r="57">
      <c r="A57" s="3" t="s">
        <v>148</v>
      </c>
      <c r="B57" s="5">
        <v>35000.0</v>
      </c>
      <c r="C57" s="3">
        <v>4.02652853E8</v>
      </c>
      <c r="D57" s="3" t="s">
        <v>143</v>
      </c>
      <c r="E57" s="4">
        <v>43269.0</v>
      </c>
      <c r="F57" s="3" t="s">
        <v>230</v>
      </c>
      <c r="G57" s="3" t="s">
        <v>17</v>
      </c>
      <c r="H57" s="3" t="s">
        <v>18</v>
      </c>
      <c r="I57" s="3" t="s">
        <v>187</v>
      </c>
      <c r="J57" s="3" t="s">
        <v>20</v>
      </c>
      <c r="K57" s="3" t="s">
        <v>21</v>
      </c>
      <c r="L57" s="3">
        <v>1.0</v>
      </c>
    </row>
    <row r="58">
      <c r="A58" s="3" t="s">
        <v>69</v>
      </c>
      <c r="B58" s="5">
        <v>34000.0</v>
      </c>
      <c r="C58" s="3">
        <v>4.20252348E8</v>
      </c>
      <c r="D58" s="3" t="s">
        <v>71</v>
      </c>
      <c r="E58" s="4">
        <v>43160.0</v>
      </c>
      <c r="F58" s="3" t="s">
        <v>72</v>
      </c>
      <c r="G58" s="3" t="s">
        <v>17</v>
      </c>
      <c r="H58" s="3" t="s">
        <v>18</v>
      </c>
      <c r="I58" s="3" t="s">
        <v>73</v>
      </c>
      <c r="J58" s="3" t="s">
        <v>20</v>
      </c>
      <c r="K58" s="3" t="s">
        <v>21</v>
      </c>
      <c r="L58" s="3">
        <v>1.0</v>
      </c>
    </row>
    <row r="59">
      <c r="A59" s="3" t="s">
        <v>182</v>
      </c>
      <c r="B59" s="5">
        <v>33250.0</v>
      </c>
      <c r="C59" s="3">
        <v>4.51546097E8</v>
      </c>
      <c r="D59" s="3" t="s">
        <v>184</v>
      </c>
      <c r="E59" s="4">
        <v>43266.0</v>
      </c>
      <c r="F59" s="3" t="s">
        <v>133</v>
      </c>
      <c r="G59" s="3" t="s">
        <v>17</v>
      </c>
      <c r="H59" s="3" t="s">
        <v>18</v>
      </c>
      <c r="I59" s="3" t="s">
        <v>185</v>
      </c>
      <c r="J59" s="3" t="s">
        <v>20</v>
      </c>
      <c r="K59" s="3" t="s">
        <v>21</v>
      </c>
      <c r="L59" s="3">
        <v>1.0</v>
      </c>
    </row>
    <row r="60">
      <c r="A60" s="3" t="s">
        <v>53</v>
      </c>
      <c r="B60" s="5">
        <v>32000.0</v>
      </c>
      <c r="C60" s="3">
        <v>3.06564279E8</v>
      </c>
      <c r="D60" s="3" t="s">
        <v>55</v>
      </c>
      <c r="E60" s="4">
        <v>43126.0</v>
      </c>
      <c r="F60" s="3" t="s">
        <v>16</v>
      </c>
      <c r="G60" s="3" t="s">
        <v>17</v>
      </c>
      <c r="H60" s="3" t="s">
        <v>18</v>
      </c>
      <c r="I60" s="3" t="s">
        <v>56</v>
      </c>
      <c r="J60" s="3" t="s">
        <v>20</v>
      </c>
      <c r="K60" s="3" t="s">
        <v>21</v>
      </c>
      <c r="L60" s="3">
        <v>1.0</v>
      </c>
    </row>
    <row r="61">
      <c r="A61" s="3" t="s">
        <v>148</v>
      </c>
      <c r="B61" s="5">
        <v>30000.0</v>
      </c>
      <c r="C61" s="3">
        <v>4.02652853E8</v>
      </c>
      <c r="D61" s="3" t="s">
        <v>119</v>
      </c>
      <c r="E61" s="4">
        <v>43252.0</v>
      </c>
      <c r="F61" s="3" t="s">
        <v>120</v>
      </c>
      <c r="G61" s="3" t="s">
        <v>17</v>
      </c>
      <c r="H61" s="3" t="s">
        <v>18</v>
      </c>
      <c r="I61" s="3" t="s">
        <v>134</v>
      </c>
      <c r="J61" s="3" t="s">
        <v>20</v>
      </c>
      <c r="K61" s="3" t="s">
        <v>21</v>
      </c>
      <c r="L61" s="3">
        <v>1.0</v>
      </c>
    </row>
    <row r="62">
      <c r="A62" s="3" t="s">
        <v>430</v>
      </c>
      <c r="B62" s="5">
        <v>30000.0</v>
      </c>
      <c r="C62" s="3">
        <v>4.3470528100021E13</v>
      </c>
      <c r="D62" s="3" t="s">
        <v>431</v>
      </c>
      <c r="E62" s="4">
        <v>43411.0</v>
      </c>
      <c r="F62" s="3" t="s">
        <v>16</v>
      </c>
      <c r="G62" s="3" t="s">
        <v>17</v>
      </c>
      <c r="H62" s="3" t="s">
        <v>18</v>
      </c>
      <c r="I62" s="3" t="s">
        <v>429</v>
      </c>
      <c r="J62" s="3" t="s">
        <v>20</v>
      </c>
      <c r="K62" s="3" t="s">
        <v>21</v>
      </c>
      <c r="L62" s="3">
        <v>1.0</v>
      </c>
    </row>
    <row r="63">
      <c r="A63" s="3" t="s">
        <v>374</v>
      </c>
      <c r="B63" s="5">
        <v>29000.0</v>
      </c>
      <c r="C63" s="3">
        <v>4.022835430007E13</v>
      </c>
      <c r="D63" s="3" t="s">
        <v>376</v>
      </c>
      <c r="E63" s="4">
        <v>43335.0</v>
      </c>
      <c r="F63" s="3" t="s">
        <v>337</v>
      </c>
      <c r="G63" s="3" t="s">
        <v>17</v>
      </c>
      <c r="H63" s="3" t="s">
        <v>48</v>
      </c>
      <c r="I63" s="3" t="s">
        <v>343</v>
      </c>
      <c r="J63" s="3" t="s">
        <v>20</v>
      </c>
      <c r="K63" s="3" t="s">
        <v>21</v>
      </c>
      <c r="L63" s="3">
        <v>1.0</v>
      </c>
    </row>
    <row r="64">
      <c r="A64" s="3" t="s">
        <v>145</v>
      </c>
      <c r="B64" s="5">
        <v>28000.0</v>
      </c>
      <c r="C64" s="3">
        <v>4.3288382500031E13</v>
      </c>
      <c r="D64" s="3" t="s">
        <v>320</v>
      </c>
      <c r="E64" s="4">
        <v>43304.0</v>
      </c>
      <c r="F64" s="3" t="s">
        <v>16</v>
      </c>
      <c r="G64" s="3" t="s">
        <v>17</v>
      </c>
      <c r="H64" s="3" t="s">
        <v>18</v>
      </c>
      <c r="I64" s="3" t="s">
        <v>321</v>
      </c>
      <c r="J64" s="3" t="s">
        <v>20</v>
      </c>
      <c r="K64" s="3" t="s">
        <v>21</v>
      </c>
      <c r="L64" s="3">
        <v>1.0</v>
      </c>
    </row>
    <row r="65">
      <c r="A65" s="3" t="s">
        <v>104</v>
      </c>
      <c r="B65" s="5">
        <v>26000.0</v>
      </c>
      <c r="C65" s="3">
        <v>5.33896825E8</v>
      </c>
      <c r="D65" s="3" t="s">
        <v>143</v>
      </c>
      <c r="E65" s="4">
        <v>43257.0</v>
      </c>
      <c r="F65" s="3" t="s">
        <v>163</v>
      </c>
      <c r="G65" s="3" t="s">
        <v>17</v>
      </c>
      <c r="H65" s="3" t="s">
        <v>18</v>
      </c>
      <c r="I65" s="3" t="s">
        <v>156</v>
      </c>
      <c r="J65" s="3" t="s">
        <v>20</v>
      </c>
      <c r="K65" s="3" t="s">
        <v>21</v>
      </c>
      <c r="L65" s="3">
        <v>1.0</v>
      </c>
    </row>
    <row r="66">
      <c r="A66" s="3" t="s">
        <v>227</v>
      </c>
      <c r="B66" s="5">
        <v>25000.0</v>
      </c>
      <c r="C66" s="3">
        <v>3.4169319E8</v>
      </c>
      <c r="D66" s="3" t="s">
        <v>143</v>
      </c>
      <c r="E66" s="4">
        <v>43269.0</v>
      </c>
      <c r="F66" s="3" t="s">
        <v>234</v>
      </c>
      <c r="G66" s="3" t="s">
        <v>17</v>
      </c>
      <c r="H66" s="3" t="s">
        <v>18</v>
      </c>
      <c r="I66" s="3" t="s">
        <v>187</v>
      </c>
      <c r="J66" s="3" t="s">
        <v>20</v>
      </c>
      <c r="K66" s="3" t="s">
        <v>21</v>
      </c>
      <c r="L66" s="3">
        <v>1.0</v>
      </c>
    </row>
    <row r="67">
      <c r="A67" s="3" t="s">
        <v>279</v>
      </c>
      <c r="B67" s="5">
        <v>25000.0</v>
      </c>
      <c r="C67" s="3">
        <v>3.7954994200025E13</v>
      </c>
      <c r="D67" s="3" t="s">
        <v>280</v>
      </c>
      <c r="E67" s="4">
        <v>43299.0</v>
      </c>
      <c r="F67" s="3" t="s">
        <v>16</v>
      </c>
      <c r="G67" s="3" t="s">
        <v>17</v>
      </c>
      <c r="H67" s="3" t="s">
        <v>18</v>
      </c>
      <c r="I67" s="3" t="s">
        <v>273</v>
      </c>
      <c r="J67" s="3" t="s">
        <v>20</v>
      </c>
      <c r="K67" s="3" t="s">
        <v>21</v>
      </c>
      <c r="L67" s="3">
        <v>1.0</v>
      </c>
    </row>
    <row r="68">
      <c r="A68" s="3" t="s">
        <v>328</v>
      </c>
      <c r="B68" s="5">
        <v>25000.0</v>
      </c>
      <c r="C68" s="3">
        <v>4.3403882400042E13</v>
      </c>
      <c r="D68" s="3" t="s">
        <v>329</v>
      </c>
      <c r="E68" s="4">
        <v>43332.0</v>
      </c>
      <c r="F68" s="3" t="s">
        <v>330</v>
      </c>
      <c r="G68" s="3" t="s">
        <v>17</v>
      </c>
      <c r="H68" s="3" t="s">
        <v>18</v>
      </c>
      <c r="I68" s="3" t="s">
        <v>331</v>
      </c>
      <c r="J68" s="3" t="s">
        <v>20</v>
      </c>
      <c r="K68" s="3" t="s">
        <v>21</v>
      </c>
      <c r="L68" s="3">
        <v>1.0</v>
      </c>
    </row>
    <row r="69">
      <c r="A69" s="3" t="s">
        <v>332</v>
      </c>
      <c r="B69" s="5">
        <v>25000.0</v>
      </c>
      <c r="C69" s="3">
        <v>3.4063725500027E13</v>
      </c>
      <c r="D69" s="3" t="s">
        <v>280</v>
      </c>
      <c r="E69" s="4">
        <v>43328.0</v>
      </c>
      <c r="F69" s="3" t="s">
        <v>16</v>
      </c>
      <c r="G69" s="3" t="s">
        <v>17</v>
      </c>
      <c r="H69" s="3" t="s">
        <v>18</v>
      </c>
      <c r="I69" s="3" t="s">
        <v>333</v>
      </c>
      <c r="J69" s="3" t="s">
        <v>20</v>
      </c>
      <c r="K69" s="3" t="s">
        <v>21</v>
      </c>
      <c r="L69" s="3">
        <v>1.0</v>
      </c>
    </row>
    <row r="70">
      <c r="A70" s="3" t="s">
        <v>348</v>
      </c>
      <c r="B70" s="5">
        <v>25000.0</v>
      </c>
      <c r="C70" s="3">
        <v>8.0961975200011E13</v>
      </c>
      <c r="D70" s="3" t="s">
        <v>349</v>
      </c>
      <c r="E70" s="4">
        <v>43334.0</v>
      </c>
      <c r="F70" s="3" t="s">
        <v>16</v>
      </c>
      <c r="G70" s="3" t="s">
        <v>17</v>
      </c>
      <c r="H70" s="3" t="s">
        <v>18</v>
      </c>
      <c r="I70" s="3" t="s">
        <v>350</v>
      </c>
      <c r="J70" s="3" t="s">
        <v>20</v>
      </c>
      <c r="K70" s="3" t="s">
        <v>21</v>
      </c>
      <c r="L70" s="3">
        <v>1.0</v>
      </c>
    </row>
    <row r="71">
      <c r="A71" s="3" t="s">
        <v>385</v>
      </c>
      <c r="B71" s="5">
        <v>25000.0</v>
      </c>
      <c r="C71" s="3">
        <v>4.9058526200069E13</v>
      </c>
      <c r="D71" s="3" t="s">
        <v>388</v>
      </c>
      <c r="E71" s="4">
        <v>43353.0</v>
      </c>
      <c r="F71" s="3" t="s">
        <v>330</v>
      </c>
      <c r="G71" s="3" t="s">
        <v>17</v>
      </c>
      <c r="H71" s="3" t="s">
        <v>18</v>
      </c>
      <c r="I71" s="3" t="s">
        <v>383</v>
      </c>
      <c r="J71" s="3" t="s">
        <v>20</v>
      </c>
      <c r="K71" s="3" t="s">
        <v>21</v>
      </c>
      <c r="L71" s="3">
        <v>1.0</v>
      </c>
    </row>
    <row r="72">
      <c r="A72" s="3" t="s">
        <v>392</v>
      </c>
      <c r="B72" s="5">
        <v>25000.0</v>
      </c>
      <c r="C72" s="3">
        <v>4.3383539400027E13</v>
      </c>
      <c r="D72" s="3" t="s">
        <v>388</v>
      </c>
      <c r="E72" s="4">
        <v>43370.0</v>
      </c>
      <c r="F72" s="3" t="s">
        <v>330</v>
      </c>
      <c r="G72" s="3" t="s">
        <v>17</v>
      </c>
      <c r="H72" s="3" t="s">
        <v>18</v>
      </c>
      <c r="I72" s="3" t="s">
        <v>393</v>
      </c>
      <c r="J72" s="3" t="s">
        <v>20</v>
      </c>
      <c r="K72" s="3" t="s">
        <v>21</v>
      </c>
      <c r="L72" s="3">
        <v>1.0</v>
      </c>
    </row>
    <row r="73">
      <c r="A73" s="3" t="s">
        <v>427</v>
      </c>
      <c r="B73" s="5">
        <v>25000.0</v>
      </c>
      <c r="C73" s="3">
        <v>8.2071933400014E13</v>
      </c>
      <c r="D73" s="3" t="s">
        <v>428</v>
      </c>
      <c r="E73" s="4">
        <v>43411.0</v>
      </c>
      <c r="F73" s="3" t="s">
        <v>16</v>
      </c>
      <c r="G73" s="3" t="s">
        <v>17</v>
      </c>
      <c r="H73" s="3" t="s">
        <v>18</v>
      </c>
      <c r="I73" s="3" t="s">
        <v>429</v>
      </c>
      <c r="J73" s="3" t="s">
        <v>20</v>
      </c>
      <c r="K73" s="3" t="s">
        <v>21</v>
      </c>
      <c r="L73" s="3">
        <v>1.0</v>
      </c>
    </row>
    <row r="74">
      <c r="A74" s="3" t="s">
        <v>109</v>
      </c>
      <c r="B74" s="5">
        <v>24176.0</v>
      </c>
      <c r="C74" s="3">
        <v>8.25241318E8</v>
      </c>
      <c r="D74" s="3" t="s">
        <v>111</v>
      </c>
      <c r="E74" s="4">
        <v>43208.0</v>
      </c>
      <c r="F74" s="3" t="s">
        <v>16</v>
      </c>
      <c r="G74" s="3" t="s">
        <v>17</v>
      </c>
      <c r="H74" s="3" t="s">
        <v>18</v>
      </c>
      <c r="I74" s="3" t="s">
        <v>112</v>
      </c>
      <c r="J74" s="3" t="s">
        <v>20</v>
      </c>
      <c r="K74" s="3" t="s">
        <v>21</v>
      </c>
      <c r="L74" s="3">
        <v>1.0</v>
      </c>
    </row>
    <row r="75">
      <c r="A75" s="3" t="s">
        <v>344</v>
      </c>
      <c r="B75" s="5">
        <v>24000.0</v>
      </c>
      <c r="C75" s="3">
        <v>8.203367330001E13</v>
      </c>
      <c r="D75" s="3" t="s">
        <v>346</v>
      </c>
      <c r="E75" s="4">
        <v>43339.0</v>
      </c>
      <c r="F75" s="3" t="s">
        <v>312</v>
      </c>
      <c r="G75" s="3" t="s">
        <v>17</v>
      </c>
      <c r="H75" s="3" t="s">
        <v>48</v>
      </c>
      <c r="I75" s="3" t="s">
        <v>347</v>
      </c>
      <c r="J75" s="3" t="s">
        <v>20</v>
      </c>
      <c r="K75" s="3" t="s">
        <v>21</v>
      </c>
      <c r="L75" s="3">
        <v>1.0</v>
      </c>
    </row>
    <row r="76">
      <c r="A76" s="3" t="s">
        <v>157</v>
      </c>
      <c r="B76" s="5">
        <v>23500.0</v>
      </c>
      <c r="C76" s="3">
        <v>7.89145869E8</v>
      </c>
      <c r="D76" s="3" t="s">
        <v>119</v>
      </c>
      <c r="E76" s="4">
        <v>43255.0</v>
      </c>
      <c r="F76" s="3" t="s">
        <v>159</v>
      </c>
      <c r="G76" s="3" t="s">
        <v>17</v>
      </c>
      <c r="H76" s="3" t="s">
        <v>18</v>
      </c>
      <c r="I76" s="3" t="s">
        <v>138</v>
      </c>
      <c r="J76" s="3" t="s">
        <v>20</v>
      </c>
      <c r="K76" s="3" t="s">
        <v>21</v>
      </c>
      <c r="L76" s="3">
        <v>1.0</v>
      </c>
    </row>
    <row r="77">
      <c r="A77" s="3" t="s">
        <v>36</v>
      </c>
      <c r="B77" s="5">
        <v>20000.0</v>
      </c>
      <c r="C77" s="3">
        <v>4.89563072E8</v>
      </c>
      <c r="D77" s="3" t="s">
        <v>119</v>
      </c>
      <c r="E77" s="4">
        <v>43255.0</v>
      </c>
      <c r="F77" s="3" t="s">
        <v>120</v>
      </c>
      <c r="G77" s="3" t="s">
        <v>17</v>
      </c>
      <c r="H77" s="3" t="s">
        <v>18</v>
      </c>
      <c r="I77" s="3" t="s">
        <v>138</v>
      </c>
      <c r="J77" s="3" t="s">
        <v>20</v>
      </c>
      <c r="K77" s="3" t="s">
        <v>21</v>
      </c>
      <c r="L77" s="3">
        <v>1.0</v>
      </c>
    </row>
    <row r="78">
      <c r="A78" s="3" t="s">
        <v>136</v>
      </c>
      <c r="B78" s="5">
        <v>20000.0</v>
      </c>
      <c r="C78" s="3">
        <v>5.22896091E8</v>
      </c>
      <c r="D78" s="3" t="s">
        <v>214</v>
      </c>
      <c r="E78" s="4">
        <v>43271.0</v>
      </c>
      <c r="F78" s="3" t="s">
        <v>215</v>
      </c>
      <c r="G78" s="3" t="s">
        <v>17</v>
      </c>
      <c r="H78" s="3" t="s">
        <v>18</v>
      </c>
      <c r="I78" s="3" t="s">
        <v>213</v>
      </c>
      <c r="J78" s="3" t="s">
        <v>20</v>
      </c>
      <c r="K78" s="3" t="s">
        <v>21</v>
      </c>
      <c r="L78" s="3">
        <v>1.0</v>
      </c>
    </row>
    <row r="79">
      <c r="A79" s="3" t="s">
        <v>231</v>
      </c>
      <c r="B79" s="5">
        <v>20000.0</v>
      </c>
      <c r="C79" s="3">
        <v>4.20089567E8</v>
      </c>
      <c r="D79" s="3" t="s">
        <v>143</v>
      </c>
      <c r="E79" s="4">
        <v>43269.0</v>
      </c>
      <c r="F79" s="3" t="s">
        <v>232</v>
      </c>
      <c r="G79" s="3" t="s">
        <v>17</v>
      </c>
      <c r="H79" s="3" t="s">
        <v>18</v>
      </c>
      <c r="I79" s="3" t="s">
        <v>187</v>
      </c>
      <c r="J79" s="3" t="s">
        <v>20</v>
      </c>
      <c r="K79" s="3" t="s">
        <v>21</v>
      </c>
      <c r="L79" s="3">
        <v>1.0</v>
      </c>
    </row>
    <row r="80">
      <c r="A80" s="3" t="s">
        <v>385</v>
      </c>
      <c r="B80" s="5">
        <v>20000.0</v>
      </c>
      <c r="C80" s="3">
        <v>4.9058526200069E13</v>
      </c>
      <c r="D80" s="3" t="s">
        <v>386</v>
      </c>
      <c r="E80" s="4">
        <v>43353.0</v>
      </c>
      <c r="F80" s="3" t="s">
        <v>387</v>
      </c>
      <c r="G80" s="3" t="s">
        <v>17</v>
      </c>
      <c r="H80" s="3" t="s">
        <v>18</v>
      </c>
      <c r="I80" s="3" t="s">
        <v>383</v>
      </c>
      <c r="J80" s="3" t="s">
        <v>20</v>
      </c>
      <c r="K80" s="3" t="s">
        <v>21</v>
      </c>
      <c r="L80" s="3">
        <v>1.0</v>
      </c>
    </row>
    <row r="81">
      <c r="A81" s="3" t="s">
        <v>150</v>
      </c>
      <c r="B81" s="5">
        <v>19025.0</v>
      </c>
      <c r="C81" s="3">
        <v>8.2239982E8</v>
      </c>
      <c r="D81" s="3" t="s">
        <v>119</v>
      </c>
      <c r="E81" s="4">
        <v>43247.0</v>
      </c>
      <c r="F81" s="3" t="s">
        <v>120</v>
      </c>
      <c r="G81" s="3" t="s">
        <v>17</v>
      </c>
      <c r="H81" s="3" t="s">
        <v>18</v>
      </c>
      <c r="I81" s="3" t="s">
        <v>152</v>
      </c>
      <c r="J81" s="3" t="s">
        <v>20</v>
      </c>
      <c r="K81" s="3" t="s">
        <v>21</v>
      </c>
      <c r="L81" s="3">
        <v>1.0</v>
      </c>
    </row>
    <row r="82">
      <c r="A82" s="3" t="s">
        <v>323</v>
      </c>
      <c r="B82" s="5">
        <v>17940.0</v>
      </c>
      <c r="C82" s="3">
        <v>5.3454877100037E13</v>
      </c>
      <c r="D82" s="3" t="s">
        <v>325</v>
      </c>
      <c r="E82" s="4">
        <v>43329.0</v>
      </c>
      <c r="F82" s="3" t="s">
        <v>326</v>
      </c>
      <c r="G82" s="3" t="s">
        <v>17</v>
      </c>
      <c r="H82" s="3" t="s">
        <v>18</v>
      </c>
      <c r="I82" s="3" t="s">
        <v>327</v>
      </c>
      <c r="J82" s="3" t="s">
        <v>20</v>
      </c>
      <c r="K82" s="3" t="s">
        <v>21</v>
      </c>
      <c r="L82" s="3">
        <v>1.0</v>
      </c>
    </row>
    <row r="83">
      <c r="A83" s="3" t="s">
        <v>122</v>
      </c>
      <c r="B83" s="5">
        <v>17500.0</v>
      </c>
      <c r="C83" s="3">
        <v>3.83890233E8</v>
      </c>
      <c r="D83" s="3" t="s">
        <v>124</v>
      </c>
      <c r="E83" s="4">
        <v>43248.0</v>
      </c>
      <c r="F83" s="3" t="s">
        <v>125</v>
      </c>
      <c r="G83" s="3" t="s">
        <v>17</v>
      </c>
      <c r="H83" s="3" t="s">
        <v>18</v>
      </c>
      <c r="I83" s="3" t="s">
        <v>126</v>
      </c>
      <c r="J83" s="3" t="s">
        <v>20</v>
      </c>
      <c r="K83" s="3" t="s">
        <v>21</v>
      </c>
      <c r="L83" s="3">
        <v>1.0</v>
      </c>
    </row>
    <row r="84">
      <c r="A84" s="3" t="s">
        <v>122</v>
      </c>
      <c r="B84" s="5">
        <v>17000.0</v>
      </c>
      <c r="C84" s="3">
        <v>3.83890233E8</v>
      </c>
      <c r="D84" s="3" t="s">
        <v>119</v>
      </c>
      <c r="E84" s="4">
        <v>43252.0</v>
      </c>
      <c r="F84" s="3" t="s">
        <v>120</v>
      </c>
      <c r="G84" s="3" t="s">
        <v>17</v>
      </c>
      <c r="H84" s="3" t="s">
        <v>18</v>
      </c>
      <c r="I84" s="3" t="s">
        <v>134</v>
      </c>
      <c r="J84" s="3" t="s">
        <v>20</v>
      </c>
      <c r="K84" s="3" t="s">
        <v>21</v>
      </c>
      <c r="L84" s="3">
        <v>1.0</v>
      </c>
    </row>
    <row r="85">
      <c r="A85" s="3" t="s">
        <v>240</v>
      </c>
      <c r="B85" s="5">
        <v>15200.0</v>
      </c>
      <c r="C85" s="3">
        <v>4.84382189E8</v>
      </c>
      <c r="D85" s="3" t="s">
        <v>143</v>
      </c>
      <c r="E85" s="4">
        <v>43279.0</v>
      </c>
      <c r="F85" s="3" t="s">
        <v>242</v>
      </c>
      <c r="G85" s="3" t="s">
        <v>17</v>
      </c>
      <c r="H85" s="3" t="s">
        <v>18</v>
      </c>
      <c r="I85" s="3" t="s">
        <v>237</v>
      </c>
      <c r="J85" s="3" t="s">
        <v>20</v>
      </c>
      <c r="K85" s="3" t="s">
        <v>21</v>
      </c>
      <c r="L85" s="3">
        <v>1.0</v>
      </c>
    </row>
    <row r="86">
      <c r="A86" s="3" t="s">
        <v>104</v>
      </c>
      <c r="B86" s="5">
        <v>15000.0</v>
      </c>
      <c r="C86" s="3">
        <v>5.33896825E8</v>
      </c>
      <c r="D86" s="3" t="s">
        <v>106</v>
      </c>
      <c r="E86" s="4">
        <v>43222.0</v>
      </c>
      <c r="F86" s="3" t="s">
        <v>107</v>
      </c>
      <c r="G86" s="3" t="s">
        <v>17</v>
      </c>
      <c r="H86" s="3" t="s">
        <v>18</v>
      </c>
      <c r="I86" s="3" t="s">
        <v>108</v>
      </c>
      <c r="J86" s="3" t="s">
        <v>20</v>
      </c>
      <c r="K86" s="3" t="s">
        <v>21</v>
      </c>
      <c r="L86" s="3">
        <v>1.0</v>
      </c>
    </row>
    <row r="87">
      <c r="A87" s="3" t="s">
        <v>142</v>
      </c>
      <c r="B87" s="5">
        <v>15000.0</v>
      </c>
      <c r="C87" s="3">
        <v>3.28480082E8</v>
      </c>
      <c r="D87" s="3" t="s">
        <v>143</v>
      </c>
      <c r="E87" s="4">
        <v>43252.0</v>
      </c>
      <c r="F87" s="3" t="s">
        <v>144</v>
      </c>
      <c r="G87" s="3" t="s">
        <v>17</v>
      </c>
      <c r="H87" s="3" t="s">
        <v>18</v>
      </c>
      <c r="I87" s="3" t="s">
        <v>134</v>
      </c>
      <c r="J87" s="3" t="s">
        <v>20</v>
      </c>
      <c r="K87" s="3" t="s">
        <v>21</v>
      </c>
      <c r="L87" s="3">
        <v>1.0</v>
      </c>
    </row>
    <row r="88">
      <c r="A88" s="3" t="s">
        <v>168</v>
      </c>
      <c r="B88" s="5">
        <v>15000.0</v>
      </c>
      <c r="C88" s="3">
        <v>8.0910251E8</v>
      </c>
      <c r="D88" s="3" t="s">
        <v>119</v>
      </c>
      <c r="E88" s="4">
        <v>43262.0</v>
      </c>
      <c r="F88" s="3" t="s">
        <v>120</v>
      </c>
      <c r="G88" s="3" t="s">
        <v>17</v>
      </c>
      <c r="H88" s="3" t="s">
        <v>18</v>
      </c>
      <c r="I88" s="3" t="s">
        <v>169</v>
      </c>
      <c r="J88" s="3" t="s">
        <v>20</v>
      </c>
      <c r="K88" s="3" t="s">
        <v>21</v>
      </c>
      <c r="L88" s="3">
        <v>1.0</v>
      </c>
    </row>
    <row r="89">
      <c r="A89" s="3" t="s">
        <v>198</v>
      </c>
      <c r="B89" s="5">
        <v>15000.0</v>
      </c>
      <c r="C89" s="3">
        <v>3.50118865E8</v>
      </c>
      <c r="D89" s="3" t="s">
        <v>143</v>
      </c>
      <c r="E89" s="4">
        <v>43269.0</v>
      </c>
      <c r="F89" s="3" t="s">
        <v>199</v>
      </c>
      <c r="G89" s="3" t="s">
        <v>17</v>
      </c>
      <c r="H89" s="3" t="s">
        <v>18</v>
      </c>
      <c r="I89" s="3" t="s">
        <v>187</v>
      </c>
      <c r="J89" s="3" t="s">
        <v>20</v>
      </c>
      <c r="K89" s="3" t="s">
        <v>21</v>
      </c>
      <c r="L89" s="3">
        <v>1.0</v>
      </c>
    </row>
    <row r="90">
      <c r="A90" s="3" t="s">
        <v>36</v>
      </c>
      <c r="B90" s="5">
        <v>15000.0</v>
      </c>
      <c r="C90" s="3">
        <v>4.895630720002E13</v>
      </c>
      <c r="D90" s="3" t="s">
        <v>260</v>
      </c>
      <c r="E90" s="4">
        <v>43287.0</v>
      </c>
      <c r="F90" s="3" t="s">
        <v>261</v>
      </c>
      <c r="G90" s="3" t="s">
        <v>17</v>
      </c>
      <c r="H90" s="3" t="s">
        <v>18</v>
      </c>
      <c r="I90" s="3" t="s">
        <v>262</v>
      </c>
      <c r="J90" s="3" t="s">
        <v>20</v>
      </c>
      <c r="K90" s="3" t="s">
        <v>21</v>
      </c>
      <c r="L90" s="3">
        <v>1.0</v>
      </c>
    </row>
    <row r="91">
      <c r="A91" s="3" t="s">
        <v>277</v>
      </c>
      <c r="B91" s="5">
        <v>15000.0</v>
      </c>
      <c r="C91" s="3">
        <v>4.3434085700037E13</v>
      </c>
      <c r="D91" s="3" t="s">
        <v>143</v>
      </c>
      <c r="E91" s="4">
        <v>43300.0</v>
      </c>
      <c r="F91" s="3" t="s">
        <v>16</v>
      </c>
      <c r="G91" s="3" t="s">
        <v>17</v>
      </c>
      <c r="H91" s="3" t="s">
        <v>18</v>
      </c>
      <c r="I91" s="3" t="s">
        <v>278</v>
      </c>
      <c r="J91" s="3" t="s">
        <v>20</v>
      </c>
      <c r="K91" s="3" t="s">
        <v>21</v>
      </c>
      <c r="L91" s="3">
        <v>1.0</v>
      </c>
    </row>
    <row r="92">
      <c r="A92" s="3" t="s">
        <v>351</v>
      </c>
      <c r="B92" s="5">
        <v>15000.0</v>
      </c>
      <c r="C92" s="3">
        <v>3.9856806300059E13</v>
      </c>
      <c r="D92" s="3" t="s">
        <v>267</v>
      </c>
      <c r="E92" s="4">
        <v>43339.0</v>
      </c>
      <c r="F92" s="3" t="s">
        <v>352</v>
      </c>
      <c r="G92" s="3" t="s">
        <v>17</v>
      </c>
      <c r="H92" s="3" t="s">
        <v>18</v>
      </c>
      <c r="I92" s="3" t="s">
        <v>347</v>
      </c>
      <c r="J92" s="3" t="s">
        <v>20</v>
      </c>
      <c r="K92" s="3" t="s">
        <v>21</v>
      </c>
      <c r="L92" s="3">
        <v>1.0</v>
      </c>
    </row>
    <row r="93">
      <c r="A93" s="3" t="s">
        <v>442</v>
      </c>
      <c r="B93" s="5">
        <v>15000.0</v>
      </c>
      <c r="C93" s="3">
        <v>5.2539664400011E13</v>
      </c>
      <c r="D93" s="3" t="s">
        <v>443</v>
      </c>
      <c r="E93" s="4">
        <v>43418.0</v>
      </c>
      <c r="F93" s="3" t="s">
        <v>446</v>
      </c>
      <c r="G93" s="3" t="s">
        <v>17</v>
      </c>
      <c r="H93" s="3" t="s">
        <v>48</v>
      </c>
      <c r="I93" s="3" t="s">
        <v>445</v>
      </c>
      <c r="J93" s="3" t="s">
        <v>20</v>
      </c>
      <c r="K93" s="3" t="s">
        <v>21</v>
      </c>
      <c r="L93" s="3">
        <v>1.0</v>
      </c>
    </row>
    <row r="94">
      <c r="A94" s="3" t="s">
        <v>194</v>
      </c>
      <c r="B94" s="5">
        <v>14825.0</v>
      </c>
      <c r="C94" s="3">
        <v>8.0294758E8</v>
      </c>
      <c r="D94" s="3" t="s">
        <v>196</v>
      </c>
      <c r="E94" s="4">
        <v>43269.0</v>
      </c>
      <c r="F94" s="3" t="s">
        <v>197</v>
      </c>
      <c r="G94" s="3" t="s">
        <v>17</v>
      </c>
      <c r="H94" s="3" t="s">
        <v>18</v>
      </c>
      <c r="I94" s="3" t="s">
        <v>187</v>
      </c>
      <c r="J94" s="3" t="s">
        <v>20</v>
      </c>
      <c r="K94" s="3" t="s">
        <v>21</v>
      </c>
      <c r="L94" s="3">
        <v>1.0</v>
      </c>
    </row>
    <row r="95">
      <c r="A95" s="3" t="s">
        <v>415</v>
      </c>
      <c r="B95" s="5">
        <v>14250.0</v>
      </c>
      <c r="C95" s="3">
        <v>4.9848483100033E13</v>
      </c>
      <c r="D95" s="3" t="s">
        <v>417</v>
      </c>
      <c r="E95" s="4">
        <v>43391.0</v>
      </c>
      <c r="F95" s="3" t="s">
        <v>16</v>
      </c>
      <c r="G95" s="3" t="s">
        <v>17</v>
      </c>
      <c r="H95" s="3" t="s">
        <v>18</v>
      </c>
      <c r="I95" s="3" t="s">
        <v>418</v>
      </c>
      <c r="J95" s="3" t="s">
        <v>20</v>
      </c>
      <c r="K95" s="3" t="s">
        <v>21</v>
      </c>
      <c r="L95" s="3">
        <v>1.0</v>
      </c>
    </row>
    <row r="96">
      <c r="A96" s="3" t="s">
        <v>448</v>
      </c>
      <c r="B96" s="5">
        <v>14250.0</v>
      </c>
      <c r="C96" s="3">
        <v>8.312204960001E13</v>
      </c>
      <c r="D96" s="3" t="s">
        <v>449</v>
      </c>
      <c r="E96" s="4">
        <v>43419.0</v>
      </c>
      <c r="F96" s="3" t="s">
        <v>450</v>
      </c>
      <c r="G96" s="3" t="s">
        <v>17</v>
      </c>
      <c r="H96" s="3" t="s">
        <v>18</v>
      </c>
      <c r="I96" s="3" t="s">
        <v>451</v>
      </c>
      <c r="J96" s="3" t="s">
        <v>20</v>
      </c>
      <c r="K96" s="3" t="s">
        <v>21</v>
      </c>
      <c r="L96" s="3">
        <v>1.0</v>
      </c>
    </row>
    <row r="97">
      <c r="A97" s="3" t="s">
        <v>208</v>
      </c>
      <c r="B97" s="5">
        <v>14000.0</v>
      </c>
      <c r="C97" s="3">
        <v>8.09584576E8</v>
      </c>
      <c r="D97" s="3" t="s">
        <v>119</v>
      </c>
      <c r="E97" s="4">
        <v>43252.0</v>
      </c>
      <c r="F97" s="3" t="s">
        <v>120</v>
      </c>
      <c r="G97" s="3" t="s">
        <v>17</v>
      </c>
      <c r="H97" s="3" t="s">
        <v>18</v>
      </c>
      <c r="I97" s="3" t="s">
        <v>134</v>
      </c>
      <c r="J97" s="3" t="s">
        <v>20</v>
      </c>
      <c r="K97" s="3" t="s">
        <v>21</v>
      </c>
      <c r="L97" s="3">
        <v>1.0</v>
      </c>
    </row>
    <row r="98">
      <c r="A98" s="3" t="s">
        <v>328</v>
      </c>
      <c r="B98" s="5">
        <v>14000.0</v>
      </c>
      <c r="C98" s="3">
        <v>4.3403882400042E13</v>
      </c>
      <c r="D98" s="3" t="s">
        <v>452</v>
      </c>
      <c r="E98" s="4">
        <v>43420.0</v>
      </c>
      <c r="F98" s="3" t="s">
        <v>453</v>
      </c>
      <c r="G98" s="3" t="s">
        <v>17</v>
      </c>
      <c r="H98" s="3" t="s">
        <v>18</v>
      </c>
      <c r="I98" s="3" t="s">
        <v>454</v>
      </c>
      <c r="J98" s="3" t="s">
        <v>20</v>
      </c>
      <c r="K98" s="3" t="s">
        <v>21</v>
      </c>
      <c r="L98" s="3">
        <v>1.0</v>
      </c>
    </row>
    <row r="99">
      <c r="A99" s="3" t="s">
        <v>289</v>
      </c>
      <c r="B99" s="5">
        <v>13538.0</v>
      </c>
      <c r="C99" s="3">
        <v>8.0127165100011E13</v>
      </c>
      <c r="D99" s="3" t="s">
        <v>303</v>
      </c>
      <c r="E99" s="4">
        <v>43298.0</v>
      </c>
      <c r="F99" s="3" t="s">
        <v>316</v>
      </c>
      <c r="G99" s="3" t="s">
        <v>17</v>
      </c>
      <c r="H99" s="3" t="s">
        <v>18</v>
      </c>
      <c r="I99" s="3" t="s">
        <v>317</v>
      </c>
      <c r="J99" s="3" t="s">
        <v>20</v>
      </c>
      <c r="K99" s="3" t="s">
        <v>21</v>
      </c>
      <c r="L99" s="3">
        <v>1.0</v>
      </c>
    </row>
    <row r="100">
      <c r="A100" s="3" t="s">
        <v>22</v>
      </c>
      <c r="B100" s="5">
        <v>13000.0</v>
      </c>
      <c r="C100" s="3">
        <v>4.8856661300037E13</v>
      </c>
      <c r="D100" s="3" t="s">
        <v>376</v>
      </c>
      <c r="E100" s="4">
        <v>43335.0</v>
      </c>
      <c r="F100" s="3" t="s">
        <v>337</v>
      </c>
      <c r="G100" s="3" t="s">
        <v>17</v>
      </c>
      <c r="H100" s="3" t="s">
        <v>48</v>
      </c>
      <c r="I100" s="3" t="s">
        <v>343</v>
      </c>
      <c r="J100" s="3" t="s">
        <v>20</v>
      </c>
      <c r="K100" s="3" t="s">
        <v>21</v>
      </c>
      <c r="L100" s="3">
        <v>1.0</v>
      </c>
    </row>
    <row r="101">
      <c r="A101" s="3" t="s">
        <v>442</v>
      </c>
      <c r="B101" s="5">
        <v>13000.0</v>
      </c>
      <c r="C101" s="3">
        <v>5.2539664400011E13</v>
      </c>
      <c r="D101" s="3" t="s">
        <v>443</v>
      </c>
      <c r="E101" s="4">
        <v>43418.0</v>
      </c>
      <c r="F101" s="3" t="s">
        <v>444</v>
      </c>
      <c r="G101" s="3" t="s">
        <v>17</v>
      </c>
      <c r="H101" s="3" t="s">
        <v>18</v>
      </c>
      <c r="I101" s="3" t="s">
        <v>445</v>
      </c>
      <c r="J101" s="3" t="s">
        <v>20</v>
      </c>
      <c r="K101" s="3" t="s">
        <v>21</v>
      </c>
      <c r="L101" s="3">
        <v>1.0</v>
      </c>
    </row>
    <row r="102">
      <c r="A102" s="3" t="s">
        <v>176</v>
      </c>
      <c r="B102" s="5">
        <v>12600.0</v>
      </c>
      <c r="C102" s="3">
        <v>7.9836587E8</v>
      </c>
      <c r="D102" s="3" t="s">
        <v>119</v>
      </c>
      <c r="E102" s="4">
        <v>43264.0</v>
      </c>
      <c r="F102" s="3" t="s">
        <v>174</v>
      </c>
      <c r="G102" s="3" t="s">
        <v>17</v>
      </c>
      <c r="H102" s="3" t="s">
        <v>18</v>
      </c>
      <c r="I102" s="3" t="s">
        <v>178</v>
      </c>
      <c r="J102" s="3" t="s">
        <v>20</v>
      </c>
      <c r="K102" s="3" t="s">
        <v>21</v>
      </c>
      <c r="L102" s="3">
        <v>1.0</v>
      </c>
    </row>
    <row r="103">
      <c r="A103" s="3" t="s">
        <v>160</v>
      </c>
      <c r="B103" s="5">
        <v>11000.0</v>
      </c>
      <c r="C103" s="3">
        <v>8.24274781E8</v>
      </c>
      <c r="D103" s="3" t="s">
        <v>119</v>
      </c>
      <c r="E103" s="4">
        <v>43252.0</v>
      </c>
      <c r="F103" s="3" t="s">
        <v>120</v>
      </c>
      <c r="G103" s="3" t="s">
        <v>17</v>
      </c>
      <c r="H103" s="3" t="s">
        <v>18</v>
      </c>
      <c r="I103" s="3" t="s">
        <v>134</v>
      </c>
      <c r="J103" s="3" t="s">
        <v>20</v>
      </c>
      <c r="K103" s="3" t="s">
        <v>21</v>
      </c>
      <c r="L103" s="3">
        <v>1.0</v>
      </c>
    </row>
    <row r="104">
      <c r="A104" s="3" t="s">
        <v>227</v>
      </c>
      <c r="B104" s="5">
        <v>11000.0</v>
      </c>
      <c r="C104" s="3">
        <v>3.4169319000033E13</v>
      </c>
      <c r="D104" s="3" t="s">
        <v>399</v>
      </c>
      <c r="E104" s="4">
        <v>43371.0</v>
      </c>
      <c r="F104" s="3" t="s">
        <v>337</v>
      </c>
      <c r="G104" s="3" t="s">
        <v>17</v>
      </c>
      <c r="H104" s="3" t="s">
        <v>48</v>
      </c>
      <c r="I104" s="3" t="s">
        <v>405</v>
      </c>
      <c r="J104" s="3" t="s">
        <v>20</v>
      </c>
      <c r="K104" s="3" t="s">
        <v>21</v>
      </c>
      <c r="L104" s="3">
        <v>1.0</v>
      </c>
    </row>
    <row r="105">
      <c r="A105" s="3" t="s">
        <v>45</v>
      </c>
      <c r="B105" s="5">
        <v>10870.0</v>
      </c>
      <c r="C105" s="3">
        <v>7.89105954E8</v>
      </c>
      <c r="D105" s="3" t="s">
        <v>47</v>
      </c>
      <c r="E105" s="4">
        <v>43091.0</v>
      </c>
      <c r="F105" s="3" t="s">
        <v>16</v>
      </c>
      <c r="G105" s="3" t="s">
        <v>17</v>
      </c>
      <c r="H105" s="3" t="s">
        <v>48</v>
      </c>
      <c r="I105" s="3" t="s">
        <v>26</v>
      </c>
      <c r="J105" s="3" t="s">
        <v>20</v>
      </c>
      <c r="K105" s="3" t="s">
        <v>21</v>
      </c>
      <c r="L105" s="3">
        <v>1.0</v>
      </c>
    </row>
    <row r="106">
      <c r="A106" s="3" t="s">
        <v>378</v>
      </c>
      <c r="B106" s="5">
        <v>10300.0</v>
      </c>
      <c r="C106" s="3">
        <v>3.3348540700014E13</v>
      </c>
      <c r="D106" s="3" t="s">
        <v>376</v>
      </c>
      <c r="E106" s="4">
        <v>43342.0</v>
      </c>
      <c r="F106" s="3" t="s">
        <v>337</v>
      </c>
      <c r="G106" s="3" t="s">
        <v>17</v>
      </c>
      <c r="H106" s="3" t="s">
        <v>48</v>
      </c>
      <c r="I106" s="3" t="s">
        <v>372</v>
      </c>
      <c r="J106" s="3" t="s">
        <v>20</v>
      </c>
      <c r="K106" s="3" t="s">
        <v>21</v>
      </c>
      <c r="L106" s="3">
        <v>1.0</v>
      </c>
    </row>
    <row r="107">
      <c r="A107" s="3" t="s">
        <v>117</v>
      </c>
      <c r="B107" s="5">
        <v>10000.0</v>
      </c>
      <c r="C107" s="3">
        <v>8.21354933E8</v>
      </c>
      <c r="D107" s="3" t="s">
        <v>119</v>
      </c>
      <c r="E107" s="4">
        <v>43244.0</v>
      </c>
      <c r="F107" s="3" t="s">
        <v>120</v>
      </c>
      <c r="G107" s="3" t="s">
        <v>17</v>
      </c>
      <c r="H107" s="3" t="s">
        <v>18</v>
      </c>
      <c r="I107" s="3" t="s">
        <v>121</v>
      </c>
      <c r="J107" s="3" t="s">
        <v>20</v>
      </c>
      <c r="K107" s="3" t="s">
        <v>21</v>
      </c>
      <c r="L107" s="3">
        <v>1.0</v>
      </c>
    </row>
    <row r="108">
      <c r="A108" s="3" t="s">
        <v>127</v>
      </c>
      <c r="B108" s="5">
        <v>10000.0</v>
      </c>
      <c r="C108" s="3">
        <v>7.89632254E8</v>
      </c>
      <c r="D108" s="3" t="s">
        <v>119</v>
      </c>
      <c r="E108" s="4">
        <v>43250.0</v>
      </c>
      <c r="F108" s="3" t="s">
        <v>120</v>
      </c>
      <c r="G108" s="3" t="s">
        <v>17</v>
      </c>
      <c r="H108" s="3" t="s">
        <v>18</v>
      </c>
      <c r="I108" s="3" t="s">
        <v>128</v>
      </c>
      <c r="J108" s="3" t="s">
        <v>20</v>
      </c>
      <c r="K108" s="3" t="s">
        <v>21</v>
      </c>
      <c r="L108" s="3">
        <v>1.0</v>
      </c>
    </row>
    <row r="109">
      <c r="A109" s="3" t="s">
        <v>266</v>
      </c>
      <c r="B109" s="5">
        <v>10000.0</v>
      </c>
      <c r="C109" s="3">
        <v>8.2982336800016E13</v>
      </c>
      <c r="D109" s="3" t="s">
        <v>267</v>
      </c>
      <c r="E109" s="4">
        <v>43263.0</v>
      </c>
      <c r="F109" s="3" t="s">
        <v>268</v>
      </c>
      <c r="G109" s="3" t="s">
        <v>17</v>
      </c>
      <c r="H109" s="3" t="s">
        <v>18</v>
      </c>
      <c r="I109" s="3" t="s">
        <v>175</v>
      </c>
      <c r="J109" s="3" t="s">
        <v>20</v>
      </c>
      <c r="K109" s="3" t="s">
        <v>21</v>
      </c>
      <c r="L109" s="3">
        <v>1.0</v>
      </c>
    </row>
    <row r="110">
      <c r="A110" s="3" t="s">
        <v>274</v>
      </c>
      <c r="B110" s="5">
        <v>10000.0</v>
      </c>
      <c r="C110" s="3">
        <v>8.221340780001E13</v>
      </c>
      <c r="D110" s="3" t="s">
        <v>275</v>
      </c>
      <c r="E110" s="4">
        <v>43299.0</v>
      </c>
      <c r="F110" s="3" t="s">
        <v>276</v>
      </c>
      <c r="G110" s="3" t="s">
        <v>17</v>
      </c>
      <c r="H110" s="3" t="s">
        <v>18</v>
      </c>
      <c r="I110" s="3" t="s">
        <v>273</v>
      </c>
      <c r="J110" s="3" t="s">
        <v>20</v>
      </c>
      <c r="K110" s="3" t="s">
        <v>21</v>
      </c>
      <c r="L110" s="3">
        <v>1.0</v>
      </c>
    </row>
    <row r="111">
      <c r="A111" s="3" t="s">
        <v>281</v>
      </c>
      <c r="B111" s="5">
        <v>10000.0</v>
      </c>
      <c r="C111" s="3">
        <v>7.5198395800024E13</v>
      </c>
      <c r="D111" s="3" t="s">
        <v>267</v>
      </c>
      <c r="E111" s="4">
        <v>43276.0</v>
      </c>
      <c r="F111" s="3" t="s">
        <v>282</v>
      </c>
      <c r="G111" s="3" t="s">
        <v>17</v>
      </c>
      <c r="H111" s="3" t="s">
        <v>18</v>
      </c>
      <c r="I111" s="3" t="s">
        <v>283</v>
      </c>
      <c r="J111" s="3" t="s">
        <v>20</v>
      </c>
      <c r="K111" s="3" t="s">
        <v>21</v>
      </c>
      <c r="L111" s="3" t="s">
        <v>284</v>
      </c>
    </row>
    <row r="112">
      <c r="A112" s="3" t="s">
        <v>22</v>
      </c>
      <c r="B112" s="5">
        <v>10000.0</v>
      </c>
      <c r="C112" s="3">
        <v>4.8856661300037E13</v>
      </c>
      <c r="D112" s="3" t="s">
        <v>303</v>
      </c>
      <c r="E112" s="4">
        <v>43285.0</v>
      </c>
      <c r="F112" s="3" t="s">
        <v>304</v>
      </c>
      <c r="G112" s="3" t="s">
        <v>17</v>
      </c>
      <c r="H112" s="3" t="s">
        <v>18</v>
      </c>
      <c r="I112" s="3" t="s">
        <v>256</v>
      </c>
      <c r="J112" s="3" t="s">
        <v>20</v>
      </c>
      <c r="K112" s="3" t="s">
        <v>21</v>
      </c>
      <c r="L112" s="3">
        <v>1.0</v>
      </c>
    </row>
    <row r="113">
      <c r="A113" s="3" t="s">
        <v>129</v>
      </c>
      <c r="B113" s="5">
        <v>9610.0</v>
      </c>
      <c r="C113" s="3">
        <v>4.38794034E8</v>
      </c>
      <c r="D113" s="3" t="s">
        <v>119</v>
      </c>
      <c r="E113" s="4">
        <v>43244.0</v>
      </c>
      <c r="F113" s="3" t="s">
        <v>120</v>
      </c>
      <c r="G113" s="3" t="s">
        <v>17</v>
      </c>
      <c r="H113" s="3" t="s">
        <v>18</v>
      </c>
      <c r="I113" s="3" t="s">
        <v>121</v>
      </c>
      <c r="J113" s="3" t="s">
        <v>20</v>
      </c>
      <c r="K113" s="3" t="s">
        <v>21</v>
      </c>
      <c r="L113" s="3">
        <v>1.0</v>
      </c>
    </row>
    <row r="114">
      <c r="A114" s="3" t="s">
        <v>164</v>
      </c>
      <c r="B114" s="5">
        <v>9500.0</v>
      </c>
      <c r="C114" s="3">
        <v>4.5227479800035E13</v>
      </c>
      <c r="D114" s="3" t="s">
        <v>424</v>
      </c>
      <c r="E114" s="4">
        <v>43406.0</v>
      </c>
      <c r="F114" s="3" t="s">
        <v>425</v>
      </c>
      <c r="G114" s="3" t="s">
        <v>17</v>
      </c>
      <c r="H114" s="3" t="s">
        <v>18</v>
      </c>
      <c r="I114" s="3" t="s">
        <v>426</v>
      </c>
      <c r="J114" s="3" t="s">
        <v>20</v>
      </c>
      <c r="K114" s="3" t="s">
        <v>21</v>
      </c>
      <c r="L114" s="3">
        <v>1.0</v>
      </c>
    </row>
    <row r="115">
      <c r="A115" s="3" t="s">
        <v>191</v>
      </c>
      <c r="B115" s="5">
        <v>9000.0</v>
      </c>
      <c r="C115" s="3">
        <v>3.7809063300017E13</v>
      </c>
      <c r="D115" s="3" t="s">
        <v>314</v>
      </c>
      <c r="E115" s="4">
        <v>43306.0</v>
      </c>
      <c r="F115" s="3" t="s">
        <v>312</v>
      </c>
      <c r="G115" s="3" t="s">
        <v>17</v>
      </c>
      <c r="H115" s="3" t="s">
        <v>18</v>
      </c>
      <c r="I115" s="3" t="s">
        <v>308</v>
      </c>
      <c r="J115" s="3" t="s">
        <v>20</v>
      </c>
      <c r="K115" s="3" t="s">
        <v>21</v>
      </c>
      <c r="L115" s="3">
        <v>1.0</v>
      </c>
    </row>
    <row r="116">
      <c r="A116" s="3" t="s">
        <v>368</v>
      </c>
      <c r="B116" s="5">
        <v>9000.0</v>
      </c>
      <c r="C116" s="3">
        <v>1.3002285800019E13</v>
      </c>
      <c r="D116" s="3" t="s">
        <v>370</v>
      </c>
      <c r="E116" s="4">
        <v>43342.0</v>
      </c>
      <c r="F116" s="3" t="s">
        <v>373</v>
      </c>
      <c r="G116" s="3" t="s">
        <v>17</v>
      </c>
      <c r="H116" s="3" t="s">
        <v>18</v>
      </c>
      <c r="I116" s="3" t="s">
        <v>372</v>
      </c>
      <c r="J116" s="3" t="s">
        <v>20</v>
      </c>
      <c r="K116" s="3" t="s">
        <v>21</v>
      </c>
      <c r="L116" s="3">
        <v>1.0</v>
      </c>
    </row>
    <row r="117">
      <c r="A117" s="3" t="s">
        <v>368</v>
      </c>
      <c r="B117" s="5">
        <v>8500.0</v>
      </c>
      <c r="C117" s="3">
        <v>1.3002285800018E13</v>
      </c>
      <c r="D117" s="3" t="s">
        <v>370</v>
      </c>
      <c r="E117" s="4">
        <v>43342.0</v>
      </c>
      <c r="F117" s="3" t="s">
        <v>371</v>
      </c>
      <c r="G117" s="3" t="s">
        <v>17</v>
      </c>
      <c r="H117" s="3" t="s">
        <v>18</v>
      </c>
      <c r="I117" s="3" t="s">
        <v>372</v>
      </c>
      <c r="J117" s="3" t="s">
        <v>20</v>
      </c>
      <c r="K117" s="3" t="s">
        <v>21</v>
      </c>
      <c r="L117" s="3">
        <v>1.0</v>
      </c>
    </row>
    <row r="118">
      <c r="A118" s="3" t="s">
        <v>165</v>
      </c>
      <c r="B118" s="5">
        <v>8000.0</v>
      </c>
      <c r="C118" s="3">
        <v>8.33920077E8</v>
      </c>
      <c r="D118" s="3" t="s">
        <v>119</v>
      </c>
      <c r="E118" s="4">
        <v>43257.0</v>
      </c>
      <c r="F118" s="3" t="s">
        <v>120</v>
      </c>
      <c r="G118" s="3" t="s">
        <v>17</v>
      </c>
      <c r="H118" s="3" t="s">
        <v>18</v>
      </c>
      <c r="I118" s="3" t="s">
        <v>156</v>
      </c>
      <c r="J118" s="3" t="s">
        <v>20</v>
      </c>
      <c r="K118" s="3" t="s">
        <v>21</v>
      </c>
      <c r="L118" s="3">
        <v>1.0</v>
      </c>
    </row>
    <row r="119">
      <c r="A119" s="3" t="s">
        <v>173</v>
      </c>
      <c r="B119" s="5">
        <v>8000.0</v>
      </c>
      <c r="C119" s="3">
        <v>8.1141156E8</v>
      </c>
      <c r="D119" s="3" t="s">
        <v>119</v>
      </c>
      <c r="E119" s="4">
        <v>43263.0</v>
      </c>
      <c r="F119" s="3" t="s">
        <v>174</v>
      </c>
      <c r="G119" s="3" t="s">
        <v>17</v>
      </c>
      <c r="H119" s="3" t="s">
        <v>18</v>
      </c>
      <c r="I119" s="3" t="s">
        <v>175</v>
      </c>
      <c r="J119" s="3" t="s">
        <v>20</v>
      </c>
      <c r="K119" s="3" t="s">
        <v>21</v>
      </c>
      <c r="L119" s="3">
        <v>1.0</v>
      </c>
    </row>
    <row r="120">
      <c r="A120" s="3" t="s">
        <v>247</v>
      </c>
      <c r="B120" s="5">
        <v>8000.0</v>
      </c>
      <c r="C120" s="3">
        <v>5.24259363E8</v>
      </c>
      <c r="D120" s="3" t="s">
        <v>143</v>
      </c>
      <c r="E120" s="4">
        <v>43283.0</v>
      </c>
      <c r="F120" s="3" t="s">
        <v>230</v>
      </c>
      <c r="G120" s="3" t="s">
        <v>17</v>
      </c>
      <c r="H120" s="3" t="s">
        <v>18</v>
      </c>
      <c r="I120" s="3" t="s">
        <v>246</v>
      </c>
      <c r="J120" s="3" t="s">
        <v>20</v>
      </c>
      <c r="K120" s="3" t="s">
        <v>21</v>
      </c>
      <c r="L120" s="3">
        <v>1.0</v>
      </c>
    </row>
    <row r="121">
      <c r="A121" s="3" t="s">
        <v>389</v>
      </c>
      <c r="B121" s="5">
        <v>8000.0</v>
      </c>
      <c r="C121" s="3">
        <v>8.3176796700019E13</v>
      </c>
      <c r="D121" s="3" t="s">
        <v>275</v>
      </c>
      <c r="E121" s="4">
        <v>43353.0</v>
      </c>
      <c r="F121" s="3" t="s">
        <v>390</v>
      </c>
      <c r="G121" s="3" t="s">
        <v>17</v>
      </c>
      <c r="H121" s="3" t="s">
        <v>18</v>
      </c>
      <c r="I121" s="3" t="s">
        <v>383</v>
      </c>
      <c r="J121" s="3" t="s">
        <v>20</v>
      </c>
      <c r="K121" s="3" t="s">
        <v>21</v>
      </c>
      <c r="L121" s="3">
        <v>1.0</v>
      </c>
    </row>
    <row r="122">
      <c r="A122" s="3" t="s">
        <v>49</v>
      </c>
      <c r="B122" s="5">
        <v>7900.0</v>
      </c>
      <c r="C122" s="3">
        <v>3.06040312E8</v>
      </c>
      <c r="D122" s="3" t="s">
        <v>51</v>
      </c>
      <c r="E122" s="4">
        <v>43130.0</v>
      </c>
      <c r="F122" s="3" t="s">
        <v>16</v>
      </c>
      <c r="G122" s="3" t="s">
        <v>17</v>
      </c>
      <c r="H122" s="3" t="s">
        <v>18</v>
      </c>
      <c r="I122" s="3" t="s">
        <v>52</v>
      </c>
      <c r="J122" s="3" t="s">
        <v>20</v>
      </c>
      <c r="K122" s="3" t="s">
        <v>21</v>
      </c>
      <c r="L122" s="3">
        <v>1.0</v>
      </c>
    </row>
    <row r="123">
      <c r="A123" s="3" t="s">
        <v>153</v>
      </c>
      <c r="B123" s="5">
        <v>7700.0</v>
      </c>
      <c r="C123" s="3">
        <v>4.44932446E8</v>
      </c>
      <c r="D123" s="3" t="s">
        <v>155</v>
      </c>
      <c r="E123" s="4">
        <v>43257.0</v>
      </c>
      <c r="F123" s="3" t="s">
        <v>120</v>
      </c>
      <c r="G123" s="3" t="s">
        <v>17</v>
      </c>
      <c r="H123" s="3" t="s">
        <v>18</v>
      </c>
      <c r="I123" s="3" t="s">
        <v>156</v>
      </c>
      <c r="J123" s="3" t="s">
        <v>20</v>
      </c>
      <c r="K123" s="3" t="s">
        <v>21</v>
      </c>
      <c r="L123" s="3">
        <v>1.0</v>
      </c>
    </row>
    <row r="124">
      <c r="A124" s="3" t="s">
        <v>401</v>
      </c>
      <c r="B124" s="5">
        <v>7500.0</v>
      </c>
      <c r="C124" s="3">
        <v>4.9322382000017E13</v>
      </c>
      <c r="D124" s="3" t="s">
        <v>403</v>
      </c>
      <c r="E124" s="4">
        <v>43364.0</v>
      </c>
      <c r="F124" s="3" t="s">
        <v>397</v>
      </c>
      <c r="G124" s="3" t="s">
        <v>17</v>
      </c>
      <c r="H124" s="3" t="s">
        <v>18</v>
      </c>
      <c r="I124" s="3" t="s">
        <v>404</v>
      </c>
      <c r="J124" s="3" t="s">
        <v>20</v>
      </c>
      <c r="K124" s="3" t="s">
        <v>21</v>
      </c>
      <c r="L124" s="3">
        <v>1.0</v>
      </c>
    </row>
    <row r="125">
      <c r="A125" s="3" t="s">
        <v>224</v>
      </c>
      <c r="B125" s="5">
        <v>7190.0</v>
      </c>
      <c r="C125" s="3">
        <v>8.28195339E8</v>
      </c>
      <c r="D125" s="3" t="s">
        <v>220</v>
      </c>
      <c r="E125" s="4">
        <v>43264.0</v>
      </c>
      <c r="F125" s="3" t="s">
        <v>120</v>
      </c>
      <c r="G125" s="3" t="s">
        <v>17</v>
      </c>
      <c r="H125" s="3" t="s">
        <v>18</v>
      </c>
      <c r="I125" s="3" t="s">
        <v>226</v>
      </c>
      <c r="J125" s="3" t="s">
        <v>20</v>
      </c>
      <c r="K125" s="3" t="s">
        <v>21</v>
      </c>
      <c r="L125" s="3">
        <v>1.0</v>
      </c>
    </row>
    <row r="126">
      <c r="A126" s="3" t="s">
        <v>334</v>
      </c>
      <c r="B126" s="5">
        <v>7000.0</v>
      </c>
      <c r="C126" s="3">
        <v>4.1087071100083E13</v>
      </c>
      <c r="D126" s="3" t="s">
        <v>336</v>
      </c>
      <c r="E126" s="4">
        <v>43312.0</v>
      </c>
      <c r="F126" s="3" t="s">
        <v>337</v>
      </c>
      <c r="G126" s="3" t="s">
        <v>17</v>
      </c>
      <c r="H126" s="3" t="s">
        <v>18</v>
      </c>
      <c r="I126" s="3" t="s">
        <v>338</v>
      </c>
      <c r="J126" s="3" t="s">
        <v>20</v>
      </c>
      <c r="K126" s="3" t="s">
        <v>21</v>
      </c>
      <c r="L126" s="3">
        <v>1.0</v>
      </c>
    </row>
    <row r="127">
      <c r="A127" s="3" t="s">
        <v>188</v>
      </c>
      <c r="B127" s="5">
        <v>6500.0</v>
      </c>
      <c r="C127" s="3">
        <v>4.22839365E8</v>
      </c>
      <c r="D127" s="3" t="s">
        <v>143</v>
      </c>
      <c r="E127" s="4">
        <v>43269.0</v>
      </c>
      <c r="F127" s="3" t="s">
        <v>190</v>
      </c>
      <c r="G127" s="3" t="s">
        <v>17</v>
      </c>
      <c r="H127" s="3" t="s">
        <v>18</v>
      </c>
      <c r="I127" s="3" t="s">
        <v>187</v>
      </c>
      <c r="J127" s="3" t="s">
        <v>20</v>
      </c>
      <c r="K127" s="3" t="s">
        <v>21</v>
      </c>
      <c r="L127" s="3">
        <v>1.0</v>
      </c>
    </row>
    <row r="128">
      <c r="A128" s="3" t="s">
        <v>221</v>
      </c>
      <c r="B128" s="5">
        <v>5800.0</v>
      </c>
      <c r="C128" s="3">
        <v>4.38269631E8</v>
      </c>
      <c r="D128" s="3" t="s">
        <v>220</v>
      </c>
      <c r="E128" s="4">
        <v>43270.0</v>
      </c>
      <c r="F128" s="3" t="s">
        <v>120</v>
      </c>
      <c r="G128" s="3" t="s">
        <v>17</v>
      </c>
      <c r="H128" s="3" t="s">
        <v>18</v>
      </c>
      <c r="I128" s="3" t="s">
        <v>223</v>
      </c>
      <c r="J128" s="3" t="s">
        <v>20</v>
      </c>
      <c r="K128" s="3" t="s">
        <v>21</v>
      </c>
      <c r="L128" s="3">
        <v>1.0</v>
      </c>
    </row>
    <row r="129">
      <c r="A129" s="3" t="s">
        <v>32</v>
      </c>
      <c r="B129" s="5">
        <v>5000.0</v>
      </c>
      <c r="C129" s="3">
        <v>4.34066577E8</v>
      </c>
      <c r="D129" s="3" t="s">
        <v>34</v>
      </c>
      <c r="E129" s="4">
        <v>43077.0</v>
      </c>
      <c r="F129" s="3" t="s">
        <v>16</v>
      </c>
      <c r="G129" s="3" t="s">
        <v>17</v>
      </c>
      <c r="H129" s="3" t="s">
        <v>18</v>
      </c>
      <c r="I129" s="3" t="s">
        <v>35</v>
      </c>
      <c r="J129" s="3" t="s">
        <v>20</v>
      </c>
      <c r="K129" s="3" t="s">
        <v>21</v>
      </c>
      <c r="L129" s="3">
        <v>1.0</v>
      </c>
    </row>
    <row r="130">
      <c r="A130" s="3" t="s">
        <v>139</v>
      </c>
      <c r="B130" s="5">
        <v>5000.0</v>
      </c>
      <c r="C130" s="3">
        <v>4.80293711E8</v>
      </c>
      <c r="D130" s="3" t="s">
        <v>140</v>
      </c>
      <c r="E130" s="4">
        <v>43252.0</v>
      </c>
      <c r="F130" s="3" t="s">
        <v>141</v>
      </c>
      <c r="G130" s="3" t="s">
        <v>17</v>
      </c>
      <c r="H130" s="3" t="s">
        <v>18</v>
      </c>
      <c r="I130" s="3" t="s">
        <v>134</v>
      </c>
      <c r="J130" s="3" t="s">
        <v>20</v>
      </c>
      <c r="K130" s="3" t="s">
        <v>21</v>
      </c>
      <c r="L130" s="3">
        <v>1.0</v>
      </c>
    </row>
    <row r="131">
      <c r="A131" s="3" t="s">
        <v>145</v>
      </c>
      <c r="B131" s="5">
        <v>5000.0</v>
      </c>
      <c r="C131" s="3">
        <v>4.32883825E8</v>
      </c>
      <c r="D131" s="3" t="s">
        <v>146</v>
      </c>
      <c r="E131" s="4">
        <v>43251.0</v>
      </c>
      <c r="F131" s="3" t="s">
        <v>16</v>
      </c>
      <c r="G131" s="3" t="s">
        <v>17</v>
      </c>
      <c r="H131" s="3" t="s">
        <v>18</v>
      </c>
      <c r="I131" s="3" t="s">
        <v>147</v>
      </c>
      <c r="J131" s="3" t="s">
        <v>20</v>
      </c>
      <c r="K131" s="3" t="s">
        <v>21</v>
      </c>
      <c r="L131" s="3">
        <v>1.0</v>
      </c>
    </row>
    <row r="132">
      <c r="A132" s="3" t="s">
        <v>164</v>
      </c>
      <c r="B132" s="5">
        <v>5000.0</v>
      </c>
      <c r="C132" s="3">
        <v>4.52274798E8</v>
      </c>
      <c r="D132" s="3" t="s">
        <v>119</v>
      </c>
      <c r="E132" s="4">
        <v>43250.0</v>
      </c>
      <c r="F132" s="3" t="s">
        <v>120</v>
      </c>
      <c r="G132" s="3" t="s">
        <v>17</v>
      </c>
      <c r="H132" s="3" t="s">
        <v>18</v>
      </c>
      <c r="I132" s="3" t="s">
        <v>128</v>
      </c>
      <c r="J132" s="3" t="s">
        <v>20</v>
      </c>
      <c r="K132" s="3" t="s">
        <v>21</v>
      </c>
      <c r="L132" s="3">
        <v>1.0</v>
      </c>
    </row>
    <row r="133">
      <c r="A133" s="3" t="s">
        <v>186</v>
      </c>
      <c r="B133" s="5">
        <v>5000.0</v>
      </c>
      <c r="C133" s="3">
        <v>8.10971283E8</v>
      </c>
      <c r="D133" s="3" t="s">
        <v>119</v>
      </c>
      <c r="E133" s="4">
        <v>43269.0</v>
      </c>
      <c r="F133" s="3" t="s">
        <v>120</v>
      </c>
      <c r="G133" s="3" t="s">
        <v>17</v>
      </c>
      <c r="H133" s="3" t="s">
        <v>18</v>
      </c>
      <c r="I133" s="3" t="s">
        <v>187</v>
      </c>
      <c r="J133" s="3" t="s">
        <v>20</v>
      </c>
      <c r="K133" s="3" t="s">
        <v>21</v>
      </c>
      <c r="L133" s="3">
        <v>1.0</v>
      </c>
    </row>
    <row r="134">
      <c r="A134" s="3" t="s">
        <v>318</v>
      </c>
      <c r="B134" s="5">
        <v>5000.0</v>
      </c>
      <c r="C134" s="3">
        <v>8.2138441900015E13</v>
      </c>
      <c r="D134" s="3" t="s">
        <v>303</v>
      </c>
      <c r="E134" s="4">
        <v>43298.0</v>
      </c>
      <c r="F134" s="3" t="s">
        <v>312</v>
      </c>
      <c r="G134" s="3" t="s">
        <v>17</v>
      </c>
      <c r="H134" s="3" t="s">
        <v>18</v>
      </c>
      <c r="I134" s="3" t="s">
        <v>317</v>
      </c>
      <c r="J134" s="3" t="s">
        <v>20</v>
      </c>
      <c r="K134" s="3" t="s">
        <v>21</v>
      </c>
      <c r="L134" s="3">
        <v>1.0</v>
      </c>
    </row>
    <row r="135">
      <c r="A135" s="3" t="s">
        <v>203</v>
      </c>
      <c r="B135" s="5">
        <v>5000.0</v>
      </c>
      <c r="C135" s="3">
        <v>3.5221687300211E13</v>
      </c>
      <c r="D135" s="3" t="s">
        <v>336</v>
      </c>
      <c r="E135" s="4">
        <v>43312.0</v>
      </c>
      <c r="F135" s="3" t="s">
        <v>337</v>
      </c>
      <c r="G135" s="3" t="s">
        <v>17</v>
      </c>
      <c r="H135" s="3" t="s">
        <v>48</v>
      </c>
      <c r="I135" s="3" t="s">
        <v>338</v>
      </c>
      <c r="J135" s="3" t="s">
        <v>20</v>
      </c>
      <c r="K135" s="3" t="s">
        <v>21</v>
      </c>
      <c r="L135" s="3">
        <v>1.0</v>
      </c>
    </row>
    <row r="136">
      <c r="A136" s="3" t="s">
        <v>323</v>
      </c>
      <c r="B136" s="5">
        <v>4000.0</v>
      </c>
      <c r="C136" s="3">
        <v>5.3454877100037E13</v>
      </c>
      <c r="D136" s="3" t="s">
        <v>336</v>
      </c>
      <c r="E136" s="4">
        <v>43311.0</v>
      </c>
      <c r="F136" s="3" t="s">
        <v>337</v>
      </c>
      <c r="G136" s="3" t="s">
        <v>17</v>
      </c>
      <c r="H136" s="3" t="s">
        <v>48</v>
      </c>
      <c r="I136" s="3" t="s">
        <v>340</v>
      </c>
      <c r="J136" s="3" t="s">
        <v>20</v>
      </c>
      <c r="K136" s="3" t="s">
        <v>21</v>
      </c>
      <c r="L136" s="3">
        <v>1.0</v>
      </c>
    </row>
    <row r="137">
      <c r="A137" s="3" t="s">
        <v>249</v>
      </c>
      <c r="B137" s="5">
        <v>4000.0</v>
      </c>
      <c r="C137" s="3">
        <v>4.8237148100029E13</v>
      </c>
      <c r="D137" s="3" t="s">
        <v>399</v>
      </c>
      <c r="E137" s="4">
        <v>43368.0</v>
      </c>
      <c r="F137" s="3" t="s">
        <v>337</v>
      </c>
      <c r="G137" s="3" t="s">
        <v>17</v>
      </c>
      <c r="H137" s="3" t="s">
        <v>48</v>
      </c>
      <c r="I137" s="3" t="s">
        <v>400</v>
      </c>
      <c r="J137" s="3" t="s">
        <v>20</v>
      </c>
      <c r="K137" s="3" t="s">
        <v>21</v>
      </c>
      <c r="L137" s="3">
        <v>1.0</v>
      </c>
    </row>
    <row r="138">
      <c r="A138" s="3" t="s">
        <v>341</v>
      </c>
      <c r="B138" s="5">
        <v>3500.0</v>
      </c>
      <c r="C138" s="3">
        <v>4.1900910500018E13</v>
      </c>
      <c r="D138" s="3" t="s">
        <v>336</v>
      </c>
      <c r="E138" s="4">
        <v>43335.0</v>
      </c>
      <c r="F138" s="3" t="s">
        <v>337</v>
      </c>
      <c r="G138" s="3" t="s">
        <v>17</v>
      </c>
      <c r="H138" s="3" t="s">
        <v>48</v>
      </c>
      <c r="I138" s="3" t="s">
        <v>343</v>
      </c>
      <c r="J138" s="3" t="s">
        <v>20</v>
      </c>
      <c r="K138" s="3" t="s">
        <v>21</v>
      </c>
      <c r="L138" s="3">
        <v>1.0</v>
      </c>
    </row>
    <row r="139">
      <c r="A139" s="3" t="s">
        <v>289</v>
      </c>
      <c r="B139" s="5">
        <v>3000.0</v>
      </c>
      <c r="C139" s="3">
        <v>8.0127165100011E13</v>
      </c>
      <c r="D139" s="3" t="s">
        <v>267</v>
      </c>
      <c r="E139" s="4">
        <v>43301.0</v>
      </c>
      <c r="F139" s="3" t="s">
        <v>291</v>
      </c>
      <c r="G139" s="3" t="s">
        <v>17</v>
      </c>
      <c r="H139" s="3" t="s">
        <v>18</v>
      </c>
      <c r="I139" s="3" t="s">
        <v>292</v>
      </c>
      <c r="J139" s="3" t="s">
        <v>20</v>
      </c>
      <c r="K139" s="3" t="s">
        <v>21</v>
      </c>
      <c r="L139" s="3">
        <v>1.0</v>
      </c>
    </row>
    <row r="140">
      <c r="A140" s="3" t="s">
        <v>364</v>
      </c>
      <c r="B140" s="5">
        <v>3000.0</v>
      </c>
      <c r="C140" s="3">
        <v>4.1993219900013E13</v>
      </c>
      <c r="D140" s="3" t="s">
        <v>303</v>
      </c>
      <c r="E140" s="4">
        <v>43298.0</v>
      </c>
      <c r="F140" s="3" t="s">
        <v>365</v>
      </c>
      <c r="G140" s="3" t="s">
        <v>366</v>
      </c>
      <c r="H140" s="3" t="s">
        <v>367</v>
      </c>
      <c r="I140" s="3" t="s">
        <v>317</v>
      </c>
      <c r="J140" s="3" t="s">
        <v>20</v>
      </c>
      <c r="K140" s="3" t="s">
        <v>21</v>
      </c>
      <c r="L140" s="3">
        <v>1.0</v>
      </c>
    </row>
    <row r="141">
      <c r="A141" s="3" t="s">
        <v>235</v>
      </c>
      <c r="B141" s="5">
        <v>2100.0</v>
      </c>
      <c r="C141" s="3">
        <v>7.50447567E8</v>
      </c>
      <c r="D141" s="3" t="s">
        <v>220</v>
      </c>
      <c r="E141" s="4">
        <v>43279.0</v>
      </c>
      <c r="F141" s="3" t="s">
        <v>120</v>
      </c>
      <c r="G141" s="3" t="s">
        <v>17</v>
      </c>
      <c r="H141" s="3" t="s">
        <v>18</v>
      </c>
      <c r="I141" s="3" t="s">
        <v>237</v>
      </c>
      <c r="J141" s="3" t="s">
        <v>20</v>
      </c>
      <c r="K141" s="3" t="s">
        <v>21</v>
      </c>
      <c r="L141" s="3">
        <v>1.0</v>
      </c>
    </row>
    <row r="142">
      <c r="A142" s="3" t="s">
        <v>411</v>
      </c>
      <c r="B142" s="5">
        <v>2000.0</v>
      </c>
      <c r="C142" s="3">
        <v>8.1028483600014E13</v>
      </c>
      <c r="D142" s="3" t="s">
        <v>303</v>
      </c>
      <c r="E142" s="4">
        <v>43342.0</v>
      </c>
      <c r="F142" s="3" t="s">
        <v>413</v>
      </c>
      <c r="G142" s="3" t="s">
        <v>17</v>
      </c>
      <c r="H142" s="3" t="s">
        <v>48</v>
      </c>
      <c r="I142" s="3" t="s">
        <v>372</v>
      </c>
      <c r="J142" s="3" t="s">
        <v>20</v>
      </c>
      <c r="K142" s="3" t="s">
        <v>21</v>
      </c>
      <c r="L142" s="3">
        <v>1.0</v>
      </c>
    </row>
    <row r="143">
      <c r="A143" s="3" t="s">
        <v>249</v>
      </c>
      <c r="B143" s="5">
        <v>1500.0</v>
      </c>
      <c r="C143" s="3">
        <v>4.8237148100029E13</v>
      </c>
      <c r="D143" s="3" t="s">
        <v>303</v>
      </c>
      <c r="E143" s="4">
        <v>43368.0</v>
      </c>
      <c r="F143" s="3" t="s">
        <v>413</v>
      </c>
      <c r="G143" s="3" t="s">
        <v>17</v>
      </c>
      <c r="H143" s="3" t="s">
        <v>48</v>
      </c>
      <c r="I143" s="3" t="s">
        <v>400</v>
      </c>
      <c r="J143" s="3" t="s">
        <v>20</v>
      </c>
      <c r="K143" s="3" t="s">
        <v>21</v>
      </c>
      <c r="L143" s="3">
        <v>1.0</v>
      </c>
    </row>
    <row r="144">
      <c r="A144" s="3" t="s">
        <v>206</v>
      </c>
      <c r="B144" s="3"/>
      <c r="C144" s="3">
        <v>8.246985E8</v>
      </c>
      <c r="D144" s="3" t="s">
        <v>119</v>
      </c>
      <c r="E144" s="4">
        <v>43266.0</v>
      </c>
      <c r="F144" s="3" t="s">
        <v>16</v>
      </c>
      <c r="G144" s="3" t="s">
        <v>17</v>
      </c>
      <c r="H144" s="3" t="s">
        <v>18</v>
      </c>
      <c r="I144" s="3" t="s">
        <v>185</v>
      </c>
      <c r="J144" s="3" t="s">
        <v>20</v>
      </c>
      <c r="K144" s="3" t="s">
        <v>21</v>
      </c>
      <c r="L144" s="3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1.75"/>
  </cols>
  <sheetData>
    <row r="1">
      <c r="A1" s="1" t="s">
        <v>456</v>
      </c>
      <c r="B1" s="1" t="s">
        <v>457</v>
      </c>
      <c r="C1" s="1" t="s">
        <v>458</v>
      </c>
      <c r="D1" s="1" t="s">
        <v>4</v>
      </c>
      <c r="E1" s="1" t="s">
        <v>3</v>
      </c>
      <c r="F1" s="1" t="s">
        <v>2</v>
      </c>
      <c r="G1" s="1" t="s">
        <v>0</v>
      </c>
      <c r="H1" s="1" t="s">
        <v>5</v>
      </c>
      <c r="I1" s="1" t="s">
        <v>1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459</v>
      </c>
      <c r="O1" s="1" t="s">
        <v>460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43502.0</v>
      </c>
      <c r="B2" s="3" t="s">
        <v>461</v>
      </c>
      <c r="C2" s="3">
        <v>2.4330031600011E13</v>
      </c>
      <c r="D2" s="4">
        <v>43382.0</v>
      </c>
      <c r="E2" s="3" t="s">
        <v>462</v>
      </c>
      <c r="F2" s="3" t="s">
        <v>463</v>
      </c>
      <c r="G2" s="3">
        <v>3.1231100400039E13</v>
      </c>
      <c r="H2" s="3" t="s">
        <v>464</v>
      </c>
      <c r="I2" s="3">
        <v>5000.0</v>
      </c>
      <c r="J2" s="3" t="s">
        <v>17</v>
      </c>
      <c r="K2" s="3" t="s">
        <v>465</v>
      </c>
      <c r="L2" s="3" t="s">
        <v>466</v>
      </c>
      <c r="M2" s="3" t="s">
        <v>20</v>
      </c>
      <c r="N2" s="3" t="s">
        <v>21</v>
      </c>
      <c r="O2" s="3">
        <v>1.0</v>
      </c>
    </row>
    <row r="3">
      <c r="A3" s="4">
        <v>43502.0</v>
      </c>
      <c r="B3" s="3" t="s">
        <v>461</v>
      </c>
      <c r="C3" s="3">
        <v>2.4330031600011E13</v>
      </c>
      <c r="D3" s="4">
        <v>43298.0</v>
      </c>
      <c r="E3" s="3" t="s">
        <v>467</v>
      </c>
      <c r="F3" s="3" t="s">
        <v>468</v>
      </c>
      <c r="G3" s="3">
        <v>4.0285022600018E13</v>
      </c>
      <c r="H3" s="3" t="s">
        <v>469</v>
      </c>
      <c r="I3" s="3">
        <v>25000.0</v>
      </c>
      <c r="J3" s="3" t="s">
        <v>17</v>
      </c>
      <c r="K3" s="3" t="s">
        <v>18</v>
      </c>
      <c r="L3" s="3" t="s">
        <v>470</v>
      </c>
      <c r="M3" s="3" t="s">
        <v>20</v>
      </c>
      <c r="N3" s="3" t="s">
        <v>21</v>
      </c>
      <c r="O3" s="3">
        <v>1.0</v>
      </c>
    </row>
    <row r="4">
      <c r="A4" s="4">
        <v>43502.0</v>
      </c>
      <c r="B4" s="3" t="s">
        <v>461</v>
      </c>
      <c r="C4" s="3">
        <v>2.4330031600011E13</v>
      </c>
      <c r="D4" s="4">
        <v>43413.0</v>
      </c>
      <c r="E4" s="3" t="s">
        <v>471</v>
      </c>
      <c r="F4" s="3" t="s">
        <v>472</v>
      </c>
      <c r="G4" s="3">
        <v>3.0537823400036E13</v>
      </c>
      <c r="H4" s="3" t="s">
        <v>397</v>
      </c>
      <c r="I4" s="3">
        <v>97740.0</v>
      </c>
      <c r="J4" s="3" t="s">
        <v>17</v>
      </c>
      <c r="K4" s="3" t="s">
        <v>18</v>
      </c>
      <c r="L4" s="3" t="s">
        <v>473</v>
      </c>
      <c r="M4" s="3" t="s">
        <v>20</v>
      </c>
      <c r="N4" s="3" t="s">
        <v>21</v>
      </c>
      <c r="O4" s="3">
        <v>1.0</v>
      </c>
    </row>
    <row r="5">
      <c r="A5" s="4">
        <v>43502.0</v>
      </c>
      <c r="B5" s="3" t="s">
        <v>461</v>
      </c>
      <c r="C5" s="3">
        <v>2.4330031600011E13</v>
      </c>
      <c r="D5" s="4">
        <v>43171.0</v>
      </c>
      <c r="E5" s="3" t="s">
        <v>474</v>
      </c>
      <c r="F5" s="3" t="s">
        <v>475</v>
      </c>
      <c r="G5" s="3">
        <v>3.9484466600013E13</v>
      </c>
      <c r="H5" s="3" t="s">
        <v>397</v>
      </c>
      <c r="I5" s="3">
        <v>88000.0</v>
      </c>
      <c r="J5" s="3" t="s">
        <v>17</v>
      </c>
      <c r="K5" s="3" t="s">
        <v>18</v>
      </c>
      <c r="L5" s="3" t="s">
        <v>476</v>
      </c>
      <c r="M5" s="3" t="s">
        <v>20</v>
      </c>
      <c r="N5" s="3" t="s">
        <v>21</v>
      </c>
      <c r="O5" s="3">
        <v>1.0</v>
      </c>
    </row>
    <row r="6">
      <c r="A6" s="4">
        <v>43502.0</v>
      </c>
      <c r="B6" s="3" t="s">
        <v>461</v>
      </c>
      <c r="C6" s="3">
        <v>2.4330031600011E13</v>
      </c>
      <c r="D6" s="4">
        <v>43363.0</v>
      </c>
      <c r="E6" s="3" t="s">
        <v>477</v>
      </c>
      <c r="F6" s="3" t="s">
        <v>478</v>
      </c>
      <c r="G6" s="3">
        <v>4.8782378300013E13</v>
      </c>
      <c r="H6" s="3" t="s">
        <v>464</v>
      </c>
      <c r="I6" s="3">
        <v>10000.0</v>
      </c>
      <c r="J6" s="3" t="s">
        <v>17</v>
      </c>
      <c r="K6" s="3" t="s">
        <v>465</v>
      </c>
      <c r="L6" s="3" t="s">
        <v>479</v>
      </c>
      <c r="M6" s="3" t="s">
        <v>20</v>
      </c>
      <c r="N6" s="3" t="s">
        <v>21</v>
      </c>
      <c r="O6" s="3">
        <v>1.0</v>
      </c>
    </row>
    <row r="7">
      <c r="A7" s="4">
        <v>43502.0</v>
      </c>
      <c r="B7" s="3" t="s">
        <v>461</v>
      </c>
      <c r="C7" s="3">
        <v>2.4330031600011E13</v>
      </c>
      <c r="D7" s="4">
        <v>43444.0</v>
      </c>
      <c r="E7" s="3" t="s">
        <v>480</v>
      </c>
      <c r="F7" s="3" t="s">
        <v>481</v>
      </c>
      <c r="G7" s="3">
        <v>8.1195928700012E13</v>
      </c>
      <c r="H7" s="3" t="s">
        <v>482</v>
      </c>
      <c r="I7" s="3">
        <v>225000.0</v>
      </c>
      <c r="J7" s="3" t="s">
        <v>17</v>
      </c>
      <c r="K7" s="3" t="s">
        <v>18</v>
      </c>
      <c r="L7" s="3" t="s">
        <v>483</v>
      </c>
      <c r="M7" s="3" t="s">
        <v>20</v>
      </c>
      <c r="N7" s="3" t="s">
        <v>21</v>
      </c>
      <c r="O7" s="3">
        <v>1.0</v>
      </c>
    </row>
    <row r="8">
      <c r="A8" s="4">
        <v>43502.0</v>
      </c>
      <c r="B8" s="3" t="s">
        <v>461</v>
      </c>
      <c r="C8" s="3">
        <v>2.4330031600011E13</v>
      </c>
      <c r="D8" s="4">
        <v>43454.0</v>
      </c>
      <c r="E8" s="3" t="s">
        <v>484</v>
      </c>
      <c r="F8" s="3" t="s">
        <v>485</v>
      </c>
      <c r="G8" s="3">
        <v>7.8184854400032E13</v>
      </c>
      <c r="H8" s="3" t="s">
        <v>397</v>
      </c>
      <c r="I8" s="3">
        <v>216000.0</v>
      </c>
      <c r="J8" s="3" t="s">
        <v>17</v>
      </c>
      <c r="K8" s="3" t="s">
        <v>18</v>
      </c>
      <c r="L8" s="3" t="s">
        <v>486</v>
      </c>
      <c r="M8" s="3" t="s">
        <v>20</v>
      </c>
      <c r="N8" s="3" t="s">
        <v>21</v>
      </c>
      <c r="O8" s="3">
        <v>1.0</v>
      </c>
    </row>
    <row r="9">
      <c r="A9" s="4">
        <v>43502.0</v>
      </c>
      <c r="B9" s="3" t="s">
        <v>461</v>
      </c>
      <c r="C9" s="3">
        <v>2.4330031600011E13</v>
      </c>
      <c r="D9" s="4">
        <v>43452.0</v>
      </c>
      <c r="E9" s="3" t="s">
        <v>487</v>
      </c>
      <c r="F9" s="3" t="s">
        <v>488</v>
      </c>
      <c r="G9" s="3">
        <v>7.9493089100013E13</v>
      </c>
      <c r="H9" s="3" t="s">
        <v>276</v>
      </c>
      <c r="I9" s="3">
        <v>15000.0</v>
      </c>
      <c r="J9" s="3" t="s">
        <v>17</v>
      </c>
      <c r="K9" s="3" t="s">
        <v>18</v>
      </c>
      <c r="L9" s="3" t="s">
        <v>489</v>
      </c>
      <c r="M9" s="3" t="s">
        <v>20</v>
      </c>
      <c r="N9" s="3" t="s">
        <v>21</v>
      </c>
      <c r="O9" s="3">
        <v>1.0</v>
      </c>
    </row>
    <row r="10">
      <c r="A10" s="4">
        <v>43502.0</v>
      </c>
      <c r="B10" s="3" t="s">
        <v>461</v>
      </c>
      <c r="C10" s="3">
        <v>2.4330031600011E13</v>
      </c>
      <c r="D10" s="4">
        <v>43482.0</v>
      </c>
      <c r="E10" s="3" t="s">
        <v>490</v>
      </c>
      <c r="F10" s="3" t="s">
        <v>491</v>
      </c>
      <c r="G10" s="3">
        <v>4.3294548300035E13</v>
      </c>
      <c r="H10" s="3" t="s">
        <v>397</v>
      </c>
      <c r="I10" s="3">
        <v>18000.0</v>
      </c>
      <c r="J10" s="3" t="s">
        <v>17</v>
      </c>
      <c r="K10" s="3" t="s">
        <v>18</v>
      </c>
      <c r="L10" s="3" t="s">
        <v>492</v>
      </c>
      <c r="M10" s="3" t="s">
        <v>20</v>
      </c>
      <c r="N10" s="3" t="s">
        <v>21</v>
      </c>
      <c r="O10" s="3">
        <v>1.0</v>
      </c>
    </row>
    <row r="11">
      <c r="A11" s="4">
        <v>43502.0</v>
      </c>
      <c r="B11" s="3" t="s">
        <v>461</v>
      </c>
      <c r="C11" s="3">
        <v>2.4330031600011E13</v>
      </c>
      <c r="D11" s="4">
        <v>43489.0</v>
      </c>
      <c r="E11" s="3" t="s">
        <v>493</v>
      </c>
      <c r="F11" s="3" t="s">
        <v>494</v>
      </c>
      <c r="G11" s="3">
        <v>4.2213614300068E13</v>
      </c>
      <c r="H11" s="3" t="s">
        <v>495</v>
      </c>
      <c r="I11" s="3">
        <v>55000.0</v>
      </c>
      <c r="J11" s="3" t="s">
        <v>17</v>
      </c>
      <c r="K11" s="3" t="s">
        <v>18</v>
      </c>
      <c r="L11" s="3" t="s">
        <v>496</v>
      </c>
      <c r="M11" s="3" t="s">
        <v>20</v>
      </c>
      <c r="N11" s="3" t="s">
        <v>21</v>
      </c>
      <c r="O11" s="3">
        <v>1.0</v>
      </c>
    </row>
    <row r="12">
      <c r="A12" s="4">
        <v>43502.0</v>
      </c>
      <c r="B12" s="3" t="s">
        <v>461</v>
      </c>
      <c r="C12" s="3">
        <v>2.4330031600011E13</v>
      </c>
      <c r="D12" s="4">
        <v>43480.0</v>
      </c>
      <c r="E12" s="3" t="s">
        <v>497</v>
      </c>
      <c r="F12" s="3" t="s">
        <v>498</v>
      </c>
      <c r="G12" s="3">
        <v>3.2721569500047E13</v>
      </c>
      <c r="H12" s="3" t="s">
        <v>499</v>
      </c>
      <c r="I12" s="3">
        <v>49000.0</v>
      </c>
      <c r="J12" s="3" t="s">
        <v>17</v>
      </c>
      <c r="K12" s="3" t="s">
        <v>18</v>
      </c>
      <c r="L12" s="3" t="s">
        <v>500</v>
      </c>
      <c r="M12" s="3" t="s">
        <v>20</v>
      </c>
      <c r="N12" s="3" t="s">
        <v>21</v>
      </c>
      <c r="O12" s="3">
        <v>1.0</v>
      </c>
    </row>
    <row r="13">
      <c r="A13" s="4">
        <v>43502.0</v>
      </c>
      <c r="B13" s="3" t="s">
        <v>461</v>
      </c>
      <c r="C13" s="3">
        <v>2.4330031600011E13</v>
      </c>
      <c r="D13" s="4">
        <v>43367.0</v>
      </c>
      <c r="E13" s="3" t="s">
        <v>501</v>
      </c>
      <c r="F13" s="3" t="s">
        <v>502</v>
      </c>
      <c r="G13" s="3">
        <v>3.2852574600017E13</v>
      </c>
      <c r="H13" s="3" t="s">
        <v>503</v>
      </c>
      <c r="I13" s="3">
        <v>400000.0</v>
      </c>
      <c r="J13" s="3" t="s">
        <v>17</v>
      </c>
      <c r="K13" s="3" t="s">
        <v>18</v>
      </c>
      <c r="L13" s="3" t="s">
        <v>504</v>
      </c>
      <c r="M13" s="3" t="s">
        <v>20</v>
      </c>
      <c r="N13" s="3" t="s">
        <v>21</v>
      </c>
      <c r="O13" s="3">
        <v>1.0</v>
      </c>
    </row>
    <row r="14">
      <c r="A14" s="4">
        <v>43502.0</v>
      </c>
      <c r="B14" s="3" t="s">
        <v>461</v>
      </c>
      <c r="C14" s="3">
        <v>2.4330031600011E13</v>
      </c>
      <c r="D14" s="4">
        <v>43496.0</v>
      </c>
      <c r="E14" s="3" t="s">
        <v>505</v>
      </c>
      <c r="F14" s="3" t="s">
        <v>506</v>
      </c>
      <c r="G14" s="3">
        <v>3.9061052500029E13</v>
      </c>
      <c r="H14" s="3" t="s">
        <v>397</v>
      </c>
      <c r="I14" s="3">
        <v>26000.0</v>
      </c>
      <c r="J14" s="3" t="s">
        <v>17</v>
      </c>
      <c r="K14" s="3" t="s">
        <v>18</v>
      </c>
      <c r="L14" s="3" t="s">
        <v>507</v>
      </c>
      <c r="M14" s="3" t="s">
        <v>20</v>
      </c>
      <c r="N14" s="3" t="s">
        <v>21</v>
      </c>
      <c r="O14" s="3">
        <v>1.0</v>
      </c>
    </row>
    <row r="15">
      <c r="A15" s="4">
        <v>43502.0</v>
      </c>
      <c r="B15" s="3" t="s">
        <v>461</v>
      </c>
      <c r="C15" s="3">
        <v>2.4330031600011E13</v>
      </c>
      <c r="D15" s="4">
        <v>43452.0</v>
      </c>
      <c r="E15" s="3" t="s">
        <v>508</v>
      </c>
      <c r="F15" s="3" t="s">
        <v>509</v>
      </c>
      <c r="G15" s="3">
        <v>5.2539664400011E13</v>
      </c>
      <c r="H15" s="3" t="s">
        <v>510</v>
      </c>
      <c r="I15" s="3">
        <v>14500.0</v>
      </c>
      <c r="J15" s="3" t="s">
        <v>17</v>
      </c>
      <c r="K15" s="3" t="s">
        <v>465</v>
      </c>
      <c r="L15" s="3" t="s">
        <v>489</v>
      </c>
      <c r="M15" s="3" t="s">
        <v>20</v>
      </c>
      <c r="N15" s="3" t="s">
        <v>21</v>
      </c>
      <c r="O15" s="3">
        <v>1.0</v>
      </c>
    </row>
    <row r="16">
      <c r="A16" s="4">
        <v>43557.0</v>
      </c>
      <c r="B16" s="3" t="s">
        <v>461</v>
      </c>
      <c r="C16" s="3">
        <v>2.4330031600011E13</v>
      </c>
      <c r="D16" s="4">
        <v>43353.0</v>
      </c>
      <c r="E16" s="3" t="s">
        <v>511</v>
      </c>
      <c r="F16" s="3" t="s">
        <v>380</v>
      </c>
      <c r="G16" s="3">
        <v>3.9988425300036E13</v>
      </c>
      <c r="H16" s="3" t="s">
        <v>512</v>
      </c>
      <c r="I16" s="3">
        <v>120000.0</v>
      </c>
      <c r="J16" s="3" t="s">
        <v>17</v>
      </c>
      <c r="K16" s="3" t="s">
        <v>18</v>
      </c>
      <c r="L16" s="3" t="s">
        <v>513</v>
      </c>
      <c r="M16" s="3" t="s">
        <v>20</v>
      </c>
      <c r="N16" s="3" t="s">
        <v>21</v>
      </c>
      <c r="O16" s="3">
        <v>1.0</v>
      </c>
    </row>
    <row r="17">
      <c r="A17" s="4">
        <v>43557.0</v>
      </c>
      <c r="B17" s="3" t="s">
        <v>461</v>
      </c>
      <c r="C17" s="3">
        <v>2.4330031600011E13</v>
      </c>
      <c r="D17" s="4">
        <v>43432.0</v>
      </c>
      <c r="E17" s="3" t="s">
        <v>514</v>
      </c>
      <c r="F17" s="3" t="s">
        <v>515</v>
      </c>
      <c r="G17" s="3">
        <v>5.1482209700028E13</v>
      </c>
      <c r="H17" s="3" t="s">
        <v>516</v>
      </c>
      <c r="I17" s="3">
        <v>20000.0</v>
      </c>
      <c r="J17" s="3" t="s">
        <v>17</v>
      </c>
      <c r="K17" s="3" t="s">
        <v>18</v>
      </c>
      <c r="L17" s="3" t="s">
        <v>517</v>
      </c>
      <c r="M17" s="3" t="s">
        <v>20</v>
      </c>
      <c r="N17" s="3" t="s">
        <v>21</v>
      </c>
      <c r="O17" s="3">
        <v>1.0</v>
      </c>
    </row>
    <row r="18">
      <c r="A18" s="4">
        <v>43557.0</v>
      </c>
      <c r="B18" s="3" t="s">
        <v>461</v>
      </c>
      <c r="C18" s="3">
        <v>2.4330031600011E13</v>
      </c>
      <c r="D18" s="4">
        <v>43515.0</v>
      </c>
      <c r="E18" s="3" t="s">
        <v>518</v>
      </c>
      <c r="F18" s="3" t="s">
        <v>519</v>
      </c>
      <c r="G18" s="3">
        <v>3.3986341700418E13</v>
      </c>
      <c r="H18" s="3" t="s">
        <v>520</v>
      </c>
      <c r="I18" s="3">
        <v>25000.0</v>
      </c>
      <c r="J18" s="3" t="s">
        <v>17</v>
      </c>
      <c r="K18" s="3" t="s">
        <v>18</v>
      </c>
      <c r="L18" s="3" t="s">
        <v>521</v>
      </c>
      <c r="M18" s="3" t="s">
        <v>20</v>
      </c>
      <c r="N18" s="3" t="s">
        <v>21</v>
      </c>
      <c r="O18" s="3">
        <v>1.0</v>
      </c>
    </row>
    <row r="19">
      <c r="A19" s="4">
        <v>43557.0</v>
      </c>
      <c r="B19" s="3" t="s">
        <v>461</v>
      </c>
      <c r="C19" s="3">
        <v>2.4330031600011E13</v>
      </c>
      <c r="D19" s="4">
        <v>43510.0</v>
      </c>
      <c r="E19" s="3" t="s">
        <v>522</v>
      </c>
      <c r="F19" s="3" t="s">
        <v>380</v>
      </c>
      <c r="G19" s="3">
        <v>3.9988425300036E13</v>
      </c>
      <c r="H19" s="3" t="s">
        <v>523</v>
      </c>
      <c r="I19" s="3">
        <v>5000.0</v>
      </c>
      <c r="J19" s="3" t="s">
        <v>17</v>
      </c>
      <c r="K19" s="3" t="s">
        <v>18</v>
      </c>
      <c r="L19" s="3" t="s">
        <v>524</v>
      </c>
      <c r="M19" s="3" t="s">
        <v>20</v>
      </c>
      <c r="N19" s="3" t="s">
        <v>21</v>
      </c>
      <c r="O19" s="3">
        <v>1.0</v>
      </c>
    </row>
    <row r="20">
      <c r="A20" s="4">
        <v>43557.0</v>
      </c>
      <c r="B20" s="3" t="s">
        <v>461</v>
      </c>
      <c r="C20" s="3">
        <v>2.4330031600011E13</v>
      </c>
      <c r="D20" s="4">
        <v>43510.0</v>
      </c>
      <c r="E20" s="3" t="s">
        <v>525</v>
      </c>
      <c r="F20" s="3" t="s">
        <v>526</v>
      </c>
      <c r="G20" s="3">
        <v>4.1892140900011E13</v>
      </c>
      <c r="H20" s="3" t="s">
        <v>397</v>
      </c>
      <c r="I20" s="3">
        <v>165000.0</v>
      </c>
      <c r="J20" s="3" t="s">
        <v>17</v>
      </c>
      <c r="K20" s="3" t="s">
        <v>18</v>
      </c>
      <c r="L20" s="3" t="s">
        <v>524</v>
      </c>
      <c r="M20" s="3" t="s">
        <v>20</v>
      </c>
      <c r="N20" s="3" t="s">
        <v>21</v>
      </c>
      <c r="O20" s="3">
        <v>1.0</v>
      </c>
    </row>
    <row r="21">
      <c r="A21" s="4">
        <v>43557.0</v>
      </c>
      <c r="B21" s="3" t="s">
        <v>461</v>
      </c>
      <c r="C21" s="3">
        <v>2.4330031600011E13</v>
      </c>
      <c r="D21" s="4">
        <v>43510.0</v>
      </c>
      <c r="E21" s="3" t="s">
        <v>527</v>
      </c>
      <c r="F21" s="3" t="s">
        <v>528</v>
      </c>
      <c r="G21" s="3">
        <v>4.8301340500012E13</v>
      </c>
      <c r="H21" s="3" t="s">
        <v>397</v>
      </c>
      <c r="I21" s="3">
        <v>1680000.0</v>
      </c>
      <c r="J21" s="3" t="s">
        <v>17</v>
      </c>
      <c r="K21" s="3" t="s">
        <v>18</v>
      </c>
      <c r="L21" s="3" t="s">
        <v>524</v>
      </c>
      <c r="M21" s="3" t="s">
        <v>20</v>
      </c>
      <c r="N21" s="3" t="s">
        <v>21</v>
      </c>
      <c r="O21" s="3">
        <v>1.0</v>
      </c>
    </row>
    <row r="22">
      <c r="A22" s="4">
        <v>43557.0</v>
      </c>
      <c r="B22" s="3" t="s">
        <v>461</v>
      </c>
      <c r="C22" s="3">
        <v>2.4330031600011E13</v>
      </c>
      <c r="D22" s="4">
        <v>43507.0</v>
      </c>
      <c r="E22" s="3" t="s">
        <v>529</v>
      </c>
      <c r="F22" s="3" t="s">
        <v>530</v>
      </c>
      <c r="G22" s="3">
        <v>3.4426475900046E13</v>
      </c>
      <c r="H22" s="3" t="s">
        <v>531</v>
      </c>
      <c r="I22" s="3">
        <v>150000.0</v>
      </c>
      <c r="J22" s="3" t="s">
        <v>17</v>
      </c>
      <c r="K22" s="3" t="s">
        <v>18</v>
      </c>
      <c r="L22" s="3" t="s">
        <v>532</v>
      </c>
      <c r="M22" s="3" t="s">
        <v>20</v>
      </c>
      <c r="N22" s="3" t="s">
        <v>21</v>
      </c>
      <c r="O22" s="3">
        <v>1.0</v>
      </c>
    </row>
    <row r="23">
      <c r="A23" s="4">
        <v>43557.0</v>
      </c>
      <c r="B23" s="3" t="s">
        <v>461</v>
      </c>
      <c r="C23" s="3">
        <v>2.4330031600011E13</v>
      </c>
      <c r="D23" s="4">
        <v>43515.0</v>
      </c>
      <c r="E23" s="3" t="s">
        <v>529</v>
      </c>
      <c r="F23" s="3" t="s">
        <v>533</v>
      </c>
      <c r="G23" s="3">
        <v>3.2848008200069E13</v>
      </c>
      <c r="H23" s="3" t="s">
        <v>534</v>
      </c>
      <c r="I23" s="3">
        <v>15000.0</v>
      </c>
      <c r="J23" s="3" t="s">
        <v>17</v>
      </c>
      <c r="K23" s="3" t="s">
        <v>18</v>
      </c>
      <c r="L23" s="3" t="s">
        <v>535</v>
      </c>
      <c r="M23" s="3" t="s">
        <v>20</v>
      </c>
      <c r="N23" s="3" t="s">
        <v>21</v>
      </c>
      <c r="O23" s="3">
        <v>1.0</v>
      </c>
    </row>
    <row r="24">
      <c r="A24" s="4">
        <v>43557.0</v>
      </c>
      <c r="B24" s="3" t="s">
        <v>461</v>
      </c>
      <c r="C24" s="3">
        <v>2.4330031600011E13</v>
      </c>
      <c r="D24" s="4">
        <v>43516.0</v>
      </c>
      <c r="E24" s="3" t="s">
        <v>529</v>
      </c>
      <c r="F24" s="3" t="s">
        <v>191</v>
      </c>
      <c r="G24" s="3">
        <v>3.7809063300017E13</v>
      </c>
      <c r="H24" s="3" t="s">
        <v>536</v>
      </c>
      <c r="I24" s="3">
        <v>47500.0</v>
      </c>
      <c r="J24" s="3" t="s">
        <v>17</v>
      </c>
      <c r="K24" s="3" t="s">
        <v>18</v>
      </c>
      <c r="L24" s="3" t="s">
        <v>537</v>
      </c>
      <c r="M24" s="3" t="s">
        <v>20</v>
      </c>
      <c r="N24" s="3" t="s">
        <v>21</v>
      </c>
      <c r="O24" s="3">
        <v>1.0</v>
      </c>
    </row>
    <row r="25">
      <c r="A25" s="4">
        <v>43557.0</v>
      </c>
      <c r="B25" s="3" t="s">
        <v>461</v>
      </c>
      <c r="C25" s="3">
        <v>2.4330031600011E13</v>
      </c>
      <c r="D25" s="4">
        <v>43516.0</v>
      </c>
      <c r="E25" s="3" t="s">
        <v>529</v>
      </c>
      <c r="F25" s="3" t="s">
        <v>538</v>
      </c>
      <c r="G25" s="3">
        <v>4.443375880004E13</v>
      </c>
      <c r="H25" s="3" t="s">
        <v>397</v>
      </c>
      <c r="I25" s="3">
        <v>114000.0</v>
      </c>
      <c r="J25" s="3" t="s">
        <v>17</v>
      </c>
      <c r="K25" s="3" t="s">
        <v>18</v>
      </c>
      <c r="L25" s="3" t="s">
        <v>537</v>
      </c>
      <c r="M25" s="3" t="s">
        <v>20</v>
      </c>
      <c r="N25" s="3" t="s">
        <v>21</v>
      </c>
      <c r="O25" s="3">
        <v>1.0</v>
      </c>
    </row>
    <row r="26">
      <c r="A26" s="4">
        <v>43557.0</v>
      </c>
      <c r="B26" s="3" t="s">
        <v>461</v>
      </c>
      <c r="C26" s="3">
        <v>2.4330031600011E13</v>
      </c>
      <c r="D26" s="4">
        <v>43532.0</v>
      </c>
      <c r="E26" s="3" t="s">
        <v>539</v>
      </c>
      <c r="F26" s="3" t="s">
        <v>540</v>
      </c>
      <c r="G26" s="3">
        <v>7.8180455400017E13</v>
      </c>
      <c r="H26" s="3" t="s">
        <v>397</v>
      </c>
      <c r="I26" s="3">
        <v>3000000.0</v>
      </c>
      <c r="J26" s="3" t="s">
        <v>17</v>
      </c>
      <c r="K26" s="3" t="s">
        <v>18</v>
      </c>
      <c r="L26" s="3" t="s">
        <v>541</v>
      </c>
      <c r="M26" s="3" t="s">
        <v>20</v>
      </c>
      <c r="N26" s="3" t="s">
        <v>21</v>
      </c>
      <c r="O26" s="3">
        <v>1.0</v>
      </c>
    </row>
    <row r="27">
      <c r="A27" s="3" t="s">
        <v>456</v>
      </c>
      <c r="B27" s="3" t="s">
        <v>457</v>
      </c>
      <c r="C27" s="3" t="s">
        <v>458</v>
      </c>
      <c r="D27" s="3" t="s">
        <v>4</v>
      </c>
      <c r="E27" s="3" t="s">
        <v>3</v>
      </c>
      <c r="F27" s="3" t="s">
        <v>2</v>
      </c>
      <c r="G27" s="3" t="s">
        <v>0</v>
      </c>
      <c r="H27" s="3" t="s">
        <v>5</v>
      </c>
      <c r="I27" s="3" t="s">
        <v>1</v>
      </c>
      <c r="J27" s="3" t="s">
        <v>6</v>
      </c>
      <c r="K27" s="3" t="s">
        <v>7</v>
      </c>
      <c r="L27" s="3" t="s">
        <v>8</v>
      </c>
      <c r="M27" s="3" t="s">
        <v>9</v>
      </c>
      <c r="N27" s="3" t="s">
        <v>459</v>
      </c>
      <c r="O27" s="3" t="s">
        <v>460</v>
      </c>
    </row>
    <row r="28">
      <c r="A28" s="4">
        <v>43557.0</v>
      </c>
      <c r="B28" s="3" t="s">
        <v>461</v>
      </c>
      <c r="C28" s="3">
        <v>2.4330031600011E13</v>
      </c>
      <c r="D28" s="4">
        <v>43532.0</v>
      </c>
      <c r="E28" s="3" t="s">
        <v>542</v>
      </c>
      <c r="F28" s="3" t="s">
        <v>543</v>
      </c>
      <c r="G28" s="3">
        <v>8.4217399900017E13</v>
      </c>
      <c r="H28" s="3" t="s">
        <v>544</v>
      </c>
      <c r="I28" s="3">
        <v>7000.0</v>
      </c>
      <c r="J28" s="3" t="s">
        <v>17</v>
      </c>
      <c r="K28" s="3" t="s">
        <v>18</v>
      </c>
      <c r="L28" s="3" t="s">
        <v>541</v>
      </c>
      <c r="M28" s="3" t="s">
        <v>20</v>
      </c>
      <c r="N28" s="3" t="s">
        <v>21</v>
      </c>
      <c r="O28" s="3">
        <v>1.0</v>
      </c>
    </row>
    <row r="29">
      <c r="A29" s="4">
        <v>43557.0</v>
      </c>
      <c r="B29" s="3" t="s">
        <v>461</v>
      </c>
      <c r="C29" s="3">
        <v>2.4330031600011E13</v>
      </c>
      <c r="D29" s="4">
        <v>43535.0</v>
      </c>
      <c r="E29" s="3" t="s">
        <v>529</v>
      </c>
      <c r="F29" s="3" t="s">
        <v>231</v>
      </c>
      <c r="G29" s="3">
        <v>4.2008956700036E13</v>
      </c>
      <c r="H29" s="3" t="s">
        <v>545</v>
      </c>
      <c r="I29" s="3">
        <v>20000.0</v>
      </c>
      <c r="J29" s="3" t="s">
        <v>17</v>
      </c>
      <c r="K29" s="3" t="s">
        <v>18</v>
      </c>
      <c r="L29" s="3" t="s">
        <v>546</v>
      </c>
      <c r="M29" s="3" t="s">
        <v>20</v>
      </c>
      <c r="N29" s="3" t="s">
        <v>21</v>
      </c>
      <c r="O29" s="3">
        <v>1.0</v>
      </c>
    </row>
    <row r="30">
      <c r="A30" s="4">
        <v>43557.0</v>
      </c>
      <c r="B30" s="3" t="s">
        <v>461</v>
      </c>
      <c r="C30" s="3">
        <v>2.4330031600011E13</v>
      </c>
      <c r="D30" s="4">
        <v>43532.0</v>
      </c>
      <c r="E30" s="3" t="s">
        <v>547</v>
      </c>
      <c r="F30" s="3" t="s">
        <v>356</v>
      </c>
      <c r="G30" s="3">
        <v>3.0016423300029E13</v>
      </c>
      <c r="H30" s="3" t="s">
        <v>397</v>
      </c>
      <c r="I30" s="3">
        <v>58000.0</v>
      </c>
      <c r="J30" s="3" t="s">
        <v>17</v>
      </c>
      <c r="K30" s="3" t="s">
        <v>18</v>
      </c>
      <c r="L30" s="3" t="s">
        <v>541</v>
      </c>
      <c r="M30" s="3" t="s">
        <v>20</v>
      </c>
      <c r="N30" s="3" t="s">
        <v>21</v>
      </c>
      <c r="O30" s="3">
        <v>1.0</v>
      </c>
    </row>
    <row r="31">
      <c r="A31" s="4">
        <v>43557.0</v>
      </c>
      <c r="B31" s="3" t="s">
        <v>461</v>
      </c>
      <c r="C31" s="3">
        <v>2.4330031600011E13</v>
      </c>
      <c r="D31" s="4">
        <v>43500.0</v>
      </c>
      <c r="E31" s="3" t="s">
        <v>529</v>
      </c>
      <c r="F31" s="3" t="s">
        <v>548</v>
      </c>
      <c r="G31" s="3">
        <v>3.5011886500017E13</v>
      </c>
      <c r="H31" s="3" t="s">
        <v>549</v>
      </c>
      <c r="I31" s="3">
        <v>15000.0</v>
      </c>
      <c r="J31" s="3" t="s">
        <v>17</v>
      </c>
      <c r="K31" s="3" t="s">
        <v>18</v>
      </c>
      <c r="L31" s="3" t="s">
        <v>550</v>
      </c>
      <c r="M31" s="3" t="s">
        <v>20</v>
      </c>
      <c r="N31" s="3" t="s">
        <v>21</v>
      </c>
      <c r="O31" s="3">
        <v>1.0</v>
      </c>
    </row>
    <row r="32">
      <c r="A32" s="4">
        <v>43557.0</v>
      </c>
      <c r="B32" s="3" t="s">
        <v>461</v>
      </c>
      <c r="C32" s="3">
        <v>2.4330031600011E13</v>
      </c>
      <c r="D32" s="4">
        <v>43518.0</v>
      </c>
      <c r="E32" s="3" t="s">
        <v>529</v>
      </c>
      <c r="F32" s="3" t="s">
        <v>148</v>
      </c>
      <c r="G32" s="3">
        <v>4.0265285300069E13</v>
      </c>
      <c r="H32" s="3" t="s">
        <v>551</v>
      </c>
      <c r="I32" s="3">
        <v>35000.0</v>
      </c>
      <c r="J32" s="3" t="s">
        <v>17</v>
      </c>
      <c r="K32" s="3" t="s">
        <v>18</v>
      </c>
      <c r="L32" s="3" t="s">
        <v>552</v>
      </c>
      <c r="M32" s="3" t="s">
        <v>20</v>
      </c>
      <c r="N32" s="3" t="s">
        <v>21</v>
      </c>
      <c r="O32" s="3">
        <v>1.0</v>
      </c>
    </row>
    <row r="33">
      <c r="A33" s="4">
        <v>43557.0</v>
      </c>
      <c r="B33" s="3" t="s">
        <v>461</v>
      </c>
      <c r="C33" s="3">
        <v>2.4330031600011E13</v>
      </c>
      <c r="D33" s="4">
        <v>43508.0</v>
      </c>
      <c r="E33" s="3" t="s">
        <v>529</v>
      </c>
      <c r="F33" s="3" t="s">
        <v>84</v>
      </c>
      <c r="G33" s="3">
        <v>3.4169319000033E13</v>
      </c>
      <c r="H33" s="3" t="s">
        <v>553</v>
      </c>
      <c r="I33" s="3">
        <v>25000.0</v>
      </c>
      <c r="J33" s="3" t="s">
        <v>17</v>
      </c>
      <c r="K33" s="3" t="s">
        <v>18</v>
      </c>
      <c r="L33" s="3" t="s">
        <v>554</v>
      </c>
      <c r="M33" s="3" t="s">
        <v>20</v>
      </c>
      <c r="N33" s="3" t="s">
        <v>21</v>
      </c>
      <c r="O33" s="3">
        <v>1.0</v>
      </c>
    </row>
    <row r="34">
      <c r="A34" s="4">
        <v>43557.0</v>
      </c>
      <c r="B34" s="3" t="s">
        <v>461</v>
      </c>
      <c r="C34" s="3">
        <v>2.4330031600011E13</v>
      </c>
      <c r="D34" s="4">
        <v>43441.0</v>
      </c>
      <c r="E34" s="3" t="s">
        <v>555</v>
      </c>
      <c r="F34" s="3" t="s">
        <v>84</v>
      </c>
      <c r="G34" s="3">
        <v>3.4169319000033E13</v>
      </c>
      <c r="H34" s="3" t="s">
        <v>556</v>
      </c>
      <c r="I34" s="3">
        <v>33250.0</v>
      </c>
      <c r="J34" s="3" t="s">
        <v>17</v>
      </c>
      <c r="K34" s="3" t="s">
        <v>18</v>
      </c>
      <c r="L34" s="3" t="s">
        <v>557</v>
      </c>
      <c r="M34" s="3" t="s">
        <v>20</v>
      </c>
      <c r="N34" s="3" t="s">
        <v>21</v>
      </c>
      <c r="O34" s="3">
        <v>1.0</v>
      </c>
    </row>
    <row r="35">
      <c r="A35" s="4">
        <v>43557.0</v>
      </c>
      <c r="B35" s="3" t="s">
        <v>461</v>
      </c>
      <c r="C35" s="3">
        <v>2.4330031600011E13</v>
      </c>
      <c r="D35" s="4">
        <v>43523.0</v>
      </c>
      <c r="E35" s="6">
        <v>43647.0</v>
      </c>
      <c r="F35" s="3" t="s">
        <v>558</v>
      </c>
      <c r="G35" s="3">
        <v>4.2052348000016E13</v>
      </c>
      <c r="H35" s="3" t="s">
        <v>559</v>
      </c>
      <c r="I35" s="3">
        <v>34000.0</v>
      </c>
      <c r="J35" s="3" t="s">
        <v>17</v>
      </c>
      <c r="K35" s="3" t="s">
        <v>18</v>
      </c>
      <c r="L35" s="3" t="s">
        <v>560</v>
      </c>
      <c r="M35" s="3" t="s">
        <v>20</v>
      </c>
      <c r="N35" s="3" t="s">
        <v>21</v>
      </c>
      <c r="O35" s="3">
        <v>1.0</v>
      </c>
    </row>
    <row r="36">
      <c r="A36" s="4">
        <v>43557.0</v>
      </c>
      <c r="B36" s="3" t="s">
        <v>461</v>
      </c>
      <c r="C36" s="3">
        <v>2.4330031600011E13</v>
      </c>
      <c r="D36" s="4">
        <v>43521.0</v>
      </c>
      <c r="E36" s="3" t="s">
        <v>529</v>
      </c>
      <c r="F36" s="3" t="s">
        <v>277</v>
      </c>
      <c r="G36" s="3">
        <v>4.3434085700037E13</v>
      </c>
      <c r="H36" s="3" t="s">
        <v>561</v>
      </c>
      <c r="I36" s="3">
        <v>15000.0</v>
      </c>
      <c r="J36" s="3" t="s">
        <v>17</v>
      </c>
      <c r="K36" s="3" t="s">
        <v>18</v>
      </c>
      <c r="L36" s="3" t="s">
        <v>562</v>
      </c>
      <c r="M36" s="3" t="s">
        <v>20</v>
      </c>
      <c r="N36" s="3" t="s">
        <v>21</v>
      </c>
      <c r="O36" s="3">
        <v>1.0</v>
      </c>
    </row>
    <row r="37">
      <c r="A37" s="4">
        <v>43557.0</v>
      </c>
      <c r="B37" s="3" t="s">
        <v>461</v>
      </c>
      <c r="C37" s="3">
        <v>2.4330031600011E13</v>
      </c>
      <c r="D37" s="4">
        <v>43530.0</v>
      </c>
      <c r="E37" s="3" t="s">
        <v>563</v>
      </c>
      <c r="F37" s="3" t="s">
        <v>61</v>
      </c>
      <c r="G37" s="3">
        <v>7.818144880004E13</v>
      </c>
      <c r="H37" s="3" t="s">
        <v>397</v>
      </c>
      <c r="I37" s="3">
        <v>4372000.0</v>
      </c>
      <c r="J37" s="3" t="s">
        <v>17</v>
      </c>
      <c r="K37" s="3" t="s">
        <v>18</v>
      </c>
      <c r="L37" s="3" t="s">
        <v>564</v>
      </c>
      <c r="M37" s="3" t="s">
        <v>20</v>
      </c>
      <c r="N37" s="3" t="s">
        <v>21</v>
      </c>
      <c r="O37" s="3">
        <v>1.0</v>
      </c>
    </row>
    <row r="38">
      <c r="A38" s="4">
        <v>43557.0</v>
      </c>
      <c r="B38" s="3" t="s">
        <v>461</v>
      </c>
      <c r="C38" s="3">
        <v>2.4330031600011E13</v>
      </c>
      <c r="D38" s="4">
        <v>43530.0</v>
      </c>
      <c r="E38" s="3" t="s">
        <v>529</v>
      </c>
      <c r="F38" s="3" t="s">
        <v>565</v>
      </c>
      <c r="G38" s="3">
        <v>8.2343035000012E13</v>
      </c>
      <c r="H38" s="3" t="s">
        <v>566</v>
      </c>
      <c r="I38" s="3">
        <v>40000.0</v>
      </c>
      <c r="J38" s="3" t="s">
        <v>17</v>
      </c>
      <c r="K38" s="3" t="s">
        <v>18</v>
      </c>
      <c r="L38" s="3" t="s">
        <v>564</v>
      </c>
      <c r="M38" s="3" t="s">
        <v>20</v>
      </c>
      <c r="N38" s="3" t="s">
        <v>21</v>
      </c>
      <c r="O38" s="3">
        <v>1.0</v>
      </c>
    </row>
    <row r="39">
      <c r="A39" s="4">
        <v>43557.0</v>
      </c>
      <c r="B39" s="3" t="s">
        <v>461</v>
      </c>
      <c r="C39" s="3">
        <v>2.4330031600011E13</v>
      </c>
      <c r="D39" s="4">
        <v>43531.0</v>
      </c>
      <c r="E39" s="3" t="s">
        <v>567</v>
      </c>
      <c r="F39" s="3" t="s">
        <v>568</v>
      </c>
      <c r="G39" s="3">
        <v>4.9058526200069E13</v>
      </c>
      <c r="H39" s="3" t="s">
        <v>397</v>
      </c>
      <c r="I39" s="3">
        <v>230000.0</v>
      </c>
      <c r="J39" s="3" t="s">
        <v>17</v>
      </c>
      <c r="K39" s="3" t="s">
        <v>18</v>
      </c>
      <c r="L39" s="3" t="s">
        <v>569</v>
      </c>
      <c r="M39" s="3" t="s">
        <v>20</v>
      </c>
      <c r="N39" s="3" t="s">
        <v>21</v>
      </c>
      <c r="O39" s="3">
        <v>1.0</v>
      </c>
    </row>
    <row r="40">
      <c r="A40" s="4">
        <v>43557.0</v>
      </c>
      <c r="B40" s="3" t="s">
        <v>461</v>
      </c>
      <c r="C40" s="3">
        <v>2.4330031600011E13</v>
      </c>
      <c r="D40" s="4">
        <v>43532.0</v>
      </c>
      <c r="E40" s="3" t="s">
        <v>570</v>
      </c>
      <c r="F40" s="3" t="s">
        <v>571</v>
      </c>
      <c r="G40" s="3">
        <v>4.9500944100033E13</v>
      </c>
      <c r="H40" s="3" t="s">
        <v>572</v>
      </c>
      <c r="I40" s="3">
        <v>82800.0</v>
      </c>
      <c r="J40" s="3" t="s">
        <v>17</v>
      </c>
      <c r="K40" s="3" t="s">
        <v>18</v>
      </c>
      <c r="L40" s="3" t="s">
        <v>541</v>
      </c>
      <c r="M40" s="3" t="s">
        <v>20</v>
      </c>
      <c r="N40" s="3" t="s">
        <v>21</v>
      </c>
      <c r="O40" s="3">
        <v>1.0</v>
      </c>
    </row>
    <row r="41">
      <c r="A41" s="4">
        <v>43557.0</v>
      </c>
      <c r="B41" s="3" t="s">
        <v>461</v>
      </c>
      <c r="C41" s="3">
        <v>2.4330031600011E13</v>
      </c>
      <c r="D41" s="4">
        <v>43514.0</v>
      </c>
      <c r="E41" s="3" t="s">
        <v>573</v>
      </c>
      <c r="F41" s="3" t="s">
        <v>574</v>
      </c>
      <c r="G41" s="3">
        <v>7.8184375000048E13</v>
      </c>
      <c r="H41" s="3" t="s">
        <v>397</v>
      </c>
      <c r="I41" s="3">
        <v>180000.0</v>
      </c>
      <c r="J41" s="3" t="s">
        <v>17</v>
      </c>
      <c r="K41" s="3" t="s">
        <v>18</v>
      </c>
      <c r="L41" s="3" t="s">
        <v>575</v>
      </c>
      <c r="M41" s="3" t="s">
        <v>20</v>
      </c>
      <c r="N41" s="3" t="s">
        <v>21</v>
      </c>
      <c r="O41" s="3">
        <v>1.0</v>
      </c>
    </row>
    <row r="42">
      <c r="A42" s="4">
        <v>43557.0</v>
      </c>
      <c r="B42" s="3" t="s">
        <v>461</v>
      </c>
      <c r="C42" s="3">
        <v>2.4330031600011E13</v>
      </c>
      <c r="D42" s="4">
        <v>43511.0</v>
      </c>
      <c r="E42" s="3" t="s">
        <v>576</v>
      </c>
      <c r="F42" s="3" t="s">
        <v>577</v>
      </c>
      <c r="G42" s="3">
        <v>3.4221545600043E13</v>
      </c>
      <c r="H42" s="3" t="s">
        <v>397</v>
      </c>
      <c r="I42" s="3">
        <v>91379.0</v>
      </c>
      <c r="J42" s="3" t="s">
        <v>17</v>
      </c>
      <c r="K42" s="3" t="s">
        <v>18</v>
      </c>
      <c r="L42" s="3" t="s">
        <v>578</v>
      </c>
      <c r="M42" s="3" t="s">
        <v>20</v>
      </c>
      <c r="N42" s="3" t="s">
        <v>21</v>
      </c>
      <c r="O42" s="3">
        <v>1.0</v>
      </c>
    </row>
    <row r="43">
      <c r="A43" s="4">
        <v>43557.0</v>
      </c>
      <c r="B43" s="3" t="s">
        <v>461</v>
      </c>
      <c r="C43" s="3">
        <v>2.4330031600011E13</v>
      </c>
      <c r="D43" s="4">
        <v>43514.0</v>
      </c>
      <c r="E43" s="3" t="s">
        <v>579</v>
      </c>
      <c r="F43" s="3" t="s">
        <v>580</v>
      </c>
      <c r="G43" s="3">
        <v>5.0907979400012E13</v>
      </c>
      <c r="H43" s="3" t="s">
        <v>581</v>
      </c>
      <c r="I43" s="3">
        <v>150000.0</v>
      </c>
      <c r="J43" s="3" t="s">
        <v>17</v>
      </c>
      <c r="K43" s="3" t="s">
        <v>18</v>
      </c>
      <c r="L43" s="3" t="s">
        <v>575</v>
      </c>
      <c r="M43" s="3" t="s">
        <v>20</v>
      </c>
      <c r="N43" s="3" t="s">
        <v>21</v>
      </c>
      <c r="O43" s="3">
        <v>1.0</v>
      </c>
    </row>
    <row r="44">
      <c r="A44" s="4">
        <v>43636.0</v>
      </c>
      <c r="B44" s="3" t="s">
        <v>461</v>
      </c>
      <c r="C44" s="3">
        <v>2.4330031600011E13</v>
      </c>
      <c r="D44" s="4">
        <v>43557.0</v>
      </c>
      <c r="E44" s="3" t="s">
        <v>582</v>
      </c>
      <c r="F44" s="3" t="s">
        <v>583</v>
      </c>
      <c r="G44" s="3">
        <v>8.4474944000013E13</v>
      </c>
      <c r="H44" s="3" t="s">
        <v>584</v>
      </c>
      <c r="I44" s="3">
        <v>27500.0</v>
      </c>
      <c r="J44" s="3" t="s">
        <v>17</v>
      </c>
      <c r="K44" s="3" t="s">
        <v>18</v>
      </c>
      <c r="L44" s="3" t="s">
        <v>585</v>
      </c>
      <c r="M44" s="3" t="s">
        <v>20</v>
      </c>
      <c r="N44" s="3" t="s">
        <v>21</v>
      </c>
      <c r="O44" s="3">
        <v>1.0</v>
      </c>
    </row>
    <row r="45">
      <c r="A45" s="4">
        <v>43636.0</v>
      </c>
      <c r="B45" s="3" t="s">
        <v>461</v>
      </c>
      <c r="C45" s="3">
        <v>2.4330031600011E13</v>
      </c>
      <c r="D45" s="4">
        <v>43556.0</v>
      </c>
      <c r="E45" s="3" t="s">
        <v>586</v>
      </c>
      <c r="F45" s="3" t="s">
        <v>293</v>
      </c>
      <c r="G45" s="3">
        <v>3.9811228400011E13</v>
      </c>
      <c r="H45" s="3" t="s">
        <v>587</v>
      </c>
      <c r="I45" s="3">
        <v>58000.0</v>
      </c>
      <c r="J45" s="3" t="s">
        <v>17</v>
      </c>
      <c r="K45" s="3" t="s">
        <v>18</v>
      </c>
      <c r="L45" s="3" t="s">
        <v>588</v>
      </c>
      <c r="M45" s="3" t="s">
        <v>20</v>
      </c>
      <c r="N45" s="3" t="s">
        <v>21</v>
      </c>
      <c r="O45" s="3">
        <v>1.0</v>
      </c>
    </row>
    <row r="46">
      <c r="A46" s="4">
        <v>43636.0</v>
      </c>
      <c r="B46" s="3" t="s">
        <v>461</v>
      </c>
      <c r="C46" s="3">
        <v>2.4330031600011E13</v>
      </c>
      <c r="D46" s="4">
        <v>43574.0</v>
      </c>
      <c r="E46" s="3" t="s">
        <v>589</v>
      </c>
      <c r="F46" s="3" t="s">
        <v>590</v>
      </c>
      <c r="G46" s="3">
        <v>1.3002285800018E13</v>
      </c>
      <c r="H46" s="3" t="s">
        <v>591</v>
      </c>
      <c r="I46" s="3">
        <v>500000.0</v>
      </c>
      <c r="J46" s="3" t="s">
        <v>17</v>
      </c>
      <c r="K46" s="3" t="s">
        <v>18</v>
      </c>
      <c r="L46" s="3" t="s">
        <v>592</v>
      </c>
      <c r="M46" s="3" t="s">
        <v>20</v>
      </c>
      <c r="N46" s="3" t="s">
        <v>21</v>
      </c>
      <c r="O46" s="3">
        <v>1.0</v>
      </c>
    </row>
    <row r="47">
      <c r="A47" s="4">
        <v>43636.0</v>
      </c>
      <c r="B47" s="3" t="s">
        <v>461</v>
      </c>
      <c r="C47" s="3">
        <v>2.4330031600011E13</v>
      </c>
      <c r="D47" s="4">
        <v>43579.0</v>
      </c>
      <c r="E47" s="3" t="s">
        <v>493</v>
      </c>
      <c r="F47" s="3" t="s">
        <v>593</v>
      </c>
      <c r="G47" s="3">
        <v>4.8428659600032E13</v>
      </c>
      <c r="H47" s="3" t="s">
        <v>594</v>
      </c>
      <c r="I47" s="3">
        <v>5000.0</v>
      </c>
      <c r="J47" s="3" t="s">
        <v>17</v>
      </c>
      <c r="K47" s="3" t="s">
        <v>18</v>
      </c>
      <c r="L47" s="3" t="s">
        <v>595</v>
      </c>
      <c r="M47" s="3" t="s">
        <v>20</v>
      </c>
      <c r="N47" s="3" t="s">
        <v>21</v>
      </c>
      <c r="O47" s="3">
        <v>1.0</v>
      </c>
    </row>
    <row r="48">
      <c r="A48" s="4">
        <v>43636.0</v>
      </c>
      <c r="B48" s="3" t="s">
        <v>461</v>
      </c>
      <c r="C48" s="3">
        <v>2.4330031600011E13</v>
      </c>
      <c r="D48" s="4">
        <v>43587.0</v>
      </c>
      <c r="E48" s="3" t="s">
        <v>596</v>
      </c>
      <c r="F48" s="3" t="s">
        <v>364</v>
      </c>
      <c r="G48" s="3">
        <v>4.1993219900021E13</v>
      </c>
      <c r="H48" s="3" t="s">
        <v>597</v>
      </c>
      <c r="I48" s="3">
        <v>10000.0</v>
      </c>
      <c r="J48" s="3" t="s">
        <v>17</v>
      </c>
      <c r="K48" s="3" t="s">
        <v>465</v>
      </c>
      <c r="L48" s="3" t="s">
        <v>598</v>
      </c>
      <c r="M48" s="3" t="s">
        <v>20</v>
      </c>
      <c r="N48" s="3" t="s">
        <v>21</v>
      </c>
      <c r="O48" s="3">
        <v>1.0</v>
      </c>
    </row>
    <row r="49">
      <c r="A49" s="4">
        <v>43636.0</v>
      </c>
      <c r="B49" s="3" t="s">
        <v>461</v>
      </c>
      <c r="C49" s="3">
        <v>2.4330031600011E13</v>
      </c>
      <c r="D49" s="4">
        <v>43546.0</v>
      </c>
      <c r="E49" s="3" t="s">
        <v>599</v>
      </c>
      <c r="F49" s="3" t="s">
        <v>600</v>
      </c>
      <c r="G49" s="3">
        <v>7.8886877600022E13</v>
      </c>
      <c r="H49" s="3" t="s">
        <v>601</v>
      </c>
      <c r="I49" s="3">
        <v>30000.0</v>
      </c>
      <c r="J49" s="3" t="s">
        <v>17</v>
      </c>
      <c r="K49" s="3" t="s">
        <v>18</v>
      </c>
      <c r="L49" s="3" t="s">
        <v>602</v>
      </c>
      <c r="M49" s="3" t="s">
        <v>20</v>
      </c>
      <c r="N49" s="3" t="s">
        <v>21</v>
      </c>
      <c r="O49" s="3">
        <v>1.0</v>
      </c>
    </row>
    <row r="50">
      <c r="A50" s="3" t="s">
        <v>456</v>
      </c>
      <c r="B50" s="3" t="s">
        <v>457</v>
      </c>
      <c r="C50" s="3" t="s">
        <v>458</v>
      </c>
      <c r="D50" s="3" t="s">
        <v>4</v>
      </c>
      <c r="E50" s="3" t="s">
        <v>3</v>
      </c>
      <c r="F50" s="3" t="s">
        <v>2</v>
      </c>
      <c r="G50" s="3" t="s">
        <v>0</v>
      </c>
      <c r="H50" s="3" t="s">
        <v>5</v>
      </c>
      <c r="I50" s="3" t="s">
        <v>1</v>
      </c>
      <c r="J50" s="3" t="s">
        <v>6</v>
      </c>
      <c r="K50" s="3" t="s">
        <v>7</v>
      </c>
      <c r="L50" s="3" t="s">
        <v>8</v>
      </c>
      <c r="M50" s="3" t="s">
        <v>9</v>
      </c>
      <c r="N50" s="3" t="s">
        <v>459</v>
      </c>
      <c r="O50" s="3" t="s">
        <v>460</v>
      </c>
    </row>
    <row r="51">
      <c r="A51" s="4">
        <v>43636.0</v>
      </c>
      <c r="B51" s="3" t="s">
        <v>461</v>
      </c>
      <c r="C51" s="3">
        <v>2.4330031600011E13</v>
      </c>
      <c r="D51" s="4">
        <v>43606.0</v>
      </c>
      <c r="E51" s="3" t="s">
        <v>603</v>
      </c>
      <c r="F51" s="3" t="s">
        <v>164</v>
      </c>
      <c r="G51" s="3">
        <v>4.5227479800035E13</v>
      </c>
      <c r="H51" s="3" t="s">
        <v>604</v>
      </c>
      <c r="I51" s="3">
        <v>6000.0</v>
      </c>
      <c r="J51" s="3" t="s">
        <v>17</v>
      </c>
      <c r="K51" s="3" t="s">
        <v>18</v>
      </c>
      <c r="L51" s="3" t="s">
        <v>605</v>
      </c>
      <c r="M51" s="3" t="s">
        <v>20</v>
      </c>
      <c r="N51" s="3" t="s">
        <v>21</v>
      </c>
      <c r="O51" s="3">
        <v>1.0</v>
      </c>
    </row>
    <row r="52">
      <c r="A52" s="4">
        <v>43636.0</v>
      </c>
      <c r="B52" s="3" t="s">
        <v>461</v>
      </c>
      <c r="C52" s="3">
        <v>2.4330031600011E13</v>
      </c>
      <c r="D52" s="4">
        <v>43585.0</v>
      </c>
      <c r="E52" s="3" t="s">
        <v>606</v>
      </c>
      <c r="F52" s="3" t="s">
        <v>607</v>
      </c>
      <c r="G52" s="3">
        <v>8.2959066000017E13</v>
      </c>
      <c r="H52" s="3" t="s">
        <v>397</v>
      </c>
      <c r="I52" s="3">
        <v>55000.0</v>
      </c>
      <c r="J52" s="3" t="s">
        <v>17</v>
      </c>
      <c r="K52" s="3" t="s">
        <v>18</v>
      </c>
      <c r="L52" s="3" t="s">
        <v>608</v>
      </c>
      <c r="M52" s="3" t="s">
        <v>20</v>
      </c>
      <c r="N52" s="3" t="s">
        <v>21</v>
      </c>
      <c r="O52" s="3">
        <v>1.0</v>
      </c>
    </row>
    <row r="53">
      <c r="A53" s="4">
        <v>43636.0</v>
      </c>
      <c r="B53" s="3" t="s">
        <v>461</v>
      </c>
      <c r="C53" s="3">
        <v>2.4330031600011E13</v>
      </c>
      <c r="D53" s="4">
        <v>43600.0</v>
      </c>
      <c r="E53" s="3" t="s">
        <v>609</v>
      </c>
      <c r="F53" s="3" t="s">
        <v>145</v>
      </c>
      <c r="G53" s="3">
        <v>4.3288382500031E13</v>
      </c>
      <c r="H53" s="3" t="s">
        <v>610</v>
      </c>
      <c r="I53" s="3">
        <v>5000.0</v>
      </c>
      <c r="J53" s="3" t="s">
        <v>17</v>
      </c>
      <c r="K53" s="3" t="s">
        <v>465</v>
      </c>
      <c r="L53" s="3" t="s">
        <v>611</v>
      </c>
      <c r="M53" s="3" t="s">
        <v>20</v>
      </c>
      <c r="N53" s="3" t="s">
        <v>21</v>
      </c>
      <c r="O53" s="3">
        <v>1.0</v>
      </c>
    </row>
    <row r="54">
      <c r="A54" s="4">
        <v>43636.0</v>
      </c>
      <c r="B54" s="3" t="s">
        <v>461</v>
      </c>
      <c r="C54" s="3">
        <v>2.4330031600011E13</v>
      </c>
      <c r="D54" s="4">
        <v>43600.0</v>
      </c>
      <c r="E54" s="3" t="s">
        <v>612</v>
      </c>
      <c r="F54" s="3" t="s">
        <v>613</v>
      </c>
      <c r="G54" s="3">
        <v>3.7781852100025E13</v>
      </c>
      <c r="H54" s="3" t="s">
        <v>614</v>
      </c>
      <c r="I54" s="3">
        <v>440000.0</v>
      </c>
      <c r="J54" s="3" t="s">
        <v>17</v>
      </c>
      <c r="K54" s="3" t="s">
        <v>18</v>
      </c>
      <c r="L54" s="3" t="s">
        <v>611</v>
      </c>
      <c r="M54" s="3" t="s">
        <v>20</v>
      </c>
      <c r="N54" s="3" t="s">
        <v>21</v>
      </c>
      <c r="O54" s="3">
        <v>1.0</v>
      </c>
    </row>
    <row r="55">
      <c r="A55" s="4">
        <v>43636.0</v>
      </c>
      <c r="B55" s="3" t="s">
        <v>461</v>
      </c>
      <c r="C55" s="3">
        <v>2.4330031600011E13</v>
      </c>
      <c r="D55" s="4">
        <v>43607.0</v>
      </c>
      <c r="E55" s="3" t="s">
        <v>603</v>
      </c>
      <c r="F55" s="3" t="s">
        <v>615</v>
      </c>
      <c r="G55" s="3">
        <v>8.3273861100017E13</v>
      </c>
      <c r="H55" s="3" t="s">
        <v>616</v>
      </c>
      <c r="I55" s="3">
        <v>22310.0</v>
      </c>
      <c r="J55" s="3" t="s">
        <v>17</v>
      </c>
      <c r="K55" s="3" t="s">
        <v>18</v>
      </c>
      <c r="L55" s="3" t="s">
        <v>617</v>
      </c>
      <c r="M55" s="3" t="s">
        <v>20</v>
      </c>
      <c r="N55" s="3" t="s">
        <v>21</v>
      </c>
      <c r="O55" s="3">
        <v>1.0</v>
      </c>
    </row>
    <row r="56">
      <c r="A56" s="4">
        <v>43636.0</v>
      </c>
      <c r="B56" s="3" t="s">
        <v>461</v>
      </c>
      <c r="C56" s="3">
        <v>2.4330031600011E13</v>
      </c>
      <c r="D56" s="4">
        <v>43609.0</v>
      </c>
      <c r="E56" s="3" t="s">
        <v>618</v>
      </c>
      <c r="F56" s="3" t="s">
        <v>309</v>
      </c>
      <c r="G56" s="3">
        <v>3.7796404400038E13</v>
      </c>
      <c r="H56" s="3" t="s">
        <v>397</v>
      </c>
      <c r="I56" s="3">
        <v>125000.0</v>
      </c>
      <c r="J56" s="3" t="s">
        <v>17</v>
      </c>
      <c r="K56" s="3" t="s">
        <v>18</v>
      </c>
      <c r="L56" s="3" t="s">
        <v>619</v>
      </c>
      <c r="M56" s="3" t="s">
        <v>20</v>
      </c>
      <c r="N56" s="3" t="s">
        <v>21</v>
      </c>
      <c r="O56" s="3">
        <v>1.0</v>
      </c>
    </row>
    <row r="57">
      <c r="A57" s="4">
        <v>43636.0</v>
      </c>
      <c r="B57" s="3" t="s">
        <v>461</v>
      </c>
      <c r="C57" s="3">
        <v>2.4330031600011E13</v>
      </c>
      <c r="D57" s="4">
        <v>43606.0</v>
      </c>
      <c r="E57" s="3" t="s">
        <v>603</v>
      </c>
      <c r="F57" s="3" t="s">
        <v>620</v>
      </c>
      <c r="G57" s="3">
        <v>8.0016249700039E13</v>
      </c>
      <c r="H57" s="3" t="s">
        <v>621</v>
      </c>
      <c r="I57" s="3">
        <v>15000.0</v>
      </c>
      <c r="J57" s="3" t="s">
        <v>17</v>
      </c>
      <c r="K57" s="3" t="s">
        <v>18</v>
      </c>
      <c r="L57" s="3" t="s">
        <v>605</v>
      </c>
      <c r="M57" s="3" t="s">
        <v>20</v>
      </c>
      <c r="N57" s="3" t="s">
        <v>21</v>
      </c>
      <c r="O57" s="3">
        <v>1.0</v>
      </c>
    </row>
    <row r="58">
      <c r="A58" s="4">
        <v>43636.0</v>
      </c>
      <c r="B58" s="3" t="s">
        <v>461</v>
      </c>
      <c r="C58" s="3">
        <v>2.4330031600011E13</v>
      </c>
      <c r="D58" s="4">
        <v>43612.0</v>
      </c>
      <c r="E58" s="3" t="s">
        <v>603</v>
      </c>
      <c r="F58" s="3" t="s">
        <v>139</v>
      </c>
      <c r="G58" s="3">
        <v>4.8029371100028E13</v>
      </c>
      <c r="H58" s="3" t="s">
        <v>621</v>
      </c>
      <c r="I58" s="3">
        <v>8000.0</v>
      </c>
      <c r="J58" s="3" t="s">
        <v>17</v>
      </c>
      <c r="K58" s="3" t="s">
        <v>18</v>
      </c>
      <c r="L58" s="3" t="s">
        <v>622</v>
      </c>
      <c r="M58" s="3" t="s">
        <v>20</v>
      </c>
      <c r="N58" s="3" t="s">
        <v>21</v>
      </c>
      <c r="O58" s="3">
        <v>1.0</v>
      </c>
    </row>
    <row r="59">
      <c r="A59" s="4">
        <v>43636.0</v>
      </c>
      <c r="B59" s="3" t="s">
        <v>461</v>
      </c>
      <c r="C59" s="3">
        <v>2.4330031600011E13</v>
      </c>
      <c r="D59" s="4">
        <v>43612.0</v>
      </c>
      <c r="E59" s="3" t="s">
        <v>603</v>
      </c>
      <c r="F59" s="3" t="s">
        <v>148</v>
      </c>
      <c r="G59" s="3">
        <v>4.0265285300019E13</v>
      </c>
      <c r="H59" s="3" t="s">
        <v>621</v>
      </c>
      <c r="I59" s="3">
        <v>25000.0</v>
      </c>
      <c r="J59" s="3" t="s">
        <v>17</v>
      </c>
      <c r="K59" s="3" t="s">
        <v>18</v>
      </c>
      <c r="L59" s="3" t="s">
        <v>622</v>
      </c>
      <c r="M59" s="3" t="s">
        <v>20</v>
      </c>
      <c r="N59" s="3" t="s">
        <v>21</v>
      </c>
      <c r="O59" s="3">
        <v>1.0</v>
      </c>
    </row>
    <row r="60">
      <c r="A60" s="4">
        <v>43636.0</v>
      </c>
      <c r="B60" s="3" t="s">
        <v>461</v>
      </c>
      <c r="C60" s="3">
        <v>2.4330031600011E13</v>
      </c>
      <c r="D60" s="4">
        <v>43606.0</v>
      </c>
      <c r="E60" s="3" t="s">
        <v>603</v>
      </c>
      <c r="F60" s="3" t="s">
        <v>623</v>
      </c>
      <c r="G60" s="3">
        <v>7.8942066800012E13</v>
      </c>
      <c r="H60" s="3" t="s">
        <v>621</v>
      </c>
      <c r="I60" s="3">
        <v>10000.0</v>
      </c>
      <c r="J60" s="3" t="s">
        <v>17</v>
      </c>
      <c r="K60" s="3" t="s">
        <v>18</v>
      </c>
      <c r="L60" s="3" t="s">
        <v>605</v>
      </c>
      <c r="M60" s="3" t="s">
        <v>20</v>
      </c>
      <c r="N60" s="3" t="s">
        <v>21</v>
      </c>
      <c r="O60" s="3">
        <v>1.0</v>
      </c>
    </row>
    <row r="61">
      <c r="A61" s="4">
        <v>43636.0</v>
      </c>
      <c r="B61" s="3" t="s">
        <v>461</v>
      </c>
      <c r="C61" s="3">
        <v>2.4330031600011E13</v>
      </c>
      <c r="D61" s="4">
        <v>43606.0</v>
      </c>
      <c r="E61" s="3" t="s">
        <v>603</v>
      </c>
      <c r="F61" s="3" t="s">
        <v>624</v>
      </c>
      <c r="G61" s="3">
        <v>4.1827063300021E13</v>
      </c>
      <c r="H61" s="3" t="s">
        <v>621</v>
      </c>
      <c r="I61" s="3">
        <v>23500.0</v>
      </c>
      <c r="J61" s="3" t="s">
        <v>17</v>
      </c>
      <c r="K61" s="3" t="s">
        <v>18</v>
      </c>
      <c r="L61" s="3" t="s">
        <v>605</v>
      </c>
      <c r="M61" s="3" t="s">
        <v>20</v>
      </c>
      <c r="N61" s="3" t="s">
        <v>21</v>
      </c>
      <c r="O61" s="3">
        <v>1.0</v>
      </c>
    </row>
    <row r="62">
      <c r="A62" s="4">
        <v>43636.0</v>
      </c>
      <c r="B62" s="3" t="s">
        <v>461</v>
      </c>
      <c r="C62" s="3">
        <v>2.4330031600011E13</v>
      </c>
      <c r="D62" s="4">
        <v>43608.0</v>
      </c>
      <c r="E62" s="3" t="s">
        <v>603</v>
      </c>
      <c r="F62" s="3" t="s">
        <v>625</v>
      </c>
      <c r="G62" s="3">
        <v>8.2135493300011E13</v>
      </c>
      <c r="H62" s="3" t="s">
        <v>621</v>
      </c>
      <c r="I62" s="3">
        <v>10000.0</v>
      </c>
      <c r="J62" s="3" t="s">
        <v>17</v>
      </c>
      <c r="K62" s="3" t="s">
        <v>18</v>
      </c>
      <c r="L62" s="3" t="s">
        <v>626</v>
      </c>
      <c r="M62" s="3" t="s">
        <v>20</v>
      </c>
      <c r="N62" s="3" t="s">
        <v>21</v>
      </c>
      <c r="O62" s="3">
        <v>1.0</v>
      </c>
    </row>
    <row r="63">
      <c r="A63" s="4">
        <v>43636.0</v>
      </c>
      <c r="B63" s="3" t="s">
        <v>461</v>
      </c>
      <c r="C63" s="3">
        <v>2.4330031600011E13</v>
      </c>
      <c r="D63" s="4">
        <v>43612.0</v>
      </c>
      <c r="E63" s="3" t="s">
        <v>603</v>
      </c>
      <c r="F63" s="3" t="s">
        <v>627</v>
      </c>
      <c r="G63" s="3">
        <v>4.8956307200029E13</v>
      </c>
      <c r="H63" s="3" t="s">
        <v>621</v>
      </c>
      <c r="I63" s="3">
        <v>20000.0</v>
      </c>
      <c r="J63" s="3" t="s">
        <v>17</v>
      </c>
      <c r="K63" s="3" t="s">
        <v>18</v>
      </c>
      <c r="L63" s="3" t="s">
        <v>622</v>
      </c>
      <c r="M63" s="3" t="s">
        <v>20</v>
      </c>
      <c r="N63" s="3" t="s">
        <v>21</v>
      </c>
      <c r="O63" s="3">
        <v>1.0</v>
      </c>
    </row>
    <row r="64">
      <c r="A64" s="4">
        <v>43636.0</v>
      </c>
      <c r="B64" s="3" t="s">
        <v>461</v>
      </c>
      <c r="C64" s="3">
        <v>2.4330031600011E13</v>
      </c>
      <c r="D64" s="4">
        <v>43608.0</v>
      </c>
      <c r="E64" s="3" t="s">
        <v>628</v>
      </c>
      <c r="F64" s="3" t="s">
        <v>427</v>
      </c>
      <c r="G64" s="3">
        <v>8.2071933400014E13</v>
      </c>
      <c r="H64" s="3" t="s">
        <v>397</v>
      </c>
      <c r="I64" s="3">
        <v>25000.0</v>
      </c>
      <c r="J64" s="3" t="s">
        <v>17</v>
      </c>
      <c r="K64" s="3" t="s">
        <v>18</v>
      </c>
      <c r="L64" s="3" t="s">
        <v>626</v>
      </c>
      <c r="M64" s="3" t="s">
        <v>20</v>
      </c>
      <c r="N64" s="3" t="s">
        <v>21</v>
      </c>
      <c r="O64" s="3">
        <v>1.0</v>
      </c>
    </row>
    <row r="65">
      <c r="A65" s="4">
        <v>43636.0</v>
      </c>
      <c r="B65" s="3" t="s">
        <v>461</v>
      </c>
      <c r="C65" s="3">
        <v>2.4330031600011E13</v>
      </c>
      <c r="D65" s="4">
        <v>43613.0</v>
      </c>
      <c r="E65" s="3" t="s">
        <v>603</v>
      </c>
      <c r="F65" s="3" t="s">
        <v>629</v>
      </c>
      <c r="G65" s="3">
        <v>5.1066013700033E13</v>
      </c>
      <c r="H65" s="3" t="s">
        <v>621</v>
      </c>
      <c r="I65" s="3">
        <v>6700.0</v>
      </c>
      <c r="J65" s="3" t="s">
        <v>17</v>
      </c>
      <c r="K65" s="3" t="s">
        <v>18</v>
      </c>
      <c r="L65" s="3" t="s">
        <v>630</v>
      </c>
      <c r="M65" s="3" t="s">
        <v>20</v>
      </c>
      <c r="N65" s="3" t="s">
        <v>21</v>
      </c>
      <c r="O65" s="3">
        <v>1.0</v>
      </c>
    </row>
    <row r="66">
      <c r="A66" s="4">
        <v>43636.0</v>
      </c>
      <c r="B66" s="3" t="s">
        <v>461</v>
      </c>
      <c r="C66" s="3">
        <v>2.4330031600011E13</v>
      </c>
      <c r="D66" s="4">
        <v>43613.0</v>
      </c>
      <c r="E66" s="3" t="s">
        <v>603</v>
      </c>
      <c r="F66" s="3" t="s">
        <v>631</v>
      </c>
      <c r="G66" s="3">
        <v>4.846680250003E13</v>
      </c>
      <c r="H66" s="3" t="s">
        <v>621</v>
      </c>
      <c r="I66" s="3">
        <v>9000.0</v>
      </c>
      <c r="J66" s="3" t="s">
        <v>17</v>
      </c>
      <c r="K66" s="3" t="s">
        <v>18</v>
      </c>
      <c r="L66" s="3" t="s">
        <v>630</v>
      </c>
      <c r="M66" s="3" t="s">
        <v>20</v>
      </c>
      <c r="N66" s="3" t="s">
        <v>21</v>
      </c>
      <c r="O66" s="3">
        <v>1.0</v>
      </c>
    </row>
    <row r="67">
      <c r="A67" s="4">
        <v>43636.0</v>
      </c>
      <c r="B67" s="3" t="s">
        <v>461</v>
      </c>
      <c r="C67" s="3">
        <v>2.4330031600011E13</v>
      </c>
      <c r="D67" s="4">
        <v>43613.0</v>
      </c>
      <c r="E67" s="3" t="s">
        <v>603</v>
      </c>
      <c r="F67" s="3" t="s">
        <v>632</v>
      </c>
      <c r="G67" s="3">
        <v>4.9206573500028E13</v>
      </c>
      <c r="H67" s="3" t="s">
        <v>621</v>
      </c>
      <c r="I67" s="3">
        <v>8826.0</v>
      </c>
      <c r="J67" s="3" t="s">
        <v>17</v>
      </c>
      <c r="K67" s="3" t="s">
        <v>18</v>
      </c>
      <c r="L67" s="3" t="s">
        <v>630</v>
      </c>
      <c r="M67" s="3" t="s">
        <v>20</v>
      </c>
      <c r="N67" s="3" t="s">
        <v>21</v>
      </c>
      <c r="O67" s="3">
        <v>1.0</v>
      </c>
    </row>
    <row r="68">
      <c r="A68" s="4">
        <v>43636.0</v>
      </c>
      <c r="B68" s="3" t="s">
        <v>461</v>
      </c>
      <c r="C68" s="3">
        <v>2.4330031600011E13</v>
      </c>
      <c r="D68" s="4">
        <v>43614.0</v>
      </c>
      <c r="E68" s="3" t="s">
        <v>603</v>
      </c>
      <c r="F68" s="3" t="s">
        <v>633</v>
      </c>
      <c r="G68" s="3">
        <v>8.2831200900016E13</v>
      </c>
      <c r="H68" s="3" t="s">
        <v>621</v>
      </c>
      <c r="I68" s="3">
        <v>8000.0</v>
      </c>
      <c r="J68" s="3" t="s">
        <v>17</v>
      </c>
      <c r="K68" s="3" t="s">
        <v>18</v>
      </c>
      <c r="L68" s="3" t="s">
        <v>634</v>
      </c>
      <c r="M68" s="3" t="s">
        <v>20</v>
      </c>
      <c r="N68" s="3" t="s">
        <v>21</v>
      </c>
      <c r="O68" s="3">
        <v>1.0</v>
      </c>
    </row>
    <row r="69">
      <c r="A69" s="4">
        <v>43636.0</v>
      </c>
      <c r="B69" s="3" t="s">
        <v>461</v>
      </c>
      <c r="C69" s="3">
        <v>2.4330031600011E13</v>
      </c>
      <c r="D69" s="4">
        <v>43619.0</v>
      </c>
      <c r="E69" s="3" t="s">
        <v>603</v>
      </c>
      <c r="F69" s="3" t="s">
        <v>635</v>
      </c>
      <c r="G69" s="3">
        <v>8.2469850000017E13</v>
      </c>
      <c r="H69" s="3" t="s">
        <v>621</v>
      </c>
      <c r="I69" s="3">
        <v>12500.0</v>
      </c>
      <c r="J69" s="3" t="s">
        <v>17</v>
      </c>
      <c r="K69" s="3" t="s">
        <v>18</v>
      </c>
      <c r="L69" s="3" t="s">
        <v>636</v>
      </c>
      <c r="M69" s="3" t="s">
        <v>20</v>
      </c>
      <c r="N69" s="3" t="s">
        <v>21</v>
      </c>
      <c r="O69" s="3">
        <v>1.0</v>
      </c>
    </row>
    <row r="70">
      <c r="A70" s="4">
        <v>43636.0</v>
      </c>
      <c r="B70" s="3" t="s">
        <v>461</v>
      </c>
      <c r="C70" s="3">
        <v>2.4330031600011E13</v>
      </c>
      <c r="D70" s="4">
        <v>43614.0</v>
      </c>
      <c r="E70" s="3" t="s">
        <v>637</v>
      </c>
      <c r="F70" s="3" t="s">
        <v>638</v>
      </c>
      <c r="G70" s="3">
        <v>4.9848483100033E13</v>
      </c>
      <c r="H70" s="3" t="s">
        <v>639</v>
      </c>
      <c r="I70" s="3">
        <v>14250.0</v>
      </c>
      <c r="J70" s="3" t="s">
        <v>17</v>
      </c>
      <c r="K70" s="3" t="s">
        <v>18</v>
      </c>
      <c r="L70" s="3" t="s">
        <v>634</v>
      </c>
      <c r="M70" s="3" t="s">
        <v>20</v>
      </c>
      <c r="N70" s="3" t="s">
        <v>21</v>
      </c>
      <c r="O70" s="3">
        <v>1.0</v>
      </c>
    </row>
    <row r="71">
      <c r="A71" s="4">
        <v>43636.0</v>
      </c>
      <c r="B71" s="3" t="s">
        <v>461</v>
      </c>
      <c r="C71" s="3">
        <v>2.4330031600011E13</v>
      </c>
      <c r="D71" s="4">
        <v>43488.0</v>
      </c>
      <c r="E71" s="3" t="s">
        <v>640</v>
      </c>
      <c r="F71" s="3" t="s">
        <v>641</v>
      </c>
      <c r="G71" s="3">
        <v>3.9819156900142E13</v>
      </c>
      <c r="H71" s="3" t="s">
        <v>642</v>
      </c>
      <c r="I71" s="3">
        <v>49000.0</v>
      </c>
      <c r="J71" s="3" t="s">
        <v>17</v>
      </c>
      <c r="K71" s="3" t="s">
        <v>18</v>
      </c>
      <c r="L71" s="3" t="s">
        <v>643</v>
      </c>
      <c r="M71" s="3" t="s">
        <v>20</v>
      </c>
      <c r="N71" s="3" t="s">
        <v>21</v>
      </c>
      <c r="O71" s="3">
        <v>1.0</v>
      </c>
    </row>
    <row r="72">
      <c r="A72" s="4">
        <v>43636.0</v>
      </c>
      <c r="B72" s="3" t="s">
        <v>461</v>
      </c>
      <c r="C72" s="3">
        <v>2.4330031600011E13</v>
      </c>
      <c r="D72" s="4">
        <v>43619.0</v>
      </c>
      <c r="E72" s="3" t="s">
        <v>644</v>
      </c>
      <c r="F72" s="3" t="s">
        <v>328</v>
      </c>
      <c r="G72" s="3">
        <v>4.3403882400042E13</v>
      </c>
      <c r="H72" s="3" t="s">
        <v>453</v>
      </c>
      <c r="I72" s="3">
        <v>14500.0</v>
      </c>
      <c r="J72" s="3" t="s">
        <v>17</v>
      </c>
      <c r="K72" s="3" t="s">
        <v>18</v>
      </c>
      <c r="L72" s="3" t="s">
        <v>636</v>
      </c>
      <c r="M72" s="3" t="s">
        <v>20</v>
      </c>
      <c r="N72" s="3" t="s">
        <v>21</v>
      </c>
      <c r="O72" s="3">
        <v>1.0</v>
      </c>
    </row>
    <row r="73">
      <c r="A73" s="3" t="s">
        <v>456</v>
      </c>
      <c r="B73" s="3" t="s">
        <v>457</v>
      </c>
      <c r="C73" s="3" t="s">
        <v>458</v>
      </c>
      <c r="D73" s="3" t="s">
        <v>4</v>
      </c>
      <c r="E73" s="3" t="s">
        <v>3</v>
      </c>
      <c r="F73" s="3" t="s">
        <v>2</v>
      </c>
      <c r="G73" s="3" t="s">
        <v>0</v>
      </c>
      <c r="H73" s="3" t="s">
        <v>5</v>
      </c>
      <c r="I73" s="3" t="s">
        <v>1</v>
      </c>
      <c r="J73" s="3" t="s">
        <v>6</v>
      </c>
      <c r="K73" s="3" t="s">
        <v>7</v>
      </c>
      <c r="L73" s="3" t="s">
        <v>8</v>
      </c>
      <c r="M73" s="3" t="s">
        <v>9</v>
      </c>
      <c r="N73" s="3" t="s">
        <v>459</v>
      </c>
      <c r="O73" s="3" t="s">
        <v>460</v>
      </c>
    </row>
    <row r="74">
      <c r="A74" s="4">
        <v>43636.0</v>
      </c>
      <c r="B74" s="3" t="s">
        <v>461</v>
      </c>
      <c r="C74" s="3">
        <v>2.4330031600011E13</v>
      </c>
      <c r="D74" s="4">
        <v>43619.0</v>
      </c>
      <c r="E74" s="3" t="s">
        <v>645</v>
      </c>
      <c r="F74" s="3" t="s">
        <v>136</v>
      </c>
      <c r="G74" s="3">
        <v>5.2289609100033E13</v>
      </c>
      <c r="H74" s="3" t="s">
        <v>646</v>
      </c>
      <c r="I74" s="3">
        <v>42750.0</v>
      </c>
      <c r="J74" s="3" t="s">
        <v>17</v>
      </c>
      <c r="K74" s="3" t="s">
        <v>18</v>
      </c>
      <c r="L74" s="3" t="s">
        <v>636</v>
      </c>
      <c r="M74" s="3" t="s">
        <v>20</v>
      </c>
      <c r="N74" s="3" t="s">
        <v>21</v>
      </c>
      <c r="O74" s="3">
        <v>1.0</v>
      </c>
    </row>
    <row r="75">
      <c r="A75" s="4">
        <v>43636.0</v>
      </c>
      <c r="B75" s="3" t="s">
        <v>461</v>
      </c>
      <c r="C75" s="3">
        <v>2.4330031600011E13</v>
      </c>
      <c r="D75" s="4">
        <v>43620.0</v>
      </c>
      <c r="E75" s="3" t="s">
        <v>644</v>
      </c>
      <c r="F75" s="3" t="s">
        <v>568</v>
      </c>
      <c r="G75" s="3">
        <v>4.9058526200069E13</v>
      </c>
      <c r="H75" s="3" t="s">
        <v>453</v>
      </c>
      <c r="I75" s="3">
        <v>228000.0</v>
      </c>
      <c r="J75" s="3" t="s">
        <v>17</v>
      </c>
      <c r="K75" s="3" t="s">
        <v>18</v>
      </c>
      <c r="L75" s="3" t="s">
        <v>647</v>
      </c>
      <c r="M75" s="3" t="s">
        <v>20</v>
      </c>
      <c r="N75" s="3" t="s">
        <v>21</v>
      </c>
      <c r="O75" s="3">
        <v>1.0</v>
      </c>
    </row>
    <row r="76">
      <c r="A76" s="4">
        <v>43636.0</v>
      </c>
      <c r="B76" s="3" t="s">
        <v>461</v>
      </c>
      <c r="C76" s="3">
        <v>2.4330031600011E13</v>
      </c>
      <c r="D76" s="4">
        <v>43621.0</v>
      </c>
      <c r="E76" s="3" t="s">
        <v>603</v>
      </c>
      <c r="F76" s="3" t="s">
        <v>84</v>
      </c>
      <c r="G76" s="3">
        <v>3.4169319000033E13</v>
      </c>
      <c r="H76" s="3" t="s">
        <v>621</v>
      </c>
      <c r="I76" s="3">
        <v>40000.0</v>
      </c>
      <c r="J76" s="3" t="s">
        <v>17</v>
      </c>
      <c r="K76" s="3" t="s">
        <v>18</v>
      </c>
      <c r="L76" s="3" t="s">
        <v>648</v>
      </c>
      <c r="M76" s="3" t="s">
        <v>20</v>
      </c>
      <c r="N76" s="3" t="s">
        <v>21</v>
      </c>
      <c r="O76" s="3">
        <v>1.0</v>
      </c>
    </row>
    <row r="77">
      <c r="A77" s="4">
        <v>43636.0</v>
      </c>
      <c r="B77" s="3" t="s">
        <v>461</v>
      </c>
      <c r="C77" s="3">
        <v>2.4330031600011E13</v>
      </c>
      <c r="D77" s="4">
        <v>43628.0</v>
      </c>
      <c r="E77" s="3" t="s">
        <v>603</v>
      </c>
      <c r="F77" s="3" t="s">
        <v>649</v>
      </c>
      <c r="G77" s="3">
        <v>8.2155741000015E13</v>
      </c>
      <c r="H77" s="3" t="s">
        <v>621</v>
      </c>
      <c r="I77" s="3">
        <v>6600.0</v>
      </c>
      <c r="J77" s="3" t="s">
        <v>17</v>
      </c>
      <c r="K77" s="3" t="s">
        <v>18</v>
      </c>
      <c r="L77" s="3" t="s">
        <v>650</v>
      </c>
      <c r="M77" s="3" t="s">
        <v>20</v>
      </c>
      <c r="N77" s="3" t="s">
        <v>21</v>
      </c>
      <c r="O77" s="3">
        <v>1.0</v>
      </c>
    </row>
    <row r="78">
      <c r="A78" s="4">
        <v>43636.0</v>
      </c>
      <c r="B78" s="3" t="s">
        <v>461</v>
      </c>
      <c r="C78" s="3">
        <v>2.4330031600011E13</v>
      </c>
      <c r="D78" s="4">
        <v>43622.0</v>
      </c>
      <c r="E78" s="3" t="s">
        <v>645</v>
      </c>
      <c r="F78" s="3" t="s">
        <v>651</v>
      </c>
      <c r="G78" s="3">
        <v>4.1900910500018E13</v>
      </c>
      <c r="H78" s="3" t="s">
        <v>652</v>
      </c>
      <c r="I78" s="3">
        <v>38000.0</v>
      </c>
      <c r="J78" s="3" t="s">
        <v>17</v>
      </c>
      <c r="K78" s="3" t="s">
        <v>18</v>
      </c>
      <c r="L78" s="3" t="s">
        <v>653</v>
      </c>
      <c r="M78" s="3" t="s">
        <v>20</v>
      </c>
      <c r="N78" s="3" t="s">
        <v>21</v>
      </c>
      <c r="O78" s="3">
        <v>1.0</v>
      </c>
    </row>
    <row r="79">
      <c r="A79" s="4">
        <v>43636.0</v>
      </c>
      <c r="B79" s="3" t="s">
        <v>461</v>
      </c>
      <c r="C79" s="3">
        <v>2.4330031600011E13</v>
      </c>
      <c r="D79" s="4">
        <v>43622.0</v>
      </c>
      <c r="E79" s="3" t="s">
        <v>645</v>
      </c>
      <c r="F79" s="3" t="s">
        <v>249</v>
      </c>
      <c r="G79" s="3">
        <v>4.8237148100029E13</v>
      </c>
      <c r="H79" s="3" t="s">
        <v>652</v>
      </c>
      <c r="I79" s="3">
        <v>52000.0</v>
      </c>
      <c r="J79" s="3" t="s">
        <v>17</v>
      </c>
      <c r="K79" s="3" t="s">
        <v>18</v>
      </c>
      <c r="L79" s="3" t="s">
        <v>653</v>
      </c>
      <c r="M79" s="3" t="s">
        <v>20</v>
      </c>
      <c r="N79" s="3" t="s">
        <v>21</v>
      </c>
      <c r="O79" s="3">
        <v>1.0</v>
      </c>
    </row>
    <row r="80">
      <c r="A80" s="4">
        <v>43636.0</v>
      </c>
      <c r="B80" s="3" t="s">
        <v>461</v>
      </c>
      <c r="C80" s="3">
        <v>2.4330031600011E13</v>
      </c>
      <c r="D80" s="4">
        <v>43627.0</v>
      </c>
      <c r="E80" s="3" t="s">
        <v>645</v>
      </c>
      <c r="F80" s="3" t="s">
        <v>203</v>
      </c>
      <c r="G80" s="3">
        <v>3.5221687300211E13</v>
      </c>
      <c r="H80" s="3" t="s">
        <v>652</v>
      </c>
      <c r="I80" s="3">
        <v>15000.0</v>
      </c>
      <c r="J80" s="3" t="s">
        <v>17</v>
      </c>
      <c r="K80" s="3" t="s">
        <v>465</v>
      </c>
      <c r="L80" s="3" t="s">
        <v>654</v>
      </c>
      <c r="M80" s="3" t="s">
        <v>20</v>
      </c>
      <c r="N80" s="3" t="s">
        <v>21</v>
      </c>
      <c r="O80" s="3">
        <v>1.0</v>
      </c>
    </row>
    <row r="81">
      <c r="A81" s="4">
        <v>43636.0</v>
      </c>
      <c r="B81" s="3" t="s">
        <v>461</v>
      </c>
      <c r="C81" s="3">
        <v>2.4330031600011E13</v>
      </c>
      <c r="D81" s="4">
        <v>43621.0</v>
      </c>
      <c r="E81" s="3" t="s">
        <v>655</v>
      </c>
      <c r="F81" s="3" t="s">
        <v>656</v>
      </c>
      <c r="G81" s="3">
        <v>4.091998170005E13</v>
      </c>
      <c r="H81" s="3" t="s">
        <v>397</v>
      </c>
      <c r="I81" s="3">
        <v>487775.0</v>
      </c>
      <c r="J81" s="3" t="s">
        <v>17</v>
      </c>
      <c r="K81" s="3" t="s">
        <v>18</v>
      </c>
      <c r="L81" s="3" t="s">
        <v>648</v>
      </c>
      <c r="M81" s="3" t="s">
        <v>20</v>
      </c>
      <c r="N81" s="3" t="s">
        <v>21</v>
      </c>
      <c r="O81" s="3">
        <v>1.0</v>
      </c>
    </row>
    <row r="82">
      <c r="A82" s="4">
        <v>43636.0</v>
      </c>
      <c r="B82" s="3" t="s">
        <v>461</v>
      </c>
      <c r="C82" s="3">
        <v>2.4330031600011E13</v>
      </c>
      <c r="D82" s="4">
        <v>43628.0</v>
      </c>
      <c r="E82" s="3" t="s">
        <v>657</v>
      </c>
      <c r="F82" s="3" t="s">
        <v>658</v>
      </c>
      <c r="G82" s="3">
        <v>8.1831326400025E13</v>
      </c>
      <c r="H82" s="3" t="s">
        <v>397</v>
      </c>
      <c r="I82" s="3">
        <v>204000.0</v>
      </c>
      <c r="J82" s="3" t="s">
        <v>17</v>
      </c>
      <c r="K82" s="3" t="s">
        <v>18</v>
      </c>
      <c r="L82" s="3" t="s">
        <v>650</v>
      </c>
      <c r="M82" s="3" t="s">
        <v>20</v>
      </c>
      <c r="N82" s="3" t="s">
        <v>21</v>
      </c>
      <c r="O82" s="3">
        <v>1.0</v>
      </c>
    </row>
    <row r="83">
      <c r="A83" s="4">
        <v>43636.0</v>
      </c>
      <c r="B83" s="3" t="s">
        <v>461</v>
      </c>
      <c r="C83" s="3">
        <v>2.4330031600011E13</v>
      </c>
      <c r="D83" s="4">
        <v>43628.0</v>
      </c>
      <c r="E83" s="3" t="s">
        <v>657</v>
      </c>
      <c r="F83" s="3" t="s">
        <v>658</v>
      </c>
      <c r="G83" s="3">
        <v>8.1831326400025E13</v>
      </c>
      <c r="H83" s="3" t="s">
        <v>312</v>
      </c>
      <c r="I83" s="3">
        <v>15000.0</v>
      </c>
      <c r="J83" s="3" t="s">
        <v>17</v>
      </c>
      <c r="K83" s="3" t="s">
        <v>18</v>
      </c>
      <c r="L83" s="3" t="s">
        <v>650</v>
      </c>
      <c r="M83" s="3" t="s">
        <v>20</v>
      </c>
      <c r="N83" s="3" t="s">
        <v>21</v>
      </c>
      <c r="O83" s="3">
        <v>1.0</v>
      </c>
    </row>
    <row r="84">
      <c r="A84" s="4">
        <v>43636.0</v>
      </c>
      <c r="B84" s="3" t="s">
        <v>461</v>
      </c>
      <c r="C84" s="3">
        <v>2.4330031600011E13</v>
      </c>
      <c r="D84" s="4">
        <v>43623.0</v>
      </c>
      <c r="E84" s="3" t="s">
        <v>637</v>
      </c>
      <c r="F84" s="3" t="s">
        <v>448</v>
      </c>
      <c r="G84" s="3">
        <v>8.312204960001E13</v>
      </c>
      <c r="H84" s="3" t="s">
        <v>659</v>
      </c>
      <c r="I84" s="3">
        <v>14250.0</v>
      </c>
      <c r="J84" s="3" t="s">
        <v>17</v>
      </c>
      <c r="K84" s="3" t="s">
        <v>18</v>
      </c>
      <c r="L84" s="3" t="s">
        <v>660</v>
      </c>
      <c r="M84" s="3" t="s">
        <v>20</v>
      </c>
      <c r="N84" s="3" t="s">
        <v>21</v>
      </c>
      <c r="O84" s="3">
        <v>1.0</v>
      </c>
    </row>
    <row r="85">
      <c r="A85" s="4">
        <v>43636.0</v>
      </c>
      <c r="B85" s="3" t="s">
        <v>461</v>
      </c>
      <c r="C85" s="3">
        <v>2.4330031600011E13</v>
      </c>
      <c r="D85" s="4">
        <v>43628.0</v>
      </c>
      <c r="E85" s="3" t="s">
        <v>645</v>
      </c>
      <c r="F85" s="3" t="s">
        <v>661</v>
      </c>
      <c r="G85" s="3">
        <v>4.5154609700028E13</v>
      </c>
      <c r="H85" s="3" t="s">
        <v>652</v>
      </c>
      <c r="I85" s="3">
        <v>41250.0</v>
      </c>
      <c r="J85" s="3" t="s">
        <v>17</v>
      </c>
      <c r="K85" s="3" t="s">
        <v>18</v>
      </c>
      <c r="L85" s="3" t="s">
        <v>650</v>
      </c>
      <c r="M85" s="3" t="s">
        <v>20</v>
      </c>
      <c r="N85" s="3" t="s">
        <v>21</v>
      </c>
      <c r="O85" s="3">
        <v>1.0</v>
      </c>
    </row>
    <row r="86">
      <c r="A86" s="4">
        <v>43636.0</v>
      </c>
      <c r="B86" s="3" t="s">
        <v>461</v>
      </c>
      <c r="C86" s="3">
        <v>2.4330031600011E13</v>
      </c>
      <c r="D86" s="4">
        <v>43629.0</v>
      </c>
      <c r="E86" s="3" t="s">
        <v>618</v>
      </c>
      <c r="F86" s="3" t="s">
        <v>309</v>
      </c>
      <c r="G86" s="3">
        <v>3.7796404400038E13</v>
      </c>
      <c r="H86" s="3" t="s">
        <v>662</v>
      </c>
      <c r="I86" s="3">
        <v>15000.0</v>
      </c>
      <c r="J86" s="3" t="s">
        <v>17</v>
      </c>
      <c r="K86" s="3" t="s">
        <v>18</v>
      </c>
      <c r="L86" s="3" t="s">
        <v>663</v>
      </c>
      <c r="M86" s="3" t="s">
        <v>20</v>
      </c>
      <c r="N86" s="3" t="s">
        <v>21</v>
      </c>
      <c r="O86" s="3">
        <v>1.0</v>
      </c>
    </row>
    <row r="87">
      <c r="A87" s="4">
        <v>43636.0</v>
      </c>
      <c r="B87" s="3" t="s">
        <v>461</v>
      </c>
      <c r="C87" s="3">
        <v>2.4330031600011E13</v>
      </c>
      <c r="D87" s="4">
        <v>43571.0</v>
      </c>
      <c r="E87" s="3" t="s">
        <v>664</v>
      </c>
      <c r="F87" s="3" t="s">
        <v>665</v>
      </c>
      <c r="G87" s="3">
        <v>8.1752354100016E13</v>
      </c>
      <c r="H87" s="3" t="s">
        <v>666</v>
      </c>
      <c r="I87" s="3">
        <v>3000.0</v>
      </c>
      <c r="J87" s="3" t="s">
        <v>17</v>
      </c>
      <c r="K87" s="3" t="s">
        <v>18</v>
      </c>
      <c r="L87" s="3" t="s">
        <v>667</v>
      </c>
      <c r="M87" s="3" t="s">
        <v>20</v>
      </c>
      <c r="N87" s="3" t="s">
        <v>21</v>
      </c>
      <c r="O87" s="3">
        <v>1.0</v>
      </c>
    </row>
    <row r="88">
      <c r="A88" s="4">
        <v>43636.0</v>
      </c>
      <c r="B88" s="3" t="s">
        <v>461</v>
      </c>
      <c r="C88" s="3">
        <v>2.4330031600011E13</v>
      </c>
      <c r="D88" s="4">
        <v>43620.0</v>
      </c>
      <c r="E88" s="3" t="s">
        <v>664</v>
      </c>
      <c r="F88" s="3" t="s">
        <v>641</v>
      </c>
      <c r="G88" s="3">
        <v>3.9819156900142E13</v>
      </c>
      <c r="H88" s="3" t="s">
        <v>666</v>
      </c>
      <c r="I88" s="3">
        <v>1000.0</v>
      </c>
      <c r="J88" s="3" t="s">
        <v>17</v>
      </c>
      <c r="K88" s="3" t="s">
        <v>18</v>
      </c>
      <c r="L88" s="3" t="s">
        <v>647</v>
      </c>
      <c r="M88" s="3" t="s">
        <v>20</v>
      </c>
      <c r="N88" s="3" t="s">
        <v>21</v>
      </c>
      <c r="O88" s="3">
        <v>1.0</v>
      </c>
    </row>
    <row r="89">
      <c r="A89" s="4">
        <v>43636.0</v>
      </c>
      <c r="B89" s="3" t="s">
        <v>461</v>
      </c>
      <c r="C89" s="3">
        <v>2.4330031600011E13</v>
      </c>
      <c r="D89" s="4">
        <v>43620.0</v>
      </c>
      <c r="E89" s="3" t="s">
        <v>668</v>
      </c>
      <c r="F89" s="3" t="s">
        <v>122</v>
      </c>
      <c r="G89" s="3">
        <v>3.8389023300026E13</v>
      </c>
      <c r="H89" s="3" t="s">
        <v>397</v>
      </c>
      <c r="I89" s="3">
        <v>17500.0</v>
      </c>
      <c r="J89" s="3" t="s">
        <v>17</v>
      </c>
      <c r="K89" s="3" t="s">
        <v>18</v>
      </c>
      <c r="L89" s="3" t="s">
        <v>647</v>
      </c>
      <c r="M89" s="3" t="s">
        <v>20</v>
      </c>
      <c r="N89" s="3" t="s">
        <v>21</v>
      </c>
      <c r="O89" s="3">
        <v>1.0</v>
      </c>
    </row>
    <row r="90">
      <c r="A90" s="4">
        <v>43636.0</v>
      </c>
      <c r="B90" s="3" t="s">
        <v>461</v>
      </c>
      <c r="C90" s="3">
        <v>2.4330031600011E13</v>
      </c>
      <c r="D90" s="4">
        <v>43633.0</v>
      </c>
      <c r="E90" s="3" t="s">
        <v>669</v>
      </c>
      <c r="F90" s="3" t="s">
        <v>240</v>
      </c>
      <c r="G90" s="3">
        <v>4.8438218900021E13</v>
      </c>
      <c r="H90" s="3" t="s">
        <v>670</v>
      </c>
      <c r="I90" s="3">
        <v>15200.0</v>
      </c>
      <c r="J90" s="3" t="s">
        <v>17</v>
      </c>
      <c r="K90" s="3" t="s">
        <v>18</v>
      </c>
      <c r="L90" s="3" t="s">
        <v>671</v>
      </c>
      <c r="M90" s="3" t="s">
        <v>20</v>
      </c>
      <c r="N90" s="3" t="s">
        <v>21</v>
      </c>
      <c r="O90" s="3">
        <v>1.0</v>
      </c>
    </row>
    <row r="91">
      <c r="A91" s="4">
        <v>43724.0</v>
      </c>
      <c r="B91" s="3" t="s">
        <v>461</v>
      </c>
      <c r="C91" s="3">
        <v>2.4330031600011E13</v>
      </c>
      <c r="D91" s="4">
        <v>43642.0</v>
      </c>
      <c r="E91" s="3" t="s">
        <v>672</v>
      </c>
      <c r="F91" s="3" t="s">
        <v>136</v>
      </c>
      <c r="G91" s="3">
        <v>5.2289609100033E13</v>
      </c>
      <c r="H91" s="3" t="s">
        <v>673</v>
      </c>
      <c r="I91" s="3">
        <v>20000.0</v>
      </c>
      <c r="J91" s="3" t="s">
        <v>17</v>
      </c>
      <c r="K91" s="3" t="s">
        <v>18</v>
      </c>
      <c r="L91" s="3" t="s">
        <v>674</v>
      </c>
      <c r="M91" s="3" t="s">
        <v>20</v>
      </c>
      <c r="N91" s="3" t="s">
        <v>21</v>
      </c>
      <c r="O91" s="3">
        <v>1.0</v>
      </c>
    </row>
    <row r="92">
      <c r="A92" s="4">
        <v>43724.0</v>
      </c>
      <c r="B92" s="3" t="s">
        <v>461</v>
      </c>
      <c r="C92" s="3">
        <v>2.4330031600011E13</v>
      </c>
      <c r="D92" s="4">
        <v>43635.0</v>
      </c>
      <c r="E92" s="3" t="s">
        <v>675</v>
      </c>
      <c r="F92" s="3" t="s">
        <v>243</v>
      </c>
      <c r="G92" s="3">
        <v>4.7941474000049E13</v>
      </c>
      <c r="H92" s="3" t="s">
        <v>397</v>
      </c>
      <c r="I92" s="3">
        <v>57000.0</v>
      </c>
      <c r="J92" s="3" t="s">
        <v>17</v>
      </c>
      <c r="K92" s="3" t="s">
        <v>18</v>
      </c>
      <c r="L92" s="3" t="s">
        <v>676</v>
      </c>
      <c r="M92" s="3" t="s">
        <v>20</v>
      </c>
      <c r="N92" s="3" t="s">
        <v>21</v>
      </c>
      <c r="O92" s="3">
        <v>1.0</v>
      </c>
    </row>
    <row r="93">
      <c r="A93" s="4">
        <v>43724.0</v>
      </c>
      <c r="B93" s="3" t="s">
        <v>461</v>
      </c>
      <c r="C93" s="3">
        <v>2.4330031600011E13</v>
      </c>
      <c r="D93" s="4">
        <v>43635.0</v>
      </c>
      <c r="E93" s="3" t="s">
        <v>677</v>
      </c>
      <c r="F93" s="3" t="s">
        <v>678</v>
      </c>
      <c r="G93" s="3">
        <v>3.3230399900079E13</v>
      </c>
      <c r="H93" s="3" t="s">
        <v>679</v>
      </c>
      <c r="I93" s="3">
        <v>30000.0</v>
      </c>
      <c r="J93" s="3" t="s">
        <v>17</v>
      </c>
      <c r="K93" s="3" t="s">
        <v>18</v>
      </c>
      <c r="L93" s="3" t="s">
        <v>676</v>
      </c>
      <c r="M93" s="3" t="s">
        <v>20</v>
      </c>
      <c r="N93" s="3" t="s">
        <v>21</v>
      </c>
      <c r="O93" s="3">
        <v>1.0</v>
      </c>
    </row>
    <row r="94">
      <c r="A94" s="4">
        <v>43724.0</v>
      </c>
      <c r="B94" s="3" t="s">
        <v>461</v>
      </c>
      <c r="C94" s="3">
        <v>2.4330031600011E13</v>
      </c>
      <c r="D94" s="4">
        <v>43642.0</v>
      </c>
      <c r="E94" s="3" t="s">
        <v>680</v>
      </c>
      <c r="F94" s="3" t="s">
        <v>681</v>
      </c>
      <c r="G94" s="3">
        <v>3.4975346700043E13</v>
      </c>
      <c r="H94" s="3" t="s">
        <v>512</v>
      </c>
      <c r="I94" s="3">
        <v>45000.0</v>
      </c>
      <c r="J94" s="3" t="s">
        <v>17</v>
      </c>
      <c r="K94" s="3" t="s">
        <v>18</v>
      </c>
      <c r="L94" s="3" t="s">
        <v>674</v>
      </c>
      <c r="M94" s="3" t="s">
        <v>20</v>
      </c>
      <c r="N94" s="3" t="s">
        <v>21</v>
      </c>
      <c r="O94" s="3">
        <v>1.0</v>
      </c>
    </row>
    <row r="95">
      <c r="A95" s="4">
        <v>43724.0</v>
      </c>
      <c r="B95" s="3" t="s">
        <v>461</v>
      </c>
      <c r="C95" s="3">
        <v>2.4330031600011E13</v>
      </c>
      <c r="D95" s="4">
        <v>43643.0</v>
      </c>
      <c r="E95" s="3" t="s">
        <v>645</v>
      </c>
      <c r="F95" s="3" t="s">
        <v>661</v>
      </c>
      <c r="G95" s="3">
        <v>4.5154609700028E13</v>
      </c>
      <c r="H95" s="3" t="s">
        <v>682</v>
      </c>
      <c r="I95" s="3">
        <v>30000.0</v>
      </c>
      <c r="J95" s="3" t="s">
        <v>17</v>
      </c>
      <c r="K95" s="3" t="s">
        <v>465</v>
      </c>
      <c r="L95" s="3" t="s">
        <v>683</v>
      </c>
      <c r="M95" s="3" t="s">
        <v>20</v>
      </c>
      <c r="N95" s="3" t="s">
        <v>21</v>
      </c>
      <c r="O95" s="3">
        <v>1.0</v>
      </c>
    </row>
    <row r="96">
      <c r="A96" s="3" t="s">
        <v>456</v>
      </c>
      <c r="B96" s="3" t="s">
        <v>457</v>
      </c>
      <c r="C96" s="3" t="s">
        <v>458</v>
      </c>
      <c r="D96" s="3" t="s">
        <v>4</v>
      </c>
      <c r="E96" s="3" t="s">
        <v>3</v>
      </c>
      <c r="F96" s="3" t="s">
        <v>2</v>
      </c>
      <c r="G96" s="3" t="s">
        <v>0</v>
      </c>
      <c r="H96" s="3" t="s">
        <v>5</v>
      </c>
      <c r="I96" s="3" t="s">
        <v>1</v>
      </c>
      <c r="J96" s="3" t="s">
        <v>6</v>
      </c>
      <c r="K96" s="3" t="s">
        <v>7</v>
      </c>
      <c r="L96" s="3" t="s">
        <v>8</v>
      </c>
      <c r="M96" s="3" t="s">
        <v>9</v>
      </c>
      <c r="N96" s="3" t="s">
        <v>459</v>
      </c>
      <c r="O96" s="3" t="s">
        <v>460</v>
      </c>
    </row>
    <row r="97">
      <c r="A97" s="4">
        <v>43724.0</v>
      </c>
      <c r="B97" s="3" t="s">
        <v>461</v>
      </c>
      <c r="C97" s="3">
        <v>2.4330031600011E13</v>
      </c>
      <c r="D97" s="4">
        <v>43641.0</v>
      </c>
      <c r="E97" s="3" t="s">
        <v>684</v>
      </c>
      <c r="F97" s="3" t="s">
        <v>380</v>
      </c>
      <c r="G97" s="3">
        <v>3.9988425300036E13</v>
      </c>
      <c r="H97" s="3" t="s">
        <v>276</v>
      </c>
      <c r="I97" s="3">
        <v>120000.0</v>
      </c>
      <c r="J97" s="3" t="s">
        <v>17</v>
      </c>
      <c r="K97" s="3" t="s">
        <v>18</v>
      </c>
      <c r="L97" s="3" t="s">
        <v>685</v>
      </c>
      <c r="M97" s="3" t="s">
        <v>20</v>
      </c>
      <c r="N97" s="3" t="s">
        <v>21</v>
      </c>
      <c r="O97" s="3">
        <v>1.0</v>
      </c>
    </row>
    <row r="98">
      <c r="A98" s="4">
        <v>43724.0</v>
      </c>
      <c r="B98" s="3" t="s">
        <v>461</v>
      </c>
      <c r="C98" s="3">
        <v>2.4330031600011E13</v>
      </c>
      <c r="D98" s="4">
        <v>43636.0</v>
      </c>
      <c r="E98" s="3" t="s">
        <v>664</v>
      </c>
      <c r="F98" s="3" t="s">
        <v>686</v>
      </c>
      <c r="G98" s="3">
        <v>7.8184921100029E13</v>
      </c>
      <c r="H98" s="3" t="s">
        <v>397</v>
      </c>
      <c r="I98" s="3">
        <v>3500.0</v>
      </c>
      <c r="J98" s="3" t="s">
        <v>17</v>
      </c>
      <c r="K98" s="3" t="s">
        <v>18</v>
      </c>
      <c r="L98" s="3" t="s">
        <v>687</v>
      </c>
      <c r="M98" s="3" t="s">
        <v>20</v>
      </c>
      <c r="N98" s="3" t="s">
        <v>21</v>
      </c>
      <c r="O98" s="3">
        <v>1.0</v>
      </c>
    </row>
    <row r="99">
      <c r="A99" s="4">
        <v>43724.0</v>
      </c>
      <c r="B99" s="3" t="s">
        <v>461</v>
      </c>
      <c r="C99" s="3">
        <v>2.4330031600011E13</v>
      </c>
      <c r="D99" s="4">
        <v>43643.0</v>
      </c>
      <c r="E99" s="3" t="s">
        <v>664</v>
      </c>
      <c r="F99" s="3" t="s">
        <v>351</v>
      </c>
      <c r="G99" s="3">
        <v>3.9856806300059E13</v>
      </c>
      <c r="H99" s="3" t="s">
        <v>397</v>
      </c>
      <c r="I99" s="3">
        <v>14250.0</v>
      </c>
      <c r="J99" s="3" t="s">
        <v>17</v>
      </c>
      <c r="K99" s="3" t="s">
        <v>18</v>
      </c>
      <c r="L99" s="3" t="s">
        <v>683</v>
      </c>
      <c r="M99" s="3" t="s">
        <v>20</v>
      </c>
      <c r="N99" s="3" t="s">
        <v>21</v>
      </c>
      <c r="O99" s="3">
        <v>1.0</v>
      </c>
    </row>
    <row r="100">
      <c r="A100" s="4">
        <v>43724.0</v>
      </c>
      <c r="B100" s="3" t="s">
        <v>461</v>
      </c>
      <c r="C100" s="3">
        <v>2.4330031600011E13</v>
      </c>
      <c r="D100" s="4">
        <v>43635.0</v>
      </c>
      <c r="E100" s="3" t="s">
        <v>664</v>
      </c>
      <c r="F100" s="3" t="s">
        <v>688</v>
      </c>
      <c r="G100" s="3">
        <v>8.2978181400019E13</v>
      </c>
      <c r="H100" s="3" t="s">
        <v>397</v>
      </c>
      <c r="I100" s="3">
        <v>4500.0</v>
      </c>
      <c r="J100" s="3" t="s">
        <v>17</v>
      </c>
      <c r="K100" s="3" t="s">
        <v>18</v>
      </c>
      <c r="L100" s="3" t="s">
        <v>676</v>
      </c>
      <c r="M100" s="3" t="s">
        <v>20</v>
      </c>
      <c r="N100" s="3" t="s">
        <v>21</v>
      </c>
      <c r="O100" s="3">
        <v>1.0</v>
      </c>
    </row>
    <row r="101">
      <c r="A101" s="4">
        <v>43724.0</v>
      </c>
      <c r="B101" s="3" t="s">
        <v>461</v>
      </c>
      <c r="C101" s="3">
        <v>2.4330031600011E13</v>
      </c>
      <c r="D101" s="4">
        <v>43628.0</v>
      </c>
      <c r="E101" s="3" t="s">
        <v>689</v>
      </c>
      <c r="F101" s="3" t="s">
        <v>571</v>
      </c>
      <c r="G101" s="3">
        <v>4.9500944100033E13</v>
      </c>
      <c r="H101" s="3" t="s">
        <v>397</v>
      </c>
      <c r="I101" s="3">
        <v>137000.0</v>
      </c>
      <c r="J101" s="3" t="s">
        <v>17</v>
      </c>
      <c r="K101" s="3" t="s">
        <v>18</v>
      </c>
      <c r="L101" s="3" t="s">
        <v>650</v>
      </c>
      <c r="M101" s="3" t="s">
        <v>20</v>
      </c>
      <c r="N101" s="3" t="s">
        <v>21</v>
      </c>
      <c r="O101" s="3">
        <v>1.0</v>
      </c>
    </row>
    <row r="102">
      <c r="A102" s="4">
        <v>43724.0</v>
      </c>
      <c r="B102" s="3" t="s">
        <v>461</v>
      </c>
      <c r="C102" s="3">
        <v>2.4330031600011E13</v>
      </c>
      <c r="D102" s="4">
        <v>43642.0</v>
      </c>
      <c r="E102" s="3" t="s">
        <v>680</v>
      </c>
      <c r="F102" s="3" t="s">
        <v>216</v>
      </c>
      <c r="G102" s="3">
        <v>4.2198523500017E13</v>
      </c>
      <c r="H102" s="3" t="s">
        <v>397</v>
      </c>
      <c r="I102" s="3">
        <v>47500.0</v>
      </c>
      <c r="J102" s="3" t="s">
        <v>17</v>
      </c>
      <c r="K102" s="3" t="s">
        <v>18</v>
      </c>
      <c r="L102" s="3" t="s">
        <v>674</v>
      </c>
      <c r="M102" s="3" t="s">
        <v>20</v>
      </c>
      <c r="N102" s="3" t="s">
        <v>21</v>
      </c>
      <c r="O102" s="3">
        <v>1.0</v>
      </c>
    </row>
    <row r="103">
      <c r="A103" s="4">
        <v>43724.0</v>
      </c>
      <c r="B103" s="3" t="s">
        <v>461</v>
      </c>
      <c r="C103" s="3">
        <v>2.4330031600011E13</v>
      </c>
      <c r="D103" s="4">
        <v>43642.0</v>
      </c>
      <c r="E103" s="3" t="s">
        <v>680</v>
      </c>
      <c r="F103" s="3" t="s">
        <v>681</v>
      </c>
      <c r="G103" s="3">
        <v>3.4975346700043E13</v>
      </c>
      <c r="H103" s="3" t="s">
        <v>397</v>
      </c>
      <c r="I103" s="3">
        <v>45000.0</v>
      </c>
      <c r="J103" s="3" t="s">
        <v>17</v>
      </c>
      <c r="K103" s="3" t="s">
        <v>18</v>
      </c>
      <c r="L103" s="3" t="s">
        <v>674</v>
      </c>
      <c r="M103" s="3" t="s">
        <v>20</v>
      </c>
      <c r="N103" s="3" t="s">
        <v>21</v>
      </c>
      <c r="O103" s="3">
        <v>1.0</v>
      </c>
    </row>
    <row r="104">
      <c r="A104" s="4">
        <v>43724.0</v>
      </c>
      <c r="B104" s="3" t="s">
        <v>461</v>
      </c>
      <c r="C104" s="3">
        <v>2.4330031600011E13</v>
      </c>
      <c r="D104" s="4">
        <v>43620.0</v>
      </c>
      <c r="E104" s="3" t="s">
        <v>690</v>
      </c>
      <c r="F104" s="3" t="s">
        <v>691</v>
      </c>
      <c r="G104" s="3">
        <v>4.099689630001E13</v>
      </c>
      <c r="H104" s="3" t="s">
        <v>397</v>
      </c>
      <c r="I104" s="3">
        <v>4350.0</v>
      </c>
      <c r="J104" s="3" t="s">
        <v>17</v>
      </c>
      <c r="K104" s="3" t="s">
        <v>18</v>
      </c>
      <c r="L104" s="3" t="s">
        <v>647</v>
      </c>
      <c r="M104" s="3" t="s">
        <v>20</v>
      </c>
      <c r="N104" s="3" t="s">
        <v>21</v>
      </c>
      <c r="O104" s="3">
        <v>1.0</v>
      </c>
    </row>
    <row r="105">
      <c r="A105" s="4">
        <v>43724.0</v>
      </c>
      <c r="B105" s="3" t="s">
        <v>461</v>
      </c>
      <c r="C105" s="3">
        <v>2.4330031600011E13</v>
      </c>
      <c r="D105" s="4">
        <v>43648.0</v>
      </c>
      <c r="E105" s="3" t="s">
        <v>692</v>
      </c>
      <c r="F105" s="3" t="s">
        <v>348</v>
      </c>
      <c r="G105" s="3">
        <v>8.0961975200011E13</v>
      </c>
      <c r="H105" s="3" t="s">
        <v>397</v>
      </c>
      <c r="I105" s="3">
        <v>25000.0</v>
      </c>
      <c r="J105" s="3" t="s">
        <v>17</v>
      </c>
      <c r="K105" s="3" t="s">
        <v>18</v>
      </c>
      <c r="L105" s="3" t="s">
        <v>693</v>
      </c>
      <c r="M105" s="3" t="s">
        <v>20</v>
      </c>
      <c r="N105" s="3" t="s">
        <v>21</v>
      </c>
      <c r="O105" s="3">
        <v>1.0</v>
      </c>
    </row>
    <row r="106">
      <c r="A106" s="4">
        <v>43724.0</v>
      </c>
      <c r="B106" s="3" t="s">
        <v>461</v>
      </c>
      <c r="C106" s="3">
        <v>2.4330031600011E13</v>
      </c>
      <c r="D106" s="4">
        <v>43651.0</v>
      </c>
      <c r="E106" s="3" t="s">
        <v>644</v>
      </c>
      <c r="F106" s="3" t="s">
        <v>694</v>
      </c>
      <c r="G106" s="3">
        <v>4.3383594000027E13</v>
      </c>
      <c r="H106" s="3" t="s">
        <v>695</v>
      </c>
      <c r="I106" s="3">
        <v>12500.0</v>
      </c>
      <c r="J106" s="3" t="s">
        <v>17</v>
      </c>
      <c r="K106" s="3" t="s">
        <v>18</v>
      </c>
      <c r="L106" s="3" t="s">
        <v>696</v>
      </c>
      <c r="M106" s="3" t="s">
        <v>20</v>
      </c>
      <c r="N106" s="3" t="s">
        <v>21</v>
      </c>
      <c r="O106" s="3">
        <v>1.0</v>
      </c>
    </row>
    <row r="107">
      <c r="A107" s="4">
        <v>43724.0</v>
      </c>
      <c r="B107" s="3" t="s">
        <v>461</v>
      </c>
      <c r="C107" s="3">
        <v>2.4330031600011E13</v>
      </c>
      <c r="D107" s="4">
        <v>43651.0</v>
      </c>
      <c r="E107" s="3" t="s">
        <v>697</v>
      </c>
      <c r="F107" s="3" t="s">
        <v>540</v>
      </c>
      <c r="G107" s="3">
        <v>7.8180455400017E13</v>
      </c>
      <c r="H107" s="3" t="s">
        <v>698</v>
      </c>
      <c r="I107" s="3">
        <v>141000.0</v>
      </c>
      <c r="J107" s="3" t="s">
        <v>17</v>
      </c>
      <c r="K107" s="3" t="s">
        <v>18</v>
      </c>
      <c r="L107" s="3" t="s">
        <v>696</v>
      </c>
      <c r="M107" s="3" t="s">
        <v>20</v>
      </c>
      <c r="N107" s="3" t="s">
        <v>21</v>
      </c>
      <c r="O107" s="3">
        <v>1.0</v>
      </c>
    </row>
    <row r="108">
      <c r="A108" s="4">
        <v>43724.0</v>
      </c>
      <c r="B108" s="3" t="s">
        <v>461</v>
      </c>
      <c r="C108" s="3">
        <v>2.4330031600011E13</v>
      </c>
      <c r="D108" s="4">
        <v>43655.0</v>
      </c>
      <c r="E108" s="3" t="s">
        <v>699</v>
      </c>
      <c r="F108" s="3" t="s">
        <v>700</v>
      </c>
      <c r="G108" s="3">
        <v>7.818761150001E13</v>
      </c>
      <c r="H108" s="3" t="s">
        <v>397</v>
      </c>
      <c r="I108" s="3">
        <v>25000.0</v>
      </c>
      <c r="J108" s="3" t="s">
        <v>17</v>
      </c>
      <c r="K108" s="3" t="s">
        <v>18</v>
      </c>
      <c r="L108" s="3" t="s">
        <v>701</v>
      </c>
      <c r="M108" s="3" t="s">
        <v>20</v>
      </c>
      <c r="N108" s="3" t="s">
        <v>21</v>
      </c>
      <c r="O108" s="3">
        <v>1.0</v>
      </c>
    </row>
    <row r="109">
      <c r="A109" s="4">
        <v>43724.0</v>
      </c>
      <c r="B109" s="3" t="s">
        <v>461</v>
      </c>
      <c r="C109" s="3">
        <v>2.4330031600011E13</v>
      </c>
      <c r="D109" s="4">
        <v>43658.0</v>
      </c>
      <c r="E109" s="3" t="s">
        <v>702</v>
      </c>
      <c r="F109" s="3" t="s">
        <v>703</v>
      </c>
      <c r="G109" s="3">
        <v>8.0041897200017E13</v>
      </c>
      <c r="H109" s="3" t="s">
        <v>704</v>
      </c>
      <c r="I109" s="3">
        <v>20000.0</v>
      </c>
      <c r="J109" s="3" t="s">
        <v>17</v>
      </c>
      <c r="K109" s="3" t="s">
        <v>18</v>
      </c>
      <c r="L109" s="3" t="s">
        <v>705</v>
      </c>
      <c r="M109" s="3" t="s">
        <v>20</v>
      </c>
      <c r="N109" s="3" t="s">
        <v>21</v>
      </c>
      <c r="O109" s="3">
        <v>1.0</v>
      </c>
    </row>
    <row r="110">
      <c r="A110" s="4">
        <v>43724.0</v>
      </c>
      <c r="B110" s="3" t="s">
        <v>461</v>
      </c>
      <c r="C110" s="3">
        <v>2.4330031600011E13</v>
      </c>
      <c r="D110" s="4">
        <v>43651.0</v>
      </c>
      <c r="E110" s="3" t="s">
        <v>706</v>
      </c>
      <c r="F110" s="3" t="s">
        <v>179</v>
      </c>
      <c r="G110" s="3">
        <v>3.2123703400012E13</v>
      </c>
      <c r="H110" s="3" t="s">
        <v>312</v>
      </c>
      <c r="I110" s="3">
        <v>407253.0</v>
      </c>
      <c r="J110" s="3" t="s">
        <v>17</v>
      </c>
      <c r="K110" s="3" t="s">
        <v>18</v>
      </c>
      <c r="L110" s="3" t="s">
        <v>696</v>
      </c>
      <c r="M110" s="3" t="s">
        <v>20</v>
      </c>
      <c r="N110" s="3" t="s">
        <v>21</v>
      </c>
      <c r="O110" s="3">
        <v>1.0</v>
      </c>
    </row>
    <row r="111">
      <c r="A111" s="4">
        <v>43724.0</v>
      </c>
      <c r="B111" s="3" t="s">
        <v>461</v>
      </c>
      <c r="C111" s="3">
        <v>2.4330031600011E13</v>
      </c>
      <c r="D111" s="4">
        <v>43679.0</v>
      </c>
      <c r="E111" s="3" t="s">
        <v>707</v>
      </c>
      <c r="F111" s="3" t="s">
        <v>641</v>
      </c>
      <c r="G111" s="3">
        <v>3.9819156900142E13</v>
      </c>
      <c r="H111" s="3" t="s">
        <v>397</v>
      </c>
      <c r="I111" s="3">
        <v>8000.0</v>
      </c>
      <c r="J111" s="3" t="s">
        <v>17</v>
      </c>
      <c r="K111" s="3" t="s">
        <v>465</v>
      </c>
      <c r="L111" s="3" t="s">
        <v>708</v>
      </c>
      <c r="M111" s="3" t="s">
        <v>20</v>
      </c>
      <c r="N111" s="3" t="s">
        <v>21</v>
      </c>
      <c r="O111" s="3">
        <v>1.0</v>
      </c>
    </row>
    <row r="112">
      <c r="A112" s="4">
        <v>43724.0</v>
      </c>
      <c r="B112" s="3" t="s">
        <v>461</v>
      </c>
      <c r="C112" s="3">
        <v>2.4330031600011E13</v>
      </c>
      <c r="D112" s="4">
        <v>43677.0</v>
      </c>
      <c r="E112" s="3" t="s">
        <v>709</v>
      </c>
      <c r="F112" s="3" t="s">
        <v>710</v>
      </c>
      <c r="G112" s="3">
        <v>4.9058526200069E13</v>
      </c>
      <c r="H112" s="3" t="s">
        <v>397</v>
      </c>
      <c r="I112" s="3">
        <v>25000.0</v>
      </c>
      <c r="J112" s="3" t="s">
        <v>17</v>
      </c>
      <c r="K112" s="3" t="s">
        <v>18</v>
      </c>
      <c r="L112" s="3" t="s">
        <v>711</v>
      </c>
      <c r="M112" s="3" t="s">
        <v>20</v>
      </c>
      <c r="N112" s="3" t="s">
        <v>21</v>
      </c>
      <c r="O112" s="3">
        <v>1.0</v>
      </c>
    </row>
    <row r="113">
      <c r="A113" s="4">
        <v>43724.0</v>
      </c>
      <c r="B113" s="3" t="s">
        <v>461</v>
      </c>
      <c r="C113" s="3">
        <v>2.4330031600011E13</v>
      </c>
      <c r="D113" s="4">
        <v>43684.0</v>
      </c>
      <c r="E113" s="3" t="s">
        <v>603</v>
      </c>
      <c r="F113" s="3" t="s">
        <v>712</v>
      </c>
      <c r="G113" s="3">
        <v>7.9981016300011E13</v>
      </c>
      <c r="H113" s="3" t="s">
        <v>397</v>
      </c>
      <c r="I113" s="3">
        <v>5800.0</v>
      </c>
      <c r="J113" s="3" t="s">
        <v>17</v>
      </c>
      <c r="K113" s="3" t="s">
        <v>18</v>
      </c>
      <c r="L113" s="3" t="s">
        <v>713</v>
      </c>
      <c r="M113" s="3" t="s">
        <v>20</v>
      </c>
      <c r="N113" s="3" t="s">
        <v>21</v>
      </c>
      <c r="O113" s="3">
        <v>1.0</v>
      </c>
    </row>
    <row r="114">
      <c r="A114" s="4">
        <v>43724.0</v>
      </c>
      <c r="B114" s="3" t="s">
        <v>461</v>
      </c>
      <c r="C114" s="3">
        <v>2.4330031600011E13</v>
      </c>
      <c r="D114" s="4">
        <v>43677.0</v>
      </c>
      <c r="E114" s="3" t="s">
        <v>707</v>
      </c>
      <c r="F114" s="3" t="s">
        <v>714</v>
      </c>
      <c r="G114" s="3">
        <v>3.3483378700011E13</v>
      </c>
      <c r="H114" s="3" t="s">
        <v>397</v>
      </c>
      <c r="I114" s="3">
        <v>4000.0</v>
      </c>
      <c r="J114" s="3" t="s">
        <v>17</v>
      </c>
      <c r="K114" s="3" t="s">
        <v>465</v>
      </c>
      <c r="L114" s="3" t="s">
        <v>711</v>
      </c>
      <c r="M114" s="3" t="s">
        <v>20</v>
      </c>
      <c r="N114" s="3" t="s">
        <v>21</v>
      </c>
      <c r="O114" s="3">
        <v>1.0</v>
      </c>
    </row>
    <row r="115">
      <c r="A115" s="4">
        <v>43724.0</v>
      </c>
      <c r="B115" s="3" t="s">
        <v>461</v>
      </c>
      <c r="C115" s="3">
        <v>2.4330031600011E13</v>
      </c>
      <c r="D115" s="4">
        <v>43655.0</v>
      </c>
      <c r="E115" s="3" t="s">
        <v>707</v>
      </c>
      <c r="F115" s="3" t="s">
        <v>249</v>
      </c>
      <c r="G115" s="3">
        <v>4.8237148100029E13</v>
      </c>
      <c r="H115" s="3" t="s">
        <v>715</v>
      </c>
      <c r="I115" s="3">
        <v>9000.0</v>
      </c>
      <c r="J115" s="3" t="s">
        <v>17</v>
      </c>
      <c r="K115" s="3" t="s">
        <v>465</v>
      </c>
      <c r="L115" s="3" t="s">
        <v>701</v>
      </c>
      <c r="M115" s="3" t="s">
        <v>20</v>
      </c>
      <c r="N115" s="3" t="s">
        <v>21</v>
      </c>
      <c r="O115" s="3">
        <v>1.0</v>
      </c>
    </row>
    <row r="116">
      <c r="A116" s="4">
        <v>43724.0</v>
      </c>
      <c r="B116" s="3" t="s">
        <v>461</v>
      </c>
      <c r="C116" s="3">
        <v>2.4330031600011E13</v>
      </c>
      <c r="D116" s="4">
        <v>43671.0</v>
      </c>
      <c r="E116" s="3" t="s">
        <v>680</v>
      </c>
      <c r="F116" s="3" t="s">
        <v>716</v>
      </c>
      <c r="G116" s="3">
        <v>8.4515945800023E13</v>
      </c>
      <c r="H116" s="3" t="s">
        <v>715</v>
      </c>
      <c r="I116" s="3">
        <v>29000.0</v>
      </c>
      <c r="J116" s="3" t="s">
        <v>17</v>
      </c>
      <c r="K116" s="3" t="s">
        <v>18</v>
      </c>
      <c r="L116" s="3" t="s">
        <v>717</v>
      </c>
      <c r="M116" s="3" t="s">
        <v>20</v>
      </c>
      <c r="N116" s="3" t="s">
        <v>21</v>
      </c>
      <c r="O116" s="3">
        <v>1.0</v>
      </c>
    </row>
    <row r="117">
      <c r="A117" s="4">
        <v>43724.0</v>
      </c>
      <c r="B117" s="3" t="s">
        <v>461</v>
      </c>
      <c r="C117" s="3">
        <v>2.4330031600011E13</v>
      </c>
      <c r="D117" s="4">
        <v>43677.0</v>
      </c>
      <c r="E117" s="3" t="s">
        <v>707</v>
      </c>
      <c r="F117" s="3" t="s">
        <v>374</v>
      </c>
      <c r="G117" s="3">
        <v>4.022835430007E13</v>
      </c>
      <c r="H117" s="3" t="s">
        <v>715</v>
      </c>
      <c r="I117" s="3">
        <v>33000.0</v>
      </c>
      <c r="J117" s="3" t="s">
        <v>17</v>
      </c>
      <c r="K117" s="3" t="s">
        <v>465</v>
      </c>
      <c r="L117" s="3" t="s">
        <v>711</v>
      </c>
      <c r="M117" s="3" t="s">
        <v>20</v>
      </c>
      <c r="N117" s="3" t="s">
        <v>21</v>
      </c>
      <c r="O117" s="3">
        <v>1.0</v>
      </c>
    </row>
    <row r="118">
      <c r="A118" s="4">
        <v>43724.0</v>
      </c>
      <c r="B118" s="3" t="s">
        <v>461</v>
      </c>
      <c r="C118" s="3">
        <v>2.4330031600011E13</v>
      </c>
      <c r="D118" s="4">
        <v>43669.0</v>
      </c>
      <c r="E118" s="3" t="s">
        <v>707</v>
      </c>
      <c r="F118" s="3" t="s">
        <v>378</v>
      </c>
      <c r="G118" s="3">
        <v>3.3348540700017E13</v>
      </c>
      <c r="H118" s="3" t="s">
        <v>715</v>
      </c>
      <c r="I118" s="3">
        <v>8500.0</v>
      </c>
      <c r="J118" s="3" t="s">
        <v>17</v>
      </c>
      <c r="K118" s="3" t="s">
        <v>465</v>
      </c>
      <c r="L118" s="3" t="s">
        <v>718</v>
      </c>
      <c r="M118" s="3" t="s">
        <v>20</v>
      </c>
      <c r="N118" s="3" t="s">
        <v>21</v>
      </c>
      <c r="O118" s="3">
        <v>1.0</v>
      </c>
    </row>
    <row r="119">
      <c r="A119" s="3" t="s">
        <v>456</v>
      </c>
      <c r="B119" s="3" t="s">
        <v>457</v>
      </c>
      <c r="C119" s="3" t="s">
        <v>458</v>
      </c>
      <c r="D119" s="3" t="s">
        <v>4</v>
      </c>
      <c r="E119" s="3" t="s">
        <v>3</v>
      </c>
      <c r="F119" s="3" t="s">
        <v>2</v>
      </c>
      <c r="G119" s="3" t="s">
        <v>0</v>
      </c>
      <c r="H119" s="3" t="s">
        <v>5</v>
      </c>
      <c r="I119" s="3" t="s">
        <v>1</v>
      </c>
      <c r="J119" s="3" t="s">
        <v>6</v>
      </c>
      <c r="K119" s="3" t="s">
        <v>7</v>
      </c>
      <c r="L119" s="3" t="s">
        <v>8</v>
      </c>
      <c r="M119" s="3" t="s">
        <v>9</v>
      </c>
      <c r="N119" s="3" t="s">
        <v>459</v>
      </c>
      <c r="O119" s="3" t="s">
        <v>460</v>
      </c>
    </row>
    <row r="120">
      <c r="A120" s="4">
        <v>43724.0</v>
      </c>
      <c r="B120" s="3" t="s">
        <v>461</v>
      </c>
      <c r="C120" s="3">
        <v>2.4330031600011E13</v>
      </c>
      <c r="D120" s="4">
        <v>43677.0</v>
      </c>
      <c r="E120" s="3" t="s">
        <v>707</v>
      </c>
      <c r="F120" s="3" t="s">
        <v>203</v>
      </c>
      <c r="G120" s="3">
        <v>3.5221687300015E13</v>
      </c>
      <c r="H120" s="3" t="s">
        <v>397</v>
      </c>
      <c r="I120" s="3">
        <v>5000.0</v>
      </c>
      <c r="J120" s="3" t="s">
        <v>17</v>
      </c>
      <c r="K120" s="3" t="s">
        <v>465</v>
      </c>
      <c r="L120" s="3" t="s">
        <v>711</v>
      </c>
      <c r="M120" s="3" t="s">
        <v>20</v>
      </c>
      <c r="N120" s="3" t="s">
        <v>21</v>
      </c>
      <c r="O120" s="3">
        <v>1.0</v>
      </c>
    </row>
    <row r="121">
      <c r="A121" s="4">
        <v>43724.0</v>
      </c>
      <c r="B121" s="3" t="s">
        <v>461</v>
      </c>
      <c r="C121" s="3">
        <v>2.4330031600011E13</v>
      </c>
      <c r="D121" s="4">
        <v>43658.0</v>
      </c>
      <c r="E121" s="3" t="s">
        <v>709</v>
      </c>
      <c r="F121" s="3" t="s">
        <v>328</v>
      </c>
      <c r="G121" s="3">
        <v>4.3403882400042E13</v>
      </c>
      <c r="H121" s="3" t="s">
        <v>719</v>
      </c>
      <c r="I121" s="3">
        <v>25000.0</v>
      </c>
      <c r="J121" s="3" t="s">
        <v>17</v>
      </c>
      <c r="K121" s="3" t="s">
        <v>18</v>
      </c>
      <c r="L121" s="3" t="s">
        <v>705</v>
      </c>
      <c r="M121" s="3" t="s">
        <v>20</v>
      </c>
      <c r="N121" s="3" t="s">
        <v>21</v>
      </c>
      <c r="O121" s="3">
        <v>1.0</v>
      </c>
    </row>
    <row r="122">
      <c r="A122" s="4">
        <v>43724.0</v>
      </c>
      <c r="B122" s="3" t="s">
        <v>461</v>
      </c>
      <c r="C122" s="3">
        <v>2.4330031600011E13</v>
      </c>
      <c r="D122" s="4">
        <v>43699.0</v>
      </c>
      <c r="E122" s="3" t="s">
        <v>720</v>
      </c>
      <c r="F122" s="3" t="s">
        <v>721</v>
      </c>
      <c r="G122" s="3">
        <v>8.1292453800018E13</v>
      </c>
      <c r="H122" s="3" t="s">
        <v>722</v>
      </c>
      <c r="I122" s="3">
        <v>50000.0</v>
      </c>
      <c r="J122" s="3" t="s">
        <v>17</v>
      </c>
      <c r="K122" s="3" t="s">
        <v>18</v>
      </c>
      <c r="L122" s="3" t="s">
        <v>723</v>
      </c>
      <c r="M122" s="3" t="s">
        <v>20</v>
      </c>
      <c r="N122" s="3" t="s">
        <v>21</v>
      </c>
      <c r="O122" s="3">
        <v>1.0</v>
      </c>
    </row>
    <row r="123">
      <c r="A123" s="4">
        <v>43724.0</v>
      </c>
      <c r="B123" s="3" t="s">
        <v>461</v>
      </c>
      <c r="C123" s="3">
        <v>2.4330031600011E13</v>
      </c>
      <c r="D123" s="4">
        <v>43703.0</v>
      </c>
      <c r="E123" s="3" t="s">
        <v>724</v>
      </c>
      <c r="F123" s="3" t="s">
        <v>725</v>
      </c>
      <c r="G123" s="3">
        <v>4.4336259500037E13</v>
      </c>
      <c r="H123" s="3" t="s">
        <v>726</v>
      </c>
      <c r="I123" s="3">
        <v>160000.0</v>
      </c>
      <c r="J123" s="3" t="s">
        <v>17</v>
      </c>
      <c r="K123" s="3" t="s">
        <v>18</v>
      </c>
      <c r="L123" s="3" t="s">
        <v>727</v>
      </c>
      <c r="M123" s="3" t="s">
        <v>20</v>
      </c>
      <c r="N123" s="3" t="s">
        <v>21</v>
      </c>
      <c r="O123" s="3">
        <v>1.0</v>
      </c>
    </row>
    <row r="124">
      <c r="A124" s="4">
        <v>43724.0</v>
      </c>
      <c r="B124" s="3" t="s">
        <v>461</v>
      </c>
      <c r="C124" s="3">
        <v>2.4330031600011E13</v>
      </c>
      <c r="D124" s="4">
        <v>43703.0</v>
      </c>
      <c r="E124" s="3" t="s">
        <v>724</v>
      </c>
      <c r="F124" s="3" t="s">
        <v>104</v>
      </c>
      <c r="G124" s="3">
        <v>5.3389682500023E13</v>
      </c>
      <c r="H124" s="3" t="s">
        <v>728</v>
      </c>
      <c r="I124" s="3">
        <v>26000.0</v>
      </c>
      <c r="J124" s="3" t="s">
        <v>17</v>
      </c>
      <c r="K124" s="3" t="s">
        <v>18</v>
      </c>
      <c r="L124" s="3" t="s">
        <v>727</v>
      </c>
      <c r="M124" s="3" t="s">
        <v>20</v>
      </c>
      <c r="N124" s="3" t="s">
        <v>21</v>
      </c>
      <c r="O124" s="3">
        <v>1.0</v>
      </c>
    </row>
    <row r="125">
      <c r="A125" s="4">
        <v>43724.0</v>
      </c>
      <c r="B125" s="3" t="s">
        <v>461</v>
      </c>
      <c r="C125" s="3">
        <v>2.4330031600011E13</v>
      </c>
      <c r="D125" s="4">
        <v>43703.0</v>
      </c>
      <c r="E125" s="3" t="s">
        <v>724</v>
      </c>
      <c r="F125" s="3" t="s">
        <v>627</v>
      </c>
      <c r="G125" s="3">
        <v>4.8956307200029E13</v>
      </c>
      <c r="H125" s="3" t="s">
        <v>729</v>
      </c>
      <c r="I125" s="3">
        <v>15000.0</v>
      </c>
      <c r="J125" s="3" t="s">
        <v>17</v>
      </c>
      <c r="K125" s="3" t="s">
        <v>18</v>
      </c>
      <c r="L125" s="3" t="s">
        <v>727</v>
      </c>
      <c r="M125" s="3" t="s">
        <v>20</v>
      </c>
      <c r="N125" s="3" t="s">
        <v>21</v>
      </c>
      <c r="O125" s="3">
        <v>1.0</v>
      </c>
    </row>
    <row r="126">
      <c r="A126" s="4">
        <v>43724.0</v>
      </c>
      <c r="B126" s="3" t="s">
        <v>461</v>
      </c>
      <c r="C126" s="3">
        <v>2.4330031600011E13</v>
      </c>
      <c r="D126" s="4">
        <v>43703.0</v>
      </c>
      <c r="E126" s="3" t="s">
        <v>724</v>
      </c>
      <c r="F126" s="3" t="s">
        <v>730</v>
      </c>
      <c r="G126" s="3">
        <v>5.2425936300017E13</v>
      </c>
      <c r="H126" s="3" t="s">
        <v>731</v>
      </c>
      <c r="I126" s="3">
        <v>8000.0</v>
      </c>
      <c r="J126" s="3" t="s">
        <v>17</v>
      </c>
      <c r="K126" s="3" t="s">
        <v>18</v>
      </c>
      <c r="L126" s="3" t="s">
        <v>727</v>
      </c>
      <c r="M126" s="3" t="s">
        <v>20</v>
      </c>
      <c r="N126" s="3" t="s">
        <v>21</v>
      </c>
      <c r="O126" s="3">
        <v>1.0</v>
      </c>
    </row>
    <row r="127">
      <c r="A127" s="4">
        <v>43724.0</v>
      </c>
      <c r="B127" s="3" t="s">
        <v>461</v>
      </c>
      <c r="C127" s="3">
        <v>2.4330031600011E13</v>
      </c>
      <c r="D127" s="4">
        <v>43703.0</v>
      </c>
      <c r="E127" s="3" t="s">
        <v>732</v>
      </c>
      <c r="F127" s="3" t="s">
        <v>733</v>
      </c>
      <c r="G127" s="3">
        <v>4.2283936500018E13</v>
      </c>
      <c r="H127" s="3" t="s">
        <v>734</v>
      </c>
      <c r="I127" s="3">
        <v>6500.0</v>
      </c>
      <c r="J127" s="3" t="s">
        <v>17</v>
      </c>
      <c r="K127" s="3" t="s">
        <v>18</v>
      </c>
      <c r="L127" s="3" t="s">
        <v>727</v>
      </c>
      <c r="M127" s="3" t="s">
        <v>20</v>
      </c>
      <c r="N127" s="3" t="s">
        <v>21</v>
      </c>
      <c r="O127" s="3">
        <v>1.0</v>
      </c>
    </row>
    <row r="128">
      <c r="A128" s="4">
        <v>43784.0</v>
      </c>
      <c r="B128" s="3" t="s">
        <v>461</v>
      </c>
      <c r="C128" s="3">
        <v>2.4330031600011E13</v>
      </c>
      <c r="D128" s="4">
        <v>43759.0</v>
      </c>
      <c r="E128" s="3" t="s">
        <v>735</v>
      </c>
      <c r="F128" s="3" t="s">
        <v>736</v>
      </c>
      <c r="G128" s="3">
        <v>5.1779186900012E13</v>
      </c>
      <c r="H128" s="3" t="s">
        <v>397</v>
      </c>
      <c r="I128" s="3">
        <v>56400.0</v>
      </c>
      <c r="J128" s="3" t="s">
        <v>17</v>
      </c>
      <c r="K128" s="3" t="s">
        <v>18</v>
      </c>
      <c r="L128" s="3" t="s">
        <v>737</v>
      </c>
      <c r="M128" s="3" t="s">
        <v>20</v>
      </c>
      <c r="N128" s="3" t="s">
        <v>21</v>
      </c>
      <c r="O128" s="3">
        <v>1.0</v>
      </c>
    </row>
    <row r="129">
      <c r="A129" s="4">
        <v>43784.0</v>
      </c>
      <c r="B129" s="3" t="s">
        <v>461</v>
      </c>
      <c r="C129" s="3">
        <v>2.4330031600011E13</v>
      </c>
      <c r="D129" s="4">
        <v>43762.0</v>
      </c>
      <c r="E129" s="3" t="s">
        <v>738</v>
      </c>
      <c r="F129" s="3" t="s">
        <v>739</v>
      </c>
      <c r="G129" s="3">
        <v>3.7954994200025E13</v>
      </c>
      <c r="H129" s="3" t="s">
        <v>397</v>
      </c>
      <c r="I129" s="3">
        <v>25000.0</v>
      </c>
      <c r="J129" s="3" t="s">
        <v>17</v>
      </c>
      <c r="K129" s="3" t="s">
        <v>18</v>
      </c>
      <c r="L129" s="3" t="s">
        <v>740</v>
      </c>
      <c r="M129" s="3" t="s">
        <v>20</v>
      </c>
      <c r="N129" s="3" t="s">
        <v>21</v>
      </c>
      <c r="O129" s="3">
        <v>1.0</v>
      </c>
    </row>
    <row r="130">
      <c r="A130" s="4">
        <v>43784.0</v>
      </c>
      <c r="B130" s="3" t="s">
        <v>461</v>
      </c>
      <c r="C130" s="3">
        <v>2.4330031600011E13</v>
      </c>
      <c r="D130" s="4">
        <v>43763.0</v>
      </c>
      <c r="E130" s="3" t="s">
        <v>738</v>
      </c>
      <c r="F130" s="3" t="s">
        <v>509</v>
      </c>
      <c r="G130" s="3">
        <v>5.2539664400011E13</v>
      </c>
      <c r="H130" s="3" t="s">
        <v>444</v>
      </c>
      <c r="I130" s="3">
        <v>25000.0</v>
      </c>
      <c r="J130" s="3" t="s">
        <v>17</v>
      </c>
      <c r="K130" s="3" t="s">
        <v>18</v>
      </c>
      <c r="L130" s="3" t="s">
        <v>741</v>
      </c>
      <c r="M130" s="3" t="s">
        <v>20</v>
      </c>
      <c r="N130" s="3" t="s">
        <v>21</v>
      </c>
      <c r="O130" s="3">
        <v>1.0</v>
      </c>
    </row>
    <row r="131">
      <c r="A131" s="4">
        <v>43784.0</v>
      </c>
      <c r="B131" s="3" t="s">
        <v>461</v>
      </c>
      <c r="C131" s="3">
        <v>2.4330031600011E13</v>
      </c>
      <c r="D131" s="4">
        <v>43755.0</v>
      </c>
      <c r="E131" s="3" t="s">
        <v>742</v>
      </c>
      <c r="F131" s="3" t="s">
        <v>743</v>
      </c>
      <c r="G131" s="3">
        <v>8.2791162900018E13</v>
      </c>
      <c r="H131" s="3" t="s">
        <v>397</v>
      </c>
      <c r="I131" s="3">
        <v>69000.0</v>
      </c>
      <c r="J131" s="3" t="s">
        <v>17</v>
      </c>
      <c r="K131" s="3" t="s">
        <v>18</v>
      </c>
      <c r="L131" s="3" t="s">
        <v>744</v>
      </c>
      <c r="M131" s="3" t="s">
        <v>20</v>
      </c>
      <c r="N131" s="3" t="s">
        <v>21</v>
      </c>
      <c r="O131" s="3">
        <v>1.0</v>
      </c>
    </row>
    <row r="132">
      <c r="A132" s="4">
        <v>43784.0</v>
      </c>
      <c r="B132" s="3" t="s">
        <v>461</v>
      </c>
      <c r="C132" s="3">
        <v>2.4330031600011E13</v>
      </c>
      <c r="D132" s="4">
        <v>43769.0</v>
      </c>
      <c r="E132" s="3" t="s">
        <v>745</v>
      </c>
      <c r="F132" s="3" t="s">
        <v>439</v>
      </c>
      <c r="G132" s="3">
        <v>4.8428452600072E13</v>
      </c>
      <c r="H132" s="3" t="s">
        <v>397</v>
      </c>
      <c r="I132" s="3">
        <v>90000.0</v>
      </c>
      <c r="J132" s="3" t="s">
        <v>17</v>
      </c>
      <c r="K132" s="3" t="s">
        <v>18</v>
      </c>
      <c r="L132" s="3" t="s">
        <v>746</v>
      </c>
      <c r="M132" s="3" t="s">
        <v>20</v>
      </c>
      <c r="N132" s="3" t="s">
        <v>21</v>
      </c>
      <c r="O132" s="3">
        <v>1.0</v>
      </c>
    </row>
    <row r="133">
      <c r="A133" s="4">
        <v>43784.0</v>
      </c>
      <c r="B133" s="3" t="s">
        <v>461</v>
      </c>
      <c r="C133" s="3">
        <v>2.4330031600011E13</v>
      </c>
      <c r="D133" s="4">
        <v>43774.0</v>
      </c>
      <c r="E133" s="3" t="s">
        <v>738</v>
      </c>
      <c r="F133" s="3" t="s">
        <v>747</v>
      </c>
      <c r="G133" s="3">
        <v>3.4063725500027E13</v>
      </c>
      <c r="H133" s="3" t="s">
        <v>397</v>
      </c>
      <c r="I133" s="3">
        <v>25000.0</v>
      </c>
      <c r="J133" s="3" t="s">
        <v>17</v>
      </c>
      <c r="K133" s="3" t="s">
        <v>18</v>
      </c>
      <c r="L133" s="3" t="s">
        <v>748</v>
      </c>
      <c r="M133" s="3" t="s">
        <v>20</v>
      </c>
      <c r="N133" s="3" t="s">
        <v>21</v>
      </c>
      <c r="O133" s="3">
        <v>1.0</v>
      </c>
    </row>
    <row r="134">
      <c r="A134" s="4">
        <v>43784.0</v>
      </c>
      <c r="B134" s="3" t="s">
        <v>461</v>
      </c>
      <c r="C134" s="3">
        <v>2.4330031600011E13</v>
      </c>
      <c r="D134" s="4">
        <v>43677.0</v>
      </c>
      <c r="E134" s="3" t="s">
        <v>707</v>
      </c>
      <c r="F134" s="3" t="s">
        <v>374</v>
      </c>
      <c r="G134" s="3">
        <v>4.022835430007E13</v>
      </c>
      <c r="H134" s="3" t="s">
        <v>749</v>
      </c>
      <c r="I134" s="3">
        <v>24000.0</v>
      </c>
      <c r="J134" s="3" t="s">
        <v>17</v>
      </c>
      <c r="K134" s="3" t="s">
        <v>465</v>
      </c>
      <c r="L134" s="3" t="s">
        <v>711</v>
      </c>
      <c r="M134" s="3" t="s">
        <v>20</v>
      </c>
      <c r="N134" s="3" t="s">
        <v>21</v>
      </c>
      <c r="O134" s="3">
        <v>1.0</v>
      </c>
    </row>
    <row r="135">
      <c r="A135" s="4">
        <v>43784.0</v>
      </c>
      <c r="B135" s="3" t="s">
        <v>461</v>
      </c>
      <c r="C135" s="3">
        <v>2.4330031600011E13</v>
      </c>
      <c r="D135" s="4">
        <v>43677.0</v>
      </c>
      <c r="E135" s="3" t="s">
        <v>707</v>
      </c>
      <c r="F135" s="3" t="s">
        <v>374</v>
      </c>
      <c r="G135" s="3">
        <v>4.022835430007E13</v>
      </c>
      <c r="H135" s="3" t="s">
        <v>750</v>
      </c>
      <c r="I135" s="3">
        <v>5000.0</v>
      </c>
      <c r="J135" s="3" t="s">
        <v>17</v>
      </c>
      <c r="K135" s="3" t="s">
        <v>465</v>
      </c>
      <c r="L135" s="3" t="s">
        <v>711</v>
      </c>
      <c r="M135" s="3" t="s">
        <v>20</v>
      </c>
      <c r="N135" s="3" t="s">
        <v>21</v>
      </c>
      <c r="O135" s="3">
        <v>1.0</v>
      </c>
    </row>
    <row r="136">
      <c r="A136" s="4">
        <v>43784.0</v>
      </c>
      <c r="B136" s="3" t="s">
        <v>461</v>
      </c>
      <c r="C136" s="3">
        <v>2.4330031600011E13</v>
      </c>
      <c r="D136" s="4">
        <v>43781.0</v>
      </c>
      <c r="E136" s="3" t="s">
        <v>751</v>
      </c>
      <c r="F136" s="3" t="s">
        <v>752</v>
      </c>
      <c r="G136" s="3">
        <v>3.7914022100019E13</v>
      </c>
      <c r="H136" s="3" t="s">
        <v>753</v>
      </c>
      <c r="I136" s="3">
        <v>50000.0</v>
      </c>
      <c r="J136" s="3" t="s">
        <v>17</v>
      </c>
      <c r="K136" s="3" t="s">
        <v>18</v>
      </c>
      <c r="L136" s="3" t="s">
        <v>754</v>
      </c>
      <c r="M136" s="3" t="s">
        <v>20</v>
      </c>
      <c r="N136" s="3" t="s">
        <v>21</v>
      </c>
      <c r="O136" s="3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26.63"/>
  </cols>
  <sheetData>
    <row r="1">
      <c r="A1" s="1" t="s">
        <v>0</v>
      </c>
      <c r="B1" s="7" t="s">
        <v>755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756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8"/>
    </row>
    <row r="3">
      <c r="A3" s="3" t="s">
        <v>13</v>
      </c>
      <c r="B3" s="9" t="str">
        <f t="shared" ref="B3:B157" si="1">SUBSTITUTE(A3,char(10)," ")</f>
        <v>ADIL (asso. départ. pour information sur logement)</v>
      </c>
      <c r="C3" s="3">
        <v>3.05378234E8</v>
      </c>
      <c r="D3" s="3" t="s">
        <v>15</v>
      </c>
      <c r="E3" s="4">
        <v>43069.0</v>
      </c>
      <c r="F3" s="3" t="s">
        <v>16</v>
      </c>
      <c r="G3" s="3" t="s">
        <v>14</v>
      </c>
      <c r="H3" s="3" t="str">
        <f t="shared" ref="H3:H157" si="2">substitute( SUBSTITUTE(G3," ",""),",",".")</f>
        <v>97740.00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>
        <v>1.0</v>
      </c>
    </row>
    <row r="4">
      <c r="A4" s="3" t="s">
        <v>22</v>
      </c>
      <c r="B4" s="9" t="str">
        <f t="shared" si="1"/>
        <v>COMPAGNONS BATISSEURS</v>
      </c>
      <c r="C4" s="3">
        <v>4.88566613E8</v>
      </c>
      <c r="D4" s="3" t="s">
        <v>24</v>
      </c>
      <c r="E4" s="4">
        <v>43091.0</v>
      </c>
      <c r="F4" s="3" t="s">
        <v>25</v>
      </c>
      <c r="G4" s="3" t="s">
        <v>23</v>
      </c>
      <c r="H4" s="3" t="str">
        <f t="shared" si="2"/>
        <v>95932.00</v>
      </c>
      <c r="I4" s="3" t="s">
        <v>17</v>
      </c>
      <c r="J4" s="3" t="s">
        <v>18</v>
      </c>
      <c r="K4" s="3" t="s">
        <v>26</v>
      </c>
      <c r="L4" s="3" t="s">
        <v>20</v>
      </c>
      <c r="M4" s="3" t="s">
        <v>21</v>
      </c>
      <c r="N4" s="3">
        <v>1.0</v>
      </c>
    </row>
    <row r="5">
      <c r="A5" s="3" t="s">
        <v>27</v>
      </c>
      <c r="B5" s="9" t="str">
        <f t="shared" si="1"/>
        <v>FABRIQUE POLA</v>
      </c>
      <c r="C5" s="3">
        <v>4.44337588E8</v>
      </c>
      <c r="D5" s="3" t="s">
        <v>29</v>
      </c>
      <c r="E5" s="4">
        <v>43112.0</v>
      </c>
      <c r="F5" s="3" t="s">
        <v>30</v>
      </c>
      <c r="G5" s="3" t="s">
        <v>28</v>
      </c>
      <c r="H5" s="3" t="str">
        <f t="shared" si="2"/>
        <v>114000.00</v>
      </c>
      <c r="I5" s="3" t="s">
        <v>17</v>
      </c>
      <c r="J5" s="3" t="s">
        <v>18</v>
      </c>
      <c r="K5" s="3" t="s">
        <v>31</v>
      </c>
      <c r="L5" s="3" t="s">
        <v>20</v>
      </c>
      <c r="M5" s="3" t="s">
        <v>21</v>
      </c>
      <c r="N5" s="3">
        <v>1.0</v>
      </c>
    </row>
    <row r="6">
      <c r="A6" s="3" t="s">
        <v>32</v>
      </c>
      <c r="B6" s="9" t="str">
        <f t="shared" si="1"/>
        <v>UNML (UNION NATIONALE DES MISSIONS LOCALES)</v>
      </c>
      <c r="C6" s="3">
        <v>4.34066577E8</v>
      </c>
      <c r="D6" s="3" t="s">
        <v>34</v>
      </c>
      <c r="E6" s="4">
        <v>43077.0</v>
      </c>
      <c r="F6" s="3" t="s">
        <v>16</v>
      </c>
      <c r="G6" s="3" t="s">
        <v>33</v>
      </c>
      <c r="H6" s="3" t="str">
        <f t="shared" si="2"/>
        <v>5000.00</v>
      </c>
      <c r="I6" s="3" t="s">
        <v>17</v>
      </c>
      <c r="J6" s="3" t="s">
        <v>18</v>
      </c>
      <c r="K6" s="3" t="s">
        <v>35</v>
      </c>
      <c r="L6" s="3" t="s">
        <v>20</v>
      </c>
      <c r="M6" s="3" t="s">
        <v>21</v>
      </c>
      <c r="N6" s="3">
        <v>1.0</v>
      </c>
    </row>
    <row r="7">
      <c r="A7" s="3" t="s">
        <v>36</v>
      </c>
      <c r="B7" s="9" t="str">
        <f t="shared" si="1"/>
        <v>ADMAA (ASSO DEFENSE MUSIQUES ALTERNATIVES)</v>
      </c>
      <c r="C7" s="3">
        <v>4.89563072E8</v>
      </c>
      <c r="D7" s="3" t="s">
        <v>38</v>
      </c>
      <c r="E7" s="4">
        <v>43133.0</v>
      </c>
      <c r="F7" s="3" t="s">
        <v>39</v>
      </c>
      <c r="G7" s="3" t="s">
        <v>37</v>
      </c>
      <c r="H7" s="3" t="str">
        <f t="shared" si="2"/>
        <v>40000.00</v>
      </c>
      <c r="I7" s="3" t="s">
        <v>17</v>
      </c>
      <c r="J7" s="3" t="s">
        <v>18</v>
      </c>
      <c r="K7" s="3" t="s">
        <v>40</v>
      </c>
      <c r="L7" s="3" t="s">
        <v>20</v>
      </c>
      <c r="M7" s="3" t="s">
        <v>21</v>
      </c>
      <c r="N7" s="3">
        <v>1.0</v>
      </c>
    </row>
    <row r="8">
      <c r="A8" s="3" t="s">
        <v>41</v>
      </c>
      <c r="B8" s="9" t="str">
        <f t="shared" si="1"/>
        <v>PUBLICATION DU 26/04/2018</v>
      </c>
      <c r="H8" s="3" t="str">
        <f t="shared" si="2"/>
        <v/>
      </c>
    </row>
    <row r="9">
      <c r="A9" s="3" t="s">
        <v>42</v>
      </c>
      <c r="B9" s="9" t="str">
        <f t="shared" si="1"/>
        <v>COS PERSONNEL Bordeaux Metropole</v>
      </c>
      <c r="C9" s="3">
        <v>4.83013405E8</v>
      </c>
      <c r="D9" s="3" t="s">
        <v>44</v>
      </c>
      <c r="E9" s="4">
        <v>43091.0</v>
      </c>
      <c r="F9" s="3" t="s">
        <v>16</v>
      </c>
      <c r="G9" s="3" t="s">
        <v>43</v>
      </c>
      <c r="H9" s="3" t="str">
        <f t="shared" si="2"/>
        <v>1680000.00</v>
      </c>
      <c r="I9" s="3" t="s">
        <v>17</v>
      </c>
      <c r="J9" s="3" t="s">
        <v>18</v>
      </c>
      <c r="K9" s="3" t="s">
        <v>26</v>
      </c>
      <c r="L9" s="3" t="s">
        <v>20</v>
      </c>
      <c r="M9" s="3" t="s">
        <v>21</v>
      </c>
      <c r="N9" s="3">
        <v>1.0</v>
      </c>
    </row>
    <row r="10">
      <c r="A10" s="3" t="s">
        <v>45</v>
      </c>
      <c r="B10" s="9" t="str">
        <f t="shared" si="1"/>
        <v>UFASEC</v>
      </c>
      <c r="C10" s="3">
        <v>7.89105954E8</v>
      </c>
      <c r="D10" s="3" t="s">
        <v>47</v>
      </c>
      <c r="E10" s="4">
        <v>43091.0</v>
      </c>
      <c r="F10" s="3" t="s">
        <v>16</v>
      </c>
      <c r="G10" s="3" t="s">
        <v>46</v>
      </c>
      <c r="H10" s="3" t="str">
        <f t="shared" si="2"/>
        <v>10870.00</v>
      </c>
      <c r="I10" s="3" t="s">
        <v>17</v>
      </c>
      <c r="J10" s="3" t="s">
        <v>48</v>
      </c>
      <c r="K10" s="3" t="s">
        <v>26</v>
      </c>
      <c r="L10" s="3" t="s">
        <v>20</v>
      </c>
      <c r="M10" s="3" t="s">
        <v>21</v>
      </c>
      <c r="N10" s="3">
        <v>1.0</v>
      </c>
    </row>
    <row r="11">
      <c r="A11" s="3" t="s">
        <v>49</v>
      </c>
      <c r="B11" s="9" t="str">
        <f t="shared" si="1"/>
        <v>ARTS &amp; LOISIRS D'ARLAC</v>
      </c>
      <c r="C11" s="3">
        <v>3.06040312E8</v>
      </c>
      <c r="D11" s="3" t="s">
        <v>51</v>
      </c>
      <c r="E11" s="4">
        <v>43130.0</v>
      </c>
      <c r="F11" s="3" t="s">
        <v>16</v>
      </c>
      <c r="G11" s="3" t="s">
        <v>50</v>
      </c>
      <c r="H11" s="3" t="str">
        <f t="shared" si="2"/>
        <v>7900.00</v>
      </c>
      <c r="I11" s="3" t="s">
        <v>17</v>
      </c>
      <c r="J11" s="3" t="s">
        <v>18</v>
      </c>
      <c r="K11" s="3" t="s">
        <v>52</v>
      </c>
      <c r="L11" s="3" t="s">
        <v>20</v>
      </c>
      <c r="M11" s="3" t="s">
        <v>21</v>
      </c>
      <c r="N11" s="3">
        <v>1.0</v>
      </c>
    </row>
    <row r="12">
      <c r="A12" s="3" t="s">
        <v>53</v>
      </c>
      <c r="B12" s="9" t="str">
        <f t="shared" si="1"/>
        <v>CIJA</v>
      </c>
      <c r="C12" s="3">
        <v>3.06564279E8</v>
      </c>
      <c r="D12" s="3" t="s">
        <v>55</v>
      </c>
      <c r="E12" s="4">
        <v>43126.0</v>
      </c>
      <c r="F12" s="3" t="s">
        <v>16</v>
      </c>
      <c r="G12" s="3" t="s">
        <v>54</v>
      </c>
      <c r="H12" s="3" t="str">
        <f t="shared" si="2"/>
        <v>32000.00</v>
      </c>
      <c r="I12" s="3" t="s">
        <v>17</v>
      </c>
      <c r="J12" s="3" t="s">
        <v>18</v>
      </c>
      <c r="K12" s="3" t="s">
        <v>56</v>
      </c>
      <c r="L12" s="3" t="s">
        <v>20</v>
      </c>
      <c r="M12" s="3" t="s">
        <v>21</v>
      </c>
      <c r="N12" s="3">
        <v>1.0</v>
      </c>
    </row>
    <row r="13">
      <c r="A13" s="3" t="s">
        <v>57</v>
      </c>
      <c r="B13" s="9" t="str">
        <f t="shared" si="1"/>
        <v>MÉMOIRE DE BORDEAUX</v>
      </c>
      <c r="C13" s="3">
        <v>3.42215456E8</v>
      </c>
      <c r="D13" s="3" t="s">
        <v>59</v>
      </c>
      <c r="E13" s="4">
        <v>43126.0</v>
      </c>
      <c r="F13" s="3" t="s">
        <v>16</v>
      </c>
      <c r="G13" s="3" t="s">
        <v>58</v>
      </c>
      <c r="H13" s="3" t="str">
        <f t="shared" si="2"/>
        <v>96187.50</v>
      </c>
      <c r="I13" s="3" t="s">
        <v>17</v>
      </c>
      <c r="J13" s="3" t="s">
        <v>18</v>
      </c>
      <c r="K13" s="3" t="s">
        <v>60</v>
      </c>
      <c r="L13" s="3" t="s">
        <v>20</v>
      </c>
      <c r="M13" s="3" t="s">
        <v>21</v>
      </c>
      <c r="N13" s="3">
        <v>1.0</v>
      </c>
    </row>
    <row r="14">
      <c r="A14" s="3" t="s">
        <v>61</v>
      </c>
      <c r="B14" s="9" t="str">
        <f t="shared" si="1"/>
        <v>AURBA</v>
      </c>
      <c r="C14" s="3">
        <v>7.81814488E8</v>
      </c>
      <c r="D14" s="3" t="s">
        <v>63</v>
      </c>
      <c r="E14" s="4">
        <v>43136.0</v>
      </c>
      <c r="F14" s="3" t="s">
        <v>16</v>
      </c>
      <c r="G14" s="3" t="s">
        <v>62</v>
      </c>
      <c r="H14" s="3" t="str">
        <f t="shared" si="2"/>
        <v>4372007.00</v>
      </c>
      <c r="I14" s="3" t="s">
        <v>17</v>
      </c>
      <c r="J14" s="3" t="s">
        <v>18</v>
      </c>
      <c r="K14" s="3" t="s">
        <v>64</v>
      </c>
      <c r="L14" s="3" t="s">
        <v>20</v>
      </c>
      <c r="M14" s="3" t="s">
        <v>21</v>
      </c>
      <c r="N14" s="3">
        <v>1.0</v>
      </c>
    </row>
    <row r="15">
      <c r="A15" s="3" t="s">
        <v>65</v>
      </c>
      <c r="B15" s="9" t="str">
        <f t="shared" si="1"/>
        <v>UBM</v>
      </c>
      <c r="C15" s="3">
        <v>4.18921409E8</v>
      </c>
      <c r="D15" s="3" t="s">
        <v>67</v>
      </c>
      <c r="E15" s="4">
        <v>43143.0</v>
      </c>
      <c r="F15" s="3" t="s">
        <v>16</v>
      </c>
      <c r="G15" s="3" t="s">
        <v>66</v>
      </c>
      <c r="H15" s="3" t="str">
        <f t="shared" si="2"/>
        <v>77000.00</v>
      </c>
      <c r="I15" s="3" t="s">
        <v>17</v>
      </c>
      <c r="J15" s="3" t="s">
        <v>18</v>
      </c>
      <c r="K15" s="3" t="s">
        <v>68</v>
      </c>
      <c r="L15" s="3" t="s">
        <v>20</v>
      </c>
      <c r="M15" s="3" t="s">
        <v>21</v>
      </c>
      <c r="N15" s="3">
        <v>1.0</v>
      </c>
    </row>
    <row r="16">
      <c r="A16" s="3" t="s">
        <v>69</v>
      </c>
      <c r="B16" s="9" t="str">
        <f t="shared" si="1"/>
        <v>JIB (JUMPING INTERNATIONAL DE BORDEAUX)</v>
      </c>
      <c r="C16" s="3">
        <v>4.20252348E8</v>
      </c>
      <c r="D16" s="3" t="s">
        <v>71</v>
      </c>
      <c r="E16" s="4">
        <v>43160.0</v>
      </c>
      <c r="F16" s="3" t="s">
        <v>72</v>
      </c>
      <c r="G16" s="3" t="s">
        <v>70</v>
      </c>
      <c r="H16" s="3" t="str">
        <f t="shared" si="2"/>
        <v>34000.00</v>
      </c>
      <c r="I16" s="3" t="s">
        <v>17</v>
      </c>
      <c r="J16" s="3" t="s">
        <v>18</v>
      </c>
      <c r="K16" s="3" t="s">
        <v>73</v>
      </c>
      <c r="L16" s="3" t="s">
        <v>20</v>
      </c>
      <c r="M16" s="3" t="s">
        <v>21</v>
      </c>
      <c r="N16" s="3">
        <v>1.0</v>
      </c>
    </row>
    <row r="17">
      <c r="A17" s="3" t="s">
        <v>74</v>
      </c>
      <c r="B17" s="9" t="str">
        <f t="shared" si="1"/>
        <v>CSDL (caisse sociale de dév local)</v>
      </c>
      <c r="C17" s="3">
        <v>4.19009105E8</v>
      </c>
      <c r="D17" s="3" t="s">
        <v>76</v>
      </c>
      <c r="E17" s="4">
        <v>43161.0</v>
      </c>
      <c r="F17" s="3" t="s">
        <v>16</v>
      </c>
      <c r="G17" s="3" t="s">
        <v>75</v>
      </c>
      <c r="H17" s="3" t="str">
        <f t="shared" si="2"/>
        <v>38000.00</v>
      </c>
      <c r="I17" s="3" t="s">
        <v>17</v>
      </c>
      <c r="J17" s="3" t="s">
        <v>18</v>
      </c>
      <c r="K17" s="3" t="s">
        <v>77</v>
      </c>
      <c r="L17" s="3" t="s">
        <v>20</v>
      </c>
      <c r="M17" s="3" t="s">
        <v>21</v>
      </c>
      <c r="N17" s="3">
        <v>1.0</v>
      </c>
    </row>
    <row r="18">
      <c r="A18" s="3" t="s">
        <v>78</v>
      </c>
      <c r="B18" s="9" t="str">
        <f t="shared" si="1"/>
        <v>PAIN ET PARTAGE SAS</v>
      </c>
      <c r="C18" s="3">
        <v>8.32333181E8</v>
      </c>
      <c r="D18" s="3" t="s">
        <v>80</v>
      </c>
      <c r="E18" s="4">
        <v>43161.0</v>
      </c>
      <c r="F18" s="3" t="s">
        <v>81</v>
      </c>
      <c r="G18" s="3" t="s">
        <v>79</v>
      </c>
      <c r="H18" s="3" t="str">
        <f t="shared" si="2"/>
        <v>60000.00</v>
      </c>
      <c r="I18" s="3" t="s">
        <v>17</v>
      </c>
      <c r="J18" s="3" t="s">
        <v>18</v>
      </c>
      <c r="K18" s="3" t="s">
        <v>77</v>
      </c>
      <c r="L18" s="3" t="s">
        <v>20</v>
      </c>
      <c r="M18" s="3" t="s">
        <v>21</v>
      </c>
      <c r="N18" s="3">
        <v>1.0</v>
      </c>
    </row>
    <row r="19">
      <c r="A19" s="3" t="s">
        <v>27</v>
      </c>
      <c r="B19" s="9" t="str">
        <f t="shared" si="1"/>
        <v>FABRIQUE POLA</v>
      </c>
      <c r="C19" s="3">
        <v>4.44337588E8</v>
      </c>
      <c r="D19" s="3" t="s">
        <v>82</v>
      </c>
      <c r="E19" s="4">
        <v>43172.0</v>
      </c>
      <c r="F19" s="3" t="s">
        <v>16</v>
      </c>
      <c r="G19" s="3" t="s">
        <v>28</v>
      </c>
      <c r="H19" s="3" t="str">
        <f t="shared" si="2"/>
        <v>114000.00</v>
      </c>
      <c r="I19" s="3" t="s">
        <v>17</v>
      </c>
      <c r="J19" s="3" t="s">
        <v>18</v>
      </c>
      <c r="K19" s="3" t="s">
        <v>83</v>
      </c>
      <c r="L19" s="3" t="s">
        <v>20</v>
      </c>
      <c r="M19" s="3" t="s">
        <v>21</v>
      </c>
      <c r="N19" s="3">
        <v>1.0</v>
      </c>
    </row>
    <row r="20">
      <c r="A20" s="3" t="s">
        <v>84</v>
      </c>
      <c r="B20" s="9" t="str">
        <f t="shared" si="1"/>
        <v>MUSIQUES DE NUIT DIFFUSION</v>
      </c>
      <c r="C20" s="3">
        <v>3.4169319E8</v>
      </c>
      <c r="D20" s="3" t="s">
        <v>86</v>
      </c>
      <c r="E20" s="4">
        <v>43174.0</v>
      </c>
      <c r="F20" s="3" t="s">
        <v>87</v>
      </c>
      <c r="G20" s="3" t="s">
        <v>85</v>
      </c>
      <c r="H20" s="3" t="str">
        <f t="shared" si="2"/>
        <v>35000.00</v>
      </c>
      <c r="I20" s="3" t="s">
        <v>17</v>
      </c>
      <c r="J20" s="3" t="s">
        <v>18</v>
      </c>
      <c r="K20" s="3" t="s">
        <v>88</v>
      </c>
      <c r="L20" s="3" t="s">
        <v>20</v>
      </c>
      <c r="M20" s="3" t="s">
        <v>21</v>
      </c>
      <c r="N20" s="3">
        <v>1.0</v>
      </c>
    </row>
    <row r="21">
      <c r="A21" s="3" t="s">
        <v>0</v>
      </c>
      <c r="B21" s="9" t="str">
        <f t="shared" si="1"/>
        <v>idBeneficiaire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1</v>
      </c>
      <c r="H21" s="3" t="str">
        <f t="shared" si="2"/>
        <v>montant</v>
      </c>
      <c r="I21" s="3" t="s">
        <v>6</v>
      </c>
      <c r="J21" s="3" t="s">
        <v>7</v>
      </c>
      <c r="K21" s="3" t="s">
        <v>8</v>
      </c>
      <c r="L21" s="3" t="s">
        <v>9</v>
      </c>
      <c r="M21" s="3" t="s">
        <v>10</v>
      </c>
      <c r="N21" s="3" t="s">
        <v>11</v>
      </c>
    </row>
    <row r="22">
      <c r="A22" s="3" t="s">
        <v>89</v>
      </c>
      <c r="B22" s="9" t="str">
        <f t="shared" si="1"/>
        <v>ASSO EUROPEENNE DU FILM ANIMATION</v>
      </c>
      <c r="C22" s="3">
        <v>5.09079794E8</v>
      </c>
      <c r="D22" s="3" t="s">
        <v>91</v>
      </c>
      <c r="E22" s="4">
        <v>43185.0</v>
      </c>
      <c r="F22" s="3" t="s">
        <v>92</v>
      </c>
      <c r="G22" s="3" t="s">
        <v>90</v>
      </c>
      <c r="H22" s="3" t="str">
        <f t="shared" si="2"/>
        <v>150000.00</v>
      </c>
      <c r="I22" s="3" t="s">
        <v>17</v>
      </c>
      <c r="J22" s="3" t="s">
        <v>18</v>
      </c>
      <c r="K22" s="3" t="s">
        <v>93</v>
      </c>
      <c r="L22" s="3" t="s">
        <v>20</v>
      </c>
      <c r="M22" s="3" t="s">
        <v>21</v>
      </c>
      <c r="N22" s="3">
        <v>1.0</v>
      </c>
    </row>
    <row r="23">
      <c r="A23" s="3" t="s">
        <v>94</v>
      </c>
      <c r="B23" s="9" t="str">
        <f t="shared" si="1"/>
        <v>PUBLICATION du 03/07/2018</v>
      </c>
      <c r="H23" s="3" t="str">
        <f t="shared" si="2"/>
        <v/>
      </c>
    </row>
    <row r="24">
      <c r="A24" s="3" t="s">
        <v>95</v>
      </c>
      <c r="B24" s="9" t="str">
        <f t="shared" si="1"/>
        <v>UNIS CITES</v>
      </c>
      <c r="C24" s="3">
        <v>3.98191569E8</v>
      </c>
      <c r="D24" s="3" t="s">
        <v>97</v>
      </c>
      <c r="E24" s="4">
        <v>43124.0</v>
      </c>
      <c r="F24" s="3" t="s">
        <v>16</v>
      </c>
      <c r="G24" s="3" t="s">
        <v>96</v>
      </c>
      <c r="H24" s="3" t="str">
        <f t="shared" si="2"/>
        <v>49000.00</v>
      </c>
      <c r="I24" s="3" t="s">
        <v>17</v>
      </c>
      <c r="J24" s="3" t="s">
        <v>18</v>
      </c>
      <c r="K24" s="3" t="s">
        <v>98</v>
      </c>
      <c r="L24" s="3" t="s">
        <v>20</v>
      </c>
      <c r="M24" s="3" t="s">
        <v>21</v>
      </c>
      <c r="N24" s="3">
        <v>1.0</v>
      </c>
    </row>
    <row r="25">
      <c r="A25" s="3" t="s">
        <v>99</v>
      </c>
      <c r="B25" s="9" t="str">
        <f t="shared" si="1"/>
        <v>STADE BORDELAIS ASPTT</v>
      </c>
      <c r="C25" s="3">
        <v>7.81843594E8</v>
      </c>
      <c r="D25" s="3" t="s">
        <v>101</v>
      </c>
      <c r="E25" s="4">
        <v>43182.0</v>
      </c>
      <c r="F25" s="3" t="s">
        <v>102</v>
      </c>
      <c r="G25" s="3" t="s">
        <v>100</v>
      </c>
      <c r="H25" s="3" t="str">
        <f t="shared" si="2"/>
        <v>65000.00</v>
      </c>
      <c r="I25" s="3" t="s">
        <v>17</v>
      </c>
      <c r="J25" s="3" t="s">
        <v>18</v>
      </c>
      <c r="K25" s="3" t="s">
        <v>103</v>
      </c>
      <c r="L25" s="3" t="s">
        <v>20</v>
      </c>
      <c r="M25" s="3" t="s">
        <v>21</v>
      </c>
      <c r="N25" s="3">
        <v>1.0</v>
      </c>
    </row>
    <row r="26">
      <c r="A26" s="3" t="s">
        <v>104</v>
      </c>
      <c r="B26" s="9" t="str">
        <f t="shared" si="1"/>
        <v>SEMER LE DOUTE</v>
      </c>
      <c r="C26" s="3">
        <v>5.33896825E8</v>
      </c>
      <c r="D26" s="3" t="s">
        <v>106</v>
      </c>
      <c r="E26" s="4">
        <v>43222.0</v>
      </c>
      <c r="F26" s="3" t="s">
        <v>107</v>
      </c>
      <c r="G26" s="3" t="s">
        <v>105</v>
      </c>
      <c r="H26" s="3" t="str">
        <f t="shared" si="2"/>
        <v>15000.00</v>
      </c>
      <c r="I26" s="3" t="s">
        <v>17</v>
      </c>
      <c r="J26" s="3" t="s">
        <v>18</v>
      </c>
      <c r="K26" s="3" t="s">
        <v>108</v>
      </c>
      <c r="L26" s="3" t="s">
        <v>20</v>
      </c>
      <c r="M26" s="3" t="s">
        <v>21</v>
      </c>
      <c r="N26" s="3">
        <v>1.0</v>
      </c>
    </row>
    <row r="27">
      <c r="A27" s="3" t="s">
        <v>109</v>
      </c>
      <c r="B27" s="9" t="str">
        <f t="shared" si="1"/>
        <v>SUPERCOOP SAS</v>
      </c>
      <c r="C27" s="3">
        <v>8.25241318E8</v>
      </c>
      <c r="D27" s="3" t="s">
        <v>111</v>
      </c>
      <c r="E27" s="4">
        <v>43208.0</v>
      </c>
      <c r="F27" s="3" t="s">
        <v>16</v>
      </c>
      <c r="G27" s="3" t="s">
        <v>110</v>
      </c>
      <c r="H27" s="3" t="str">
        <f t="shared" si="2"/>
        <v>24176.00</v>
      </c>
      <c r="I27" s="3" t="s">
        <v>17</v>
      </c>
      <c r="J27" s="3" t="s">
        <v>18</v>
      </c>
      <c r="K27" s="3" t="s">
        <v>112</v>
      </c>
      <c r="L27" s="3" t="s">
        <v>20</v>
      </c>
      <c r="M27" s="3" t="s">
        <v>21</v>
      </c>
      <c r="N27" s="3">
        <v>1.0</v>
      </c>
    </row>
    <row r="28">
      <c r="A28" s="3" t="s">
        <v>113</v>
      </c>
      <c r="B28" s="9" t="str">
        <f t="shared" si="1"/>
        <v>ALEC agence locale de l'énergie</v>
      </c>
      <c r="C28" s="3">
        <v>4.95009441E8</v>
      </c>
      <c r="D28" s="3" t="s">
        <v>115</v>
      </c>
      <c r="E28" s="4">
        <v>43235.0</v>
      </c>
      <c r="F28" s="3" t="s">
        <v>16</v>
      </c>
      <c r="G28" s="3" t="s">
        <v>114</v>
      </c>
      <c r="H28" s="3" t="str">
        <f t="shared" si="2"/>
        <v>137000.00</v>
      </c>
      <c r="I28" s="3" t="s">
        <v>17</v>
      </c>
      <c r="J28" s="3" t="s">
        <v>18</v>
      </c>
      <c r="K28" s="3" t="s">
        <v>116</v>
      </c>
      <c r="L28" s="3" t="s">
        <v>20</v>
      </c>
      <c r="M28" s="3" t="s">
        <v>21</v>
      </c>
      <c r="N28" s="3">
        <v>1.0</v>
      </c>
    </row>
    <row r="29">
      <c r="A29" s="3" t="s">
        <v>117</v>
      </c>
      <c r="B29" s="9" t="str">
        <f t="shared" si="1"/>
        <v>BORDEAUX OPEN AIR</v>
      </c>
      <c r="C29" s="3">
        <v>8.21354933E8</v>
      </c>
      <c r="D29" s="3" t="s">
        <v>119</v>
      </c>
      <c r="E29" s="4">
        <v>43244.0</v>
      </c>
      <c r="F29" s="3" t="s">
        <v>120</v>
      </c>
      <c r="G29" s="3" t="s">
        <v>118</v>
      </c>
      <c r="H29" s="3" t="str">
        <f t="shared" si="2"/>
        <v>10000.00</v>
      </c>
      <c r="I29" s="3" t="s">
        <v>17</v>
      </c>
      <c r="J29" s="3" t="s">
        <v>18</v>
      </c>
      <c r="K29" s="3" t="s">
        <v>121</v>
      </c>
      <c r="L29" s="3" t="s">
        <v>20</v>
      </c>
      <c r="M29" s="3" t="s">
        <v>21</v>
      </c>
      <c r="N29" s="3">
        <v>1.0</v>
      </c>
    </row>
    <row r="30">
      <c r="A30" s="3" t="s">
        <v>122</v>
      </c>
      <c r="B30" s="9" t="str">
        <f t="shared" si="1"/>
        <v>IDDAC</v>
      </c>
      <c r="C30" s="3">
        <v>3.83890233E8</v>
      </c>
      <c r="D30" s="3" t="s">
        <v>124</v>
      </c>
      <c r="E30" s="4">
        <v>43248.0</v>
      </c>
      <c r="F30" s="3" t="s">
        <v>125</v>
      </c>
      <c r="G30" s="3" t="s">
        <v>123</v>
      </c>
      <c r="H30" s="3" t="str">
        <f t="shared" si="2"/>
        <v>17500.00</v>
      </c>
      <c r="I30" s="3" t="s">
        <v>17</v>
      </c>
      <c r="J30" s="3" t="s">
        <v>18</v>
      </c>
      <c r="K30" s="3" t="s">
        <v>126</v>
      </c>
      <c r="L30" s="3" t="s">
        <v>20</v>
      </c>
      <c r="M30" s="3" t="s">
        <v>21</v>
      </c>
      <c r="N30" s="3">
        <v>1.0</v>
      </c>
    </row>
    <row r="31">
      <c r="A31" s="3" t="s">
        <v>127</v>
      </c>
      <c r="B31" s="9" t="str">
        <f t="shared" si="1"/>
        <v>TRAFIC</v>
      </c>
      <c r="C31" s="3">
        <v>7.89632254E8</v>
      </c>
      <c r="D31" s="3" t="s">
        <v>119</v>
      </c>
      <c r="E31" s="4">
        <v>43250.0</v>
      </c>
      <c r="F31" s="3" t="s">
        <v>120</v>
      </c>
      <c r="G31" s="3" t="s">
        <v>118</v>
      </c>
      <c r="H31" s="3" t="str">
        <f t="shared" si="2"/>
        <v>10000.00</v>
      </c>
      <c r="I31" s="3" t="s">
        <v>17</v>
      </c>
      <c r="J31" s="3" t="s">
        <v>18</v>
      </c>
      <c r="K31" s="3" t="s">
        <v>128</v>
      </c>
      <c r="L31" s="3" t="s">
        <v>20</v>
      </c>
      <c r="M31" s="3" t="s">
        <v>21</v>
      </c>
      <c r="N31" s="3">
        <v>1.0</v>
      </c>
    </row>
    <row r="32">
      <c r="A32" s="3" t="s">
        <v>129</v>
      </c>
      <c r="B32" s="9" t="str">
        <f t="shared" si="1"/>
        <v>ARIANE PRODUCTIONS</v>
      </c>
      <c r="C32" s="3">
        <v>4.38794034E8</v>
      </c>
      <c r="D32" s="3" t="s">
        <v>119</v>
      </c>
      <c r="E32" s="4">
        <v>43244.0</v>
      </c>
      <c r="F32" s="3" t="s">
        <v>120</v>
      </c>
      <c r="G32" s="3" t="s">
        <v>130</v>
      </c>
      <c r="H32" s="3" t="str">
        <f t="shared" si="2"/>
        <v>9610.00</v>
      </c>
      <c r="I32" s="3" t="s">
        <v>17</v>
      </c>
      <c r="J32" s="3" t="s">
        <v>18</v>
      </c>
      <c r="K32" s="3" t="s">
        <v>121</v>
      </c>
      <c r="L32" s="3" t="s">
        <v>20</v>
      </c>
      <c r="M32" s="3" t="s">
        <v>21</v>
      </c>
      <c r="N32" s="3">
        <v>1.0</v>
      </c>
    </row>
    <row r="33">
      <c r="A33" s="3" t="s">
        <v>131</v>
      </c>
      <c r="B33" s="9" t="str">
        <f t="shared" si="1"/>
        <v>CSDL (caisse sociale dév local)</v>
      </c>
      <c r="C33" s="3">
        <v>4.19009105E8</v>
      </c>
      <c r="D33" s="3" t="s">
        <v>132</v>
      </c>
      <c r="E33" s="4">
        <v>43252.0</v>
      </c>
      <c r="F33" s="3" t="s">
        <v>133</v>
      </c>
      <c r="G33" s="3" t="s">
        <v>75</v>
      </c>
      <c r="H33" s="3" t="str">
        <f t="shared" si="2"/>
        <v>38000.00</v>
      </c>
      <c r="I33" s="3" t="s">
        <v>17</v>
      </c>
      <c r="J33" s="3" t="s">
        <v>18</v>
      </c>
      <c r="K33" s="3" t="s">
        <v>134</v>
      </c>
      <c r="L33" s="3" t="s">
        <v>20</v>
      </c>
      <c r="M33" s="3" t="s">
        <v>21</v>
      </c>
      <c r="N33" s="3">
        <v>1.0</v>
      </c>
    </row>
    <row r="34">
      <c r="A34" s="3" t="s">
        <v>122</v>
      </c>
      <c r="B34" s="9" t="str">
        <f t="shared" si="1"/>
        <v>IDDAC</v>
      </c>
      <c r="C34" s="3">
        <v>3.83890233E8</v>
      </c>
      <c r="D34" s="3" t="s">
        <v>119</v>
      </c>
      <c r="E34" s="4">
        <v>43252.0</v>
      </c>
      <c r="F34" s="3" t="s">
        <v>120</v>
      </c>
      <c r="G34" s="3" t="s">
        <v>135</v>
      </c>
      <c r="H34" s="3" t="str">
        <f t="shared" si="2"/>
        <v>17000.00</v>
      </c>
      <c r="I34" s="3" t="s">
        <v>17</v>
      </c>
      <c r="J34" s="3" t="s">
        <v>18</v>
      </c>
      <c r="K34" s="3" t="s">
        <v>134</v>
      </c>
      <c r="L34" s="3" t="s">
        <v>20</v>
      </c>
      <c r="M34" s="3" t="s">
        <v>21</v>
      </c>
      <c r="N34" s="3">
        <v>1.0</v>
      </c>
    </row>
    <row r="35">
      <c r="A35" s="3" t="s">
        <v>136</v>
      </c>
      <c r="B35" s="9" t="str">
        <f t="shared" si="1"/>
        <v>ATIS</v>
      </c>
      <c r="C35" s="3">
        <v>5.22896091E8</v>
      </c>
      <c r="D35" s="3" t="s">
        <v>132</v>
      </c>
      <c r="E35" s="4">
        <v>43255.0</v>
      </c>
      <c r="F35" s="3" t="s">
        <v>133</v>
      </c>
      <c r="G35" s="3" t="s">
        <v>137</v>
      </c>
      <c r="H35" s="3" t="str">
        <f t="shared" si="2"/>
        <v>42750.00</v>
      </c>
      <c r="I35" s="3" t="s">
        <v>17</v>
      </c>
      <c r="J35" s="3" t="s">
        <v>18</v>
      </c>
      <c r="K35" s="3" t="s">
        <v>138</v>
      </c>
      <c r="L35" s="3" t="s">
        <v>20</v>
      </c>
      <c r="M35" s="3" t="s">
        <v>21</v>
      </c>
      <c r="N35" s="3">
        <v>1.0</v>
      </c>
    </row>
    <row r="36">
      <c r="A36" s="3" t="s">
        <v>139</v>
      </c>
      <c r="B36" s="9" t="str">
        <f t="shared" si="1"/>
        <v>BORDEAUX ROCK</v>
      </c>
      <c r="C36" s="3">
        <v>4.80293711E8</v>
      </c>
      <c r="D36" s="3" t="s">
        <v>140</v>
      </c>
      <c r="E36" s="4">
        <v>43252.0</v>
      </c>
      <c r="F36" s="3" t="s">
        <v>141</v>
      </c>
      <c r="G36" s="3" t="s">
        <v>33</v>
      </c>
      <c r="H36" s="3" t="str">
        <f t="shared" si="2"/>
        <v>5000.00</v>
      </c>
      <c r="I36" s="3" t="s">
        <v>17</v>
      </c>
      <c r="J36" s="3" t="s">
        <v>18</v>
      </c>
      <c r="K36" s="3" t="s">
        <v>134</v>
      </c>
      <c r="L36" s="3" t="s">
        <v>20</v>
      </c>
      <c r="M36" s="3" t="s">
        <v>21</v>
      </c>
      <c r="N36" s="3">
        <v>1.0</v>
      </c>
    </row>
    <row r="37">
      <c r="A37" s="3" t="s">
        <v>142</v>
      </c>
      <c r="B37" s="9" t="str">
        <f t="shared" si="1"/>
        <v>CIE LES MARCHES DE L'ÉTÉ</v>
      </c>
      <c r="C37" s="3">
        <v>3.28480082E8</v>
      </c>
      <c r="D37" s="3" t="s">
        <v>143</v>
      </c>
      <c r="E37" s="4">
        <v>43252.0</v>
      </c>
      <c r="F37" s="3" t="s">
        <v>144</v>
      </c>
      <c r="G37" s="3" t="s">
        <v>105</v>
      </c>
      <c r="H37" s="3" t="str">
        <f t="shared" si="2"/>
        <v>15000.00</v>
      </c>
      <c r="I37" s="3" t="s">
        <v>17</v>
      </c>
      <c r="J37" s="3" t="s">
        <v>18</v>
      </c>
      <c r="K37" s="3" t="s">
        <v>134</v>
      </c>
      <c r="L37" s="3" t="s">
        <v>20</v>
      </c>
      <c r="M37" s="3" t="s">
        <v>21</v>
      </c>
      <c r="N37" s="3">
        <v>1.0</v>
      </c>
    </row>
    <row r="38">
      <c r="A38" s="3" t="s">
        <v>145</v>
      </c>
      <c r="B38" s="9" t="str">
        <f t="shared" si="1"/>
        <v>VELO CITE</v>
      </c>
      <c r="C38" s="3">
        <v>4.32883825E8</v>
      </c>
      <c r="D38" s="3" t="s">
        <v>146</v>
      </c>
      <c r="E38" s="4">
        <v>43251.0</v>
      </c>
      <c r="F38" s="3" t="s">
        <v>16</v>
      </c>
      <c r="G38" s="3" t="s">
        <v>33</v>
      </c>
      <c r="H38" s="3" t="str">
        <f t="shared" si="2"/>
        <v>5000.00</v>
      </c>
      <c r="I38" s="3" t="s">
        <v>17</v>
      </c>
      <c r="J38" s="3" t="s">
        <v>18</v>
      </c>
      <c r="K38" s="3" t="s">
        <v>147</v>
      </c>
      <c r="L38" s="3" t="s">
        <v>20</v>
      </c>
      <c r="M38" s="3" t="s">
        <v>21</v>
      </c>
      <c r="N38" s="3">
        <v>1.0</v>
      </c>
    </row>
    <row r="39">
      <c r="A39" s="3" t="s">
        <v>148</v>
      </c>
      <c r="B39" s="9" t="str">
        <f t="shared" si="1"/>
        <v>CHAHUTS</v>
      </c>
      <c r="C39" s="3">
        <v>4.02652853E8</v>
      </c>
      <c r="D39" s="3" t="s">
        <v>119</v>
      </c>
      <c r="E39" s="4">
        <v>43252.0</v>
      </c>
      <c r="F39" s="3" t="s">
        <v>120</v>
      </c>
      <c r="G39" s="3" t="s">
        <v>149</v>
      </c>
      <c r="H39" s="3" t="str">
        <f t="shared" si="2"/>
        <v>30000.00</v>
      </c>
      <c r="I39" s="3" t="s">
        <v>17</v>
      </c>
      <c r="J39" s="3" t="s">
        <v>18</v>
      </c>
      <c r="K39" s="3" t="s">
        <v>134</v>
      </c>
      <c r="L39" s="3" t="s">
        <v>20</v>
      </c>
      <c r="M39" s="3" t="s">
        <v>21</v>
      </c>
      <c r="N39" s="3">
        <v>1.0</v>
      </c>
    </row>
    <row r="40">
      <c r="A40" s="3" t="s">
        <v>150</v>
      </c>
      <c r="B40" s="9" t="str">
        <f t="shared" si="1"/>
        <v>BORDEAUX FOOD CLUB</v>
      </c>
      <c r="C40" s="3">
        <v>8.2239982E8</v>
      </c>
      <c r="D40" s="3" t="s">
        <v>119</v>
      </c>
      <c r="E40" s="4">
        <v>43247.0</v>
      </c>
      <c r="F40" s="3" t="s">
        <v>120</v>
      </c>
      <c r="G40" s="3" t="s">
        <v>151</v>
      </c>
      <c r="H40" s="3" t="str">
        <f t="shared" si="2"/>
        <v>19025.00</v>
      </c>
      <c r="I40" s="3" t="s">
        <v>17</v>
      </c>
      <c r="J40" s="3" t="s">
        <v>18</v>
      </c>
      <c r="K40" s="3" t="s">
        <v>152</v>
      </c>
      <c r="L40" s="3" t="s">
        <v>20</v>
      </c>
      <c r="M40" s="3" t="s">
        <v>21</v>
      </c>
      <c r="N40" s="3">
        <v>1.0</v>
      </c>
    </row>
    <row r="41">
      <c r="A41" s="3" t="s">
        <v>153</v>
      </c>
      <c r="B41" s="9" t="str">
        <f t="shared" si="1"/>
        <v>ECOSITE DU BOURGAILH</v>
      </c>
      <c r="C41" s="3">
        <v>4.44932446E8</v>
      </c>
      <c r="D41" s="3" t="s">
        <v>155</v>
      </c>
      <c r="E41" s="4">
        <v>43257.0</v>
      </c>
      <c r="F41" s="3" t="s">
        <v>120</v>
      </c>
      <c r="G41" s="3" t="s">
        <v>154</v>
      </c>
      <c r="H41" s="3" t="str">
        <f t="shared" si="2"/>
        <v>7700.00</v>
      </c>
      <c r="I41" s="3" t="s">
        <v>17</v>
      </c>
      <c r="J41" s="3" t="s">
        <v>18</v>
      </c>
      <c r="K41" s="3" t="s">
        <v>156</v>
      </c>
      <c r="L41" s="3" t="s">
        <v>20</v>
      </c>
      <c r="M41" s="3" t="s">
        <v>21</v>
      </c>
      <c r="N41" s="3">
        <v>1.0</v>
      </c>
    </row>
    <row r="42">
      <c r="A42" s="3" t="s">
        <v>157</v>
      </c>
      <c r="B42" s="9" t="str">
        <f t="shared" si="1"/>
        <v>ASSO TECH. FRUITS LEGUGMES GDE</v>
      </c>
      <c r="C42" s="3">
        <v>7.89145869E8</v>
      </c>
      <c r="D42" s="3" t="s">
        <v>119</v>
      </c>
      <c r="E42" s="4">
        <v>43255.0</v>
      </c>
      <c r="F42" s="3" t="s">
        <v>159</v>
      </c>
      <c r="G42" s="3" t="s">
        <v>158</v>
      </c>
      <c r="H42" s="3" t="str">
        <f t="shared" si="2"/>
        <v>23500.00</v>
      </c>
      <c r="I42" s="3" t="s">
        <v>17</v>
      </c>
      <c r="J42" s="3" t="s">
        <v>18</v>
      </c>
      <c r="K42" s="3" t="s">
        <v>138</v>
      </c>
      <c r="L42" s="3" t="s">
        <v>20</v>
      </c>
      <c r="M42" s="3" t="s">
        <v>21</v>
      </c>
      <c r="N42" s="3">
        <v>1.0</v>
      </c>
    </row>
    <row r="43">
      <c r="A43" s="3" t="s">
        <v>160</v>
      </c>
      <c r="B43" s="9" t="str">
        <f t="shared" si="1"/>
        <v>THE DESK</v>
      </c>
      <c r="C43" s="3">
        <v>8.24274781E8</v>
      </c>
      <c r="D43" s="3" t="s">
        <v>119</v>
      </c>
      <c r="E43" s="4">
        <v>43252.0</v>
      </c>
      <c r="F43" s="3" t="s">
        <v>120</v>
      </c>
      <c r="G43" s="3" t="s">
        <v>161</v>
      </c>
      <c r="H43" s="3" t="str">
        <f t="shared" si="2"/>
        <v>11000.00</v>
      </c>
      <c r="I43" s="3" t="s">
        <v>17</v>
      </c>
      <c r="J43" s="3" t="s">
        <v>18</v>
      </c>
      <c r="K43" s="3" t="s">
        <v>134</v>
      </c>
      <c r="L43" s="3" t="s">
        <v>20</v>
      </c>
      <c r="M43" s="3" t="s">
        <v>21</v>
      </c>
      <c r="N43" s="3">
        <v>1.0</v>
      </c>
    </row>
    <row r="44">
      <c r="A44" s="3" t="s">
        <v>0</v>
      </c>
      <c r="B44" s="9" t="str">
        <f t="shared" si="1"/>
        <v>idBeneficiaire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1</v>
      </c>
      <c r="H44" s="3" t="str">
        <f t="shared" si="2"/>
        <v>montant</v>
      </c>
      <c r="I44" s="3" t="s">
        <v>6</v>
      </c>
      <c r="J44" s="3" t="s">
        <v>7</v>
      </c>
      <c r="K44" s="3" t="s">
        <v>8</v>
      </c>
      <c r="L44" s="3" t="s">
        <v>9</v>
      </c>
      <c r="M44" s="3" t="s">
        <v>10</v>
      </c>
      <c r="N44" s="3" t="s">
        <v>11</v>
      </c>
    </row>
    <row r="45">
      <c r="A45" s="3" t="s">
        <v>104</v>
      </c>
      <c r="B45" s="9" t="str">
        <f t="shared" si="1"/>
        <v>SEMER LE DOUTE</v>
      </c>
      <c r="C45" s="3">
        <v>5.33896825E8</v>
      </c>
      <c r="D45" s="3" t="s">
        <v>143</v>
      </c>
      <c r="E45" s="4">
        <v>43257.0</v>
      </c>
      <c r="F45" s="3" t="s">
        <v>163</v>
      </c>
      <c r="G45" s="3" t="s">
        <v>162</v>
      </c>
      <c r="H45" s="3" t="str">
        <f t="shared" si="2"/>
        <v>26000.00</v>
      </c>
      <c r="I45" s="3" t="s">
        <v>17</v>
      </c>
      <c r="J45" s="3" t="s">
        <v>18</v>
      </c>
      <c r="K45" s="3" t="s">
        <v>156</v>
      </c>
      <c r="L45" s="3" t="s">
        <v>20</v>
      </c>
      <c r="M45" s="3" t="s">
        <v>21</v>
      </c>
      <c r="N45" s="3">
        <v>1.0</v>
      </c>
    </row>
    <row r="46">
      <c r="A46" s="3" t="s">
        <v>164</v>
      </c>
      <c r="B46" s="9" t="str">
        <f t="shared" si="1"/>
        <v>LETTRES DU MONDE</v>
      </c>
      <c r="C46" s="3">
        <v>4.52274798E8</v>
      </c>
      <c r="D46" s="3" t="s">
        <v>119</v>
      </c>
      <c r="E46" s="4">
        <v>43250.0</v>
      </c>
      <c r="F46" s="3" t="s">
        <v>120</v>
      </c>
      <c r="G46" s="3" t="s">
        <v>33</v>
      </c>
      <c r="H46" s="3" t="str">
        <f t="shared" si="2"/>
        <v>5000.00</v>
      </c>
      <c r="I46" s="3" t="s">
        <v>17</v>
      </c>
      <c r="J46" s="3" t="s">
        <v>18</v>
      </c>
      <c r="K46" s="3" t="s">
        <v>128</v>
      </c>
      <c r="L46" s="3" t="s">
        <v>20</v>
      </c>
      <c r="M46" s="3" t="s">
        <v>21</v>
      </c>
      <c r="N46" s="3">
        <v>1.0</v>
      </c>
    </row>
    <row r="47">
      <c r="A47" s="3" t="s">
        <v>165</v>
      </c>
      <c r="B47" s="9" t="str">
        <f t="shared" si="1"/>
        <v>L'IRREGULIERE</v>
      </c>
      <c r="C47" s="3">
        <v>8.33920077E8</v>
      </c>
      <c r="D47" s="3" t="s">
        <v>119</v>
      </c>
      <c r="E47" s="4">
        <v>43257.0</v>
      </c>
      <c r="F47" s="3" t="s">
        <v>120</v>
      </c>
      <c r="G47" s="3" t="s">
        <v>166</v>
      </c>
      <c r="H47" s="3" t="str">
        <f t="shared" si="2"/>
        <v>8000.00</v>
      </c>
      <c r="I47" s="3" t="s">
        <v>17</v>
      </c>
      <c r="J47" s="3" t="s">
        <v>18</v>
      </c>
      <c r="K47" s="3" t="s">
        <v>156</v>
      </c>
      <c r="L47" s="3" t="s">
        <v>20</v>
      </c>
      <c r="M47" s="3" t="s">
        <v>21</v>
      </c>
      <c r="N47" s="3">
        <v>1.0</v>
      </c>
    </row>
    <row r="48">
      <c r="A48" s="3" t="s">
        <v>36</v>
      </c>
      <c r="B48" s="9" t="str">
        <f t="shared" si="1"/>
        <v>ADMAA (ASSO DEFENSE MUSIQUES ALTERNATIVES)</v>
      </c>
      <c r="C48" s="3">
        <v>4.89563072E8</v>
      </c>
      <c r="D48" s="3" t="s">
        <v>119</v>
      </c>
      <c r="E48" s="4">
        <v>43255.0</v>
      </c>
      <c r="F48" s="3" t="s">
        <v>120</v>
      </c>
      <c r="G48" s="3" t="s">
        <v>167</v>
      </c>
      <c r="H48" s="3" t="str">
        <f t="shared" si="2"/>
        <v>20000.00</v>
      </c>
      <c r="I48" s="3" t="s">
        <v>17</v>
      </c>
      <c r="J48" s="3" t="s">
        <v>18</v>
      </c>
      <c r="K48" s="3" t="s">
        <v>138</v>
      </c>
      <c r="L48" s="3" t="s">
        <v>20</v>
      </c>
      <c r="M48" s="3" t="s">
        <v>21</v>
      </c>
      <c r="N48" s="3">
        <v>1.0</v>
      </c>
    </row>
    <row r="49">
      <c r="A49" s="3" t="s">
        <v>168</v>
      </c>
      <c r="B49" s="9" t="str">
        <f t="shared" si="1"/>
        <v>RICOCHET SONORE</v>
      </c>
      <c r="C49" s="3">
        <v>8.0910251E8</v>
      </c>
      <c r="D49" s="3" t="s">
        <v>119</v>
      </c>
      <c r="E49" s="4">
        <v>43262.0</v>
      </c>
      <c r="F49" s="3" t="s">
        <v>120</v>
      </c>
      <c r="G49" s="3" t="s">
        <v>105</v>
      </c>
      <c r="H49" s="3" t="str">
        <f t="shared" si="2"/>
        <v>15000.00</v>
      </c>
      <c r="I49" s="3" t="s">
        <v>17</v>
      </c>
      <c r="J49" s="3" t="s">
        <v>18</v>
      </c>
      <c r="K49" s="3" t="s">
        <v>169</v>
      </c>
      <c r="L49" s="3" t="s">
        <v>20</v>
      </c>
      <c r="M49" s="3" t="s">
        <v>21</v>
      </c>
      <c r="N49" s="3">
        <v>1.0</v>
      </c>
    </row>
    <row r="50">
      <c r="A50" s="3" t="s">
        <v>170</v>
      </c>
      <c r="B50" s="9" t="str">
        <f t="shared" si="1"/>
        <v>ESCALES LITTERAIRES BX AQUITAINE</v>
      </c>
      <c r="C50" s="3">
        <v>3.44264759E8</v>
      </c>
      <c r="D50" s="3" t="s">
        <v>143</v>
      </c>
      <c r="E50" s="4">
        <v>43259.0</v>
      </c>
      <c r="F50" s="3" t="s">
        <v>171</v>
      </c>
      <c r="G50" s="3" t="s">
        <v>90</v>
      </c>
      <c r="H50" s="3" t="str">
        <f t="shared" si="2"/>
        <v>150000.00</v>
      </c>
      <c r="I50" s="3" t="s">
        <v>17</v>
      </c>
      <c r="J50" s="3" t="s">
        <v>18</v>
      </c>
      <c r="K50" s="3" t="s">
        <v>172</v>
      </c>
      <c r="L50" s="3" t="s">
        <v>20</v>
      </c>
      <c r="M50" s="3" t="s">
        <v>21</v>
      </c>
      <c r="N50" s="3">
        <v>1.0</v>
      </c>
    </row>
    <row r="51">
      <c r="A51" s="3" t="s">
        <v>173</v>
      </c>
      <c r="B51" s="9" t="str">
        <f t="shared" si="1"/>
        <v>DATCHA</v>
      </c>
      <c r="C51" s="3">
        <v>8.1141156E8</v>
      </c>
      <c r="D51" s="3" t="s">
        <v>119</v>
      </c>
      <c r="E51" s="4">
        <v>43263.0</v>
      </c>
      <c r="F51" s="3" t="s">
        <v>174</v>
      </c>
      <c r="G51" s="3" t="s">
        <v>166</v>
      </c>
      <c r="H51" s="3" t="str">
        <f t="shared" si="2"/>
        <v>8000.00</v>
      </c>
      <c r="I51" s="3" t="s">
        <v>17</v>
      </c>
      <c r="J51" s="3" t="s">
        <v>18</v>
      </c>
      <c r="K51" s="3" t="s">
        <v>175</v>
      </c>
      <c r="L51" s="3" t="s">
        <v>20</v>
      </c>
      <c r="M51" s="3" t="s">
        <v>21</v>
      </c>
      <c r="N51" s="3">
        <v>1.0</v>
      </c>
    </row>
    <row r="52">
      <c r="A52" s="3" t="s">
        <v>176</v>
      </c>
      <c r="B52" s="9" t="str">
        <f t="shared" si="1"/>
        <v>MECHANIC CROUS</v>
      </c>
      <c r="C52" s="3">
        <v>7.9836587E8</v>
      </c>
      <c r="D52" s="3" t="s">
        <v>119</v>
      </c>
      <c r="E52" s="4">
        <v>43264.0</v>
      </c>
      <c r="F52" s="3" t="s">
        <v>174</v>
      </c>
      <c r="G52" s="3" t="s">
        <v>177</v>
      </c>
      <c r="H52" s="3" t="str">
        <f t="shared" si="2"/>
        <v>12600.00</v>
      </c>
      <c r="I52" s="3" t="s">
        <v>17</v>
      </c>
      <c r="J52" s="3" t="s">
        <v>18</v>
      </c>
      <c r="K52" s="3" t="s">
        <v>178</v>
      </c>
      <c r="L52" s="3" t="s">
        <v>20</v>
      </c>
      <c r="M52" s="3" t="s">
        <v>21</v>
      </c>
      <c r="N52" s="3">
        <v>1.0</v>
      </c>
    </row>
    <row r="53">
      <c r="A53" s="3" t="s">
        <v>179</v>
      </c>
      <c r="B53" s="9" t="str">
        <f t="shared" si="1"/>
        <v>ARC EN REVE</v>
      </c>
      <c r="C53" s="3">
        <v>3.21237034E8</v>
      </c>
      <c r="D53" s="3" t="s">
        <v>181</v>
      </c>
      <c r="E53" s="4">
        <v>43259.0</v>
      </c>
      <c r="F53" s="3" t="s">
        <v>16</v>
      </c>
      <c r="G53" s="3" t="s">
        <v>180</v>
      </c>
      <c r="H53" s="3" t="str">
        <f t="shared" si="2"/>
        <v>407253.00</v>
      </c>
      <c r="I53" s="3" t="s">
        <v>17</v>
      </c>
      <c r="J53" s="3" t="s">
        <v>18</v>
      </c>
      <c r="K53" s="3" t="s">
        <v>172</v>
      </c>
      <c r="L53" s="3" t="s">
        <v>20</v>
      </c>
      <c r="M53" s="3" t="s">
        <v>21</v>
      </c>
      <c r="N53" s="3">
        <v>1.0</v>
      </c>
    </row>
    <row r="54">
      <c r="A54" s="3" t="s">
        <v>182</v>
      </c>
      <c r="B54" s="9" t="str">
        <f t="shared" si="1"/>
        <v>AQUITAINE ACTIVE</v>
      </c>
      <c r="C54" s="3">
        <v>4.51546097E8</v>
      </c>
      <c r="D54" s="3" t="s">
        <v>184</v>
      </c>
      <c r="E54" s="4">
        <v>43266.0</v>
      </c>
      <c r="F54" s="3" t="s">
        <v>133</v>
      </c>
      <c r="G54" s="3" t="s">
        <v>183</v>
      </c>
      <c r="H54" s="3" t="str">
        <f t="shared" si="2"/>
        <v>33250.00</v>
      </c>
      <c r="I54" s="3" t="s">
        <v>17</v>
      </c>
      <c r="J54" s="3" t="s">
        <v>18</v>
      </c>
      <c r="K54" s="3" t="s">
        <v>185</v>
      </c>
      <c r="L54" s="3" t="s">
        <v>20</v>
      </c>
      <c r="M54" s="3" t="s">
        <v>21</v>
      </c>
      <c r="N54" s="3">
        <v>1.0</v>
      </c>
    </row>
    <row r="55">
      <c r="A55" s="3" t="s">
        <v>186</v>
      </c>
      <c r="B55" s="9" t="str">
        <f t="shared" si="1"/>
        <v>LE POEME EN VOLUME</v>
      </c>
      <c r="C55" s="3">
        <v>8.10971283E8</v>
      </c>
      <c r="D55" s="3" t="s">
        <v>119</v>
      </c>
      <c r="E55" s="4">
        <v>43269.0</v>
      </c>
      <c r="F55" s="3" t="s">
        <v>120</v>
      </c>
      <c r="G55" s="3" t="s">
        <v>33</v>
      </c>
      <c r="H55" s="3" t="str">
        <f t="shared" si="2"/>
        <v>5000.00</v>
      </c>
      <c r="I55" s="3" t="s">
        <v>17</v>
      </c>
      <c r="J55" s="3" t="s">
        <v>18</v>
      </c>
      <c r="K55" s="3" t="s">
        <v>187</v>
      </c>
      <c r="L55" s="3" t="s">
        <v>20</v>
      </c>
      <c r="M55" s="3" t="s">
        <v>21</v>
      </c>
      <c r="N55" s="3">
        <v>1.0</v>
      </c>
    </row>
    <row r="56">
      <c r="A56" s="3" t="s">
        <v>188</v>
      </c>
      <c r="B56" s="9" t="str">
        <f t="shared" si="1"/>
        <v>AMANIEU DE BOULIAC</v>
      </c>
      <c r="C56" s="3">
        <v>4.22839365E8</v>
      </c>
      <c r="D56" s="3" t="s">
        <v>143</v>
      </c>
      <c r="E56" s="4">
        <v>43269.0</v>
      </c>
      <c r="F56" s="3" t="s">
        <v>190</v>
      </c>
      <c r="G56" s="3" t="s">
        <v>189</v>
      </c>
      <c r="H56" s="3" t="str">
        <f t="shared" si="2"/>
        <v>6500.00</v>
      </c>
      <c r="I56" s="3" t="s">
        <v>17</v>
      </c>
      <c r="J56" s="3" t="s">
        <v>18</v>
      </c>
      <c r="K56" s="3" t="s">
        <v>187</v>
      </c>
      <c r="L56" s="3" t="s">
        <v>20</v>
      </c>
      <c r="M56" s="3" t="s">
        <v>21</v>
      </c>
      <c r="N56" s="3">
        <v>1.0</v>
      </c>
    </row>
    <row r="57">
      <c r="A57" s="3" t="s">
        <v>191</v>
      </c>
      <c r="B57" s="9" t="str">
        <f t="shared" si="1"/>
        <v>CREAC DE BEGLES</v>
      </c>
      <c r="C57" s="3">
        <v>3.78090633E8</v>
      </c>
      <c r="D57" s="3" t="s">
        <v>143</v>
      </c>
      <c r="E57" s="4">
        <v>43269.0</v>
      </c>
      <c r="F57" s="3" t="s">
        <v>193</v>
      </c>
      <c r="G57" s="3" t="s">
        <v>192</v>
      </c>
      <c r="H57" s="3" t="str">
        <f t="shared" si="2"/>
        <v>47500.00</v>
      </c>
      <c r="I57" s="3" t="s">
        <v>17</v>
      </c>
      <c r="J57" s="3" t="s">
        <v>18</v>
      </c>
      <c r="K57" s="3" t="s">
        <v>187</v>
      </c>
      <c r="L57" s="3" t="s">
        <v>20</v>
      </c>
      <c r="M57" s="3" t="s">
        <v>21</v>
      </c>
      <c r="N57" s="3">
        <v>1.0</v>
      </c>
    </row>
    <row r="58">
      <c r="A58" s="3" t="s">
        <v>194</v>
      </c>
      <c r="B58" s="9" t="str">
        <f t="shared" si="1"/>
        <v>R 2 JEUX</v>
      </c>
      <c r="C58" s="3">
        <v>8.0294758E8</v>
      </c>
      <c r="D58" s="3" t="s">
        <v>196</v>
      </c>
      <c r="E58" s="4">
        <v>43269.0</v>
      </c>
      <c r="F58" s="3" t="s">
        <v>197</v>
      </c>
      <c r="G58" s="3" t="s">
        <v>195</v>
      </c>
      <c r="H58" s="3" t="str">
        <f t="shared" si="2"/>
        <v>14825.00</v>
      </c>
      <c r="I58" s="3" t="s">
        <v>17</v>
      </c>
      <c r="J58" s="3" t="s">
        <v>18</v>
      </c>
      <c r="K58" s="3" t="s">
        <v>187</v>
      </c>
      <c r="L58" s="3" t="s">
        <v>20</v>
      </c>
      <c r="M58" s="3" t="s">
        <v>21</v>
      </c>
      <c r="N58" s="3">
        <v>1.0</v>
      </c>
    </row>
    <row r="59">
      <c r="A59" s="3" t="s">
        <v>198</v>
      </c>
      <c r="B59" s="9" t="str">
        <f t="shared" si="1"/>
        <v>PARALLELES ATTITUDES DIFFUSION</v>
      </c>
      <c r="C59" s="3">
        <v>3.50118865E8</v>
      </c>
      <c r="D59" s="3" t="s">
        <v>143</v>
      </c>
      <c r="E59" s="4">
        <v>43269.0</v>
      </c>
      <c r="F59" s="3" t="s">
        <v>199</v>
      </c>
      <c r="G59" s="3" t="s">
        <v>105</v>
      </c>
      <c r="H59" s="3" t="str">
        <f t="shared" si="2"/>
        <v>15000.00</v>
      </c>
      <c r="I59" s="3" t="s">
        <v>17</v>
      </c>
      <c r="J59" s="3" t="s">
        <v>18</v>
      </c>
      <c r="K59" s="3" t="s">
        <v>187</v>
      </c>
      <c r="L59" s="3" t="s">
        <v>20</v>
      </c>
      <c r="M59" s="3" t="s">
        <v>21</v>
      </c>
      <c r="N59" s="3">
        <v>1.0</v>
      </c>
    </row>
    <row r="60">
      <c r="A60" s="3" t="s">
        <v>200</v>
      </c>
      <c r="B60" s="9" t="str">
        <f t="shared" si="1"/>
        <v>FESTIVAL INTERNATIONAL</v>
      </c>
      <c r="C60" s="3">
        <v>3.79140221E8</v>
      </c>
      <c r="D60" s="3" t="s">
        <v>143</v>
      </c>
      <c r="E60" s="4">
        <v>43269.0</v>
      </c>
      <c r="F60" s="3" t="s">
        <v>202</v>
      </c>
      <c r="G60" s="3" t="s">
        <v>201</v>
      </c>
      <c r="H60" s="3" t="str">
        <f t="shared" si="2"/>
        <v>50000.00</v>
      </c>
      <c r="I60" s="3" t="s">
        <v>17</v>
      </c>
      <c r="J60" s="3" t="s">
        <v>18</v>
      </c>
      <c r="K60" s="3" t="s">
        <v>187</v>
      </c>
      <c r="L60" s="3" t="s">
        <v>20</v>
      </c>
      <c r="M60" s="3" t="s">
        <v>21</v>
      </c>
      <c r="N60" s="3">
        <v>1.0</v>
      </c>
    </row>
    <row r="61">
      <c r="A61" s="3" t="s">
        <v>203</v>
      </c>
      <c r="B61" s="9" t="str">
        <f t="shared" si="1"/>
        <v>ADIE</v>
      </c>
      <c r="C61" s="3">
        <v>3.52216873E8</v>
      </c>
      <c r="D61" s="3" t="s">
        <v>132</v>
      </c>
      <c r="E61" s="4">
        <v>43269.0</v>
      </c>
      <c r="F61" s="3" t="s">
        <v>205</v>
      </c>
      <c r="G61" s="3" t="s">
        <v>204</v>
      </c>
      <c r="H61" s="3" t="str">
        <f t="shared" si="2"/>
        <v>45000.00</v>
      </c>
      <c r="I61" s="3" t="s">
        <v>17</v>
      </c>
      <c r="J61" s="3" t="s">
        <v>18</v>
      </c>
      <c r="K61" s="3" t="s">
        <v>187</v>
      </c>
      <c r="L61" s="3" t="s">
        <v>20</v>
      </c>
      <c r="M61" s="3" t="s">
        <v>21</v>
      </c>
      <c r="N61" s="3">
        <v>1.0</v>
      </c>
    </row>
    <row r="62">
      <c r="A62" s="3" t="s">
        <v>206</v>
      </c>
      <c r="B62" s="9" t="str">
        <f t="shared" si="1"/>
        <v>LA MECANIQUE GENERALE</v>
      </c>
      <c r="C62" s="3">
        <v>8.246985E8</v>
      </c>
      <c r="D62" s="3" t="s">
        <v>119</v>
      </c>
      <c r="E62" s="4">
        <v>43266.0</v>
      </c>
      <c r="F62" s="3" t="s">
        <v>16</v>
      </c>
      <c r="G62" s="3" t="s">
        <v>207</v>
      </c>
      <c r="H62" s="3" t="str">
        <f t="shared" si="2"/>
        <v>9900.00</v>
      </c>
      <c r="I62" s="3" t="s">
        <v>17</v>
      </c>
      <c r="J62" s="3" t="s">
        <v>18</v>
      </c>
      <c r="K62" s="3" t="s">
        <v>185</v>
      </c>
      <c r="L62" s="3" t="s">
        <v>20</v>
      </c>
      <c r="M62" s="3" t="s">
        <v>21</v>
      </c>
      <c r="N62" s="3">
        <v>1.0</v>
      </c>
    </row>
    <row r="63">
      <c r="A63" s="3" t="s">
        <v>208</v>
      </c>
      <c r="B63" s="9" t="str">
        <f t="shared" si="1"/>
        <v>LES CAPRICES DE MARIANNE</v>
      </c>
      <c r="C63" s="3">
        <v>8.09584576E8</v>
      </c>
      <c r="D63" s="3" t="s">
        <v>119</v>
      </c>
      <c r="E63" s="4">
        <v>43252.0</v>
      </c>
      <c r="F63" s="3" t="s">
        <v>120</v>
      </c>
      <c r="G63" s="3" t="s">
        <v>209</v>
      </c>
      <c r="H63" s="3" t="str">
        <f t="shared" si="2"/>
        <v>14000.00</v>
      </c>
      <c r="I63" s="3" t="s">
        <v>17</v>
      </c>
      <c r="J63" s="3" t="s">
        <v>18</v>
      </c>
      <c r="K63" s="3" t="s">
        <v>134</v>
      </c>
      <c r="L63" s="3" t="s">
        <v>20</v>
      </c>
      <c r="M63" s="3" t="s">
        <v>21</v>
      </c>
      <c r="N63" s="3">
        <v>1.0</v>
      </c>
    </row>
    <row r="64">
      <c r="A64" s="3" t="s">
        <v>210</v>
      </c>
      <c r="B64" s="9" t="str">
        <f t="shared" si="1"/>
        <v>FRENCHTECH</v>
      </c>
      <c r="C64" s="3">
        <v>8.18313264E8</v>
      </c>
      <c r="D64" s="3" t="s">
        <v>212</v>
      </c>
      <c r="E64" s="4">
        <v>43271.0</v>
      </c>
      <c r="F64" s="3" t="s">
        <v>16</v>
      </c>
      <c r="G64" s="3" t="s">
        <v>211</v>
      </c>
      <c r="H64" s="3" t="str">
        <f t="shared" si="2"/>
        <v>180000.00</v>
      </c>
      <c r="I64" s="3" t="s">
        <v>17</v>
      </c>
      <c r="J64" s="3" t="s">
        <v>18</v>
      </c>
      <c r="K64" s="3" t="s">
        <v>213</v>
      </c>
      <c r="L64" s="3" t="s">
        <v>20</v>
      </c>
      <c r="M64" s="3" t="s">
        <v>21</v>
      </c>
      <c r="N64" s="3">
        <v>1.0</v>
      </c>
    </row>
    <row r="65">
      <c r="A65" s="3" t="s">
        <v>136</v>
      </c>
      <c r="B65" s="9" t="str">
        <f t="shared" si="1"/>
        <v>ATIS</v>
      </c>
      <c r="C65" s="3">
        <v>5.22896091E8</v>
      </c>
      <c r="D65" s="3" t="s">
        <v>214</v>
      </c>
      <c r="E65" s="4">
        <v>43271.0</v>
      </c>
      <c r="F65" s="3" t="s">
        <v>215</v>
      </c>
      <c r="G65" s="3" t="s">
        <v>167</v>
      </c>
      <c r="H65" s="3" t="str">
        <f t="shared" si="2"/>
        <v>20000.00</v>
      </c>
      <c r="I65" s="3" t="s">
        <v>17</v>
      </c>
      <c r="J65" s="3" t="s">
        <v>18</v>
      </c>
      <c r="K65" s="3" t="s">
        <v>213</v>
      </c>
      <c r="L65" s="3" t="s">
        <v>20</v>
      </c>
      <c r="M65" s="3" t="s">
        <v>21</v>
      </c>
      <c r="N65" s="3">
        <v>1.0</v>
      </c>
    </row>
    <row r="66">
      <c r="A66" s="3" t="s">
        <v>0</v>
      </c>
      <c r="B66" s="9" t="str">
        <f t="shared" si="1"/>
        <v>idBeneficiaire</v>
      </c>
      <c r="C66" s="3" t="s">
        <v>2</v>
      </c>
      <c r="D66" s="3" t="s">
        <v>3</v>
      </c>
      <c r="E66" s="3" t="s">
        <v>4</v>
      </c>
      <c r="F66" s="3" t="s">
        <v>5</v>
      </c>
      <c r="G66" s="3" t="s">
        <v>1</v>
      </c>
      <c r="H66" s="3" t="str">
        <f t="shared" si="2"/>
        <v>montant</v>
      </c>
      <c r="I66" s="3" t="s">
        <v>6</v>
      </c>
      <c r="J66" s="3" t="s">
        <v>7</v>
      </c>
      <c r="K66" s="3" t="s">
        <v>8</v>
      </c>
      <c r="L66" s="3" t="s">
        <v>9</v>
      </c>
      <c r="M66" s="3" t="s">
        <v>10</v>
      </c>
      <c r="N66" s="3" t="s">
        <v>11</v>
      </c>
    </row>
    <row r="67">
      <c r="A67" s="3" t="s">
        <v>216</v>
      </c>
      <c r="B67" s="9" t="str">
        <f t="shared" si="1"/>
        <v>ARC SUD DEVELOPPEMENT</v>
      </c>
      <c r="C67" s="3">
        <v>4.21985235E8</v>
      </c>
      <c r="D67" s="3" t="s">
        <v>217</v>
      </c>
      <c r="E67" s="4">
        <v>43271.0</v>
      </c>
      <c r="F67" s="3" t="s">
        <v>16</v>
      </c>
      <c r="G67" s="3" t="s">
        <v>192</v>
      </c>
      <c r="H67" s="3" t="str">
        <f t="shared" si="2"/>
        <v>47500.00</v>
      </c>
      <c r="I67" s="3" t="s">
        <v>17</v>
      </c>
      <c r="J67" s="3" t="s">
        <v>18</v>
      </c>
      <c r="K67" s="3" t="s">
        <v>213</v>
      </c>
      <c r="L67" s="3" t="s">
        <v>20</v>
      </c>
      <c r="M67" s="3" t="s">
        <v>21</v>
      </c>
      <c r="N67" s="3">
        <v>1.0</v>
      </c>
    </row>
    <row r="68">
      <c r="A68" s="3" t="s">
        <v>218</v>
      </c>
      <c r="B68" s="9" t="str">
        <f t="shared" si="1"/>
        <v>INVEST IN BORDEAUX</v>
      </c>
      <c r="C68" s="3">
        <v>4.09199817E8</v>
      </c>
      <c r="D68" s="3" t="s">
        <v>220</v>
      </c>
      <c r="E68" s="4">
        <v>43271.0</v>
      </c>
      <c r="F68" s="3" t="s">
        <v>16</v>
      </c>
      <c r="G68" s="3" t="s">
        <v>219</v>
      </c>
      <c r="H68" s="3" t="str">
        <f t="shared" si="2"/>
        <v>332775.00</v>
      </c>
      <c r="I68" s="3" t="s">
        <v>17</v>
      </c>
      <c r="J68" s="3" t="s">
        <v>18</v>
      </c>
      <c r="K68" s="3" t="s">
        <v>213</v>
      </c>
      <c r="L68" s="3" t="s">
        <v>20</v>
      </c>
      <c r="M68" s="3" t="s">
        <v>21</v>
      </c>
      <c r="N68" s="3">
        <v>1.0</v>
      </c>
    </row>
    <row r="69">
      <c r="A69" s="3" t="s">
        <v>221</v>
      </c>
      <c r="B69" s="9" t="str">
        <f t="shared" si="1"/>
        <v>PETRONILLE</v>
      </c>
      <c r="C69" s="3">
        <v>4.38269631E8</v>
      </c>
      <c r="D69" s="3" t="s">
        <v>220</v>
      </c>
      <c r="E69" s="4">
        <v>43270.0</v>
      </c>
      <c r="F69" s="3" t="s">
        <v>120</v>
      </c>
      <c r="G69" s="3" t="s">
        <v>222</v>
      </c>
      <c r="H69" s="3" t="str">
        <f t="shared" si="2"/>
        <v>5800.00</v>
      </c>
      <c r="I69" s="3" t="s">
        <v>17</v>
      </c>
      <c r="J69" s="3" t="s">
        <v>18</v>
      </c>
      <c r="K69" s="3" t="s">
        <v>223</v>
      </c>
      <c r="L69" s="3" t="s">
        <v>20</v>
      </c>
      <c r="M69" s="3" t="s">
        <v>21</v>
      </c>
      <c r="N69" s="3">
        <v>1.0</v>
      </c>
    </row>
    <row r="70">
      <c r="A70" s="3" t="s">
        <v>224</v>
      </c>
      <c r="B70" s="9" t="str">
        <f t="shared" si="1"/>
        <v>ADIEU PANURGE</v>
      </c>
      <c r="C70" s="3">
        <v>8.28195339E8</v>
      </c>
      <c r="D70" s="3" t="s">
        <v>220</v>
      </c>
      <c r="E70" s="4">
        <v>43264.0</v>
      </c>
      <c r="F70" s="3" t="s">
        <v>120</v>
      </c>
      <c r="G70" s="3" t="s">
        <v>225</v>
      </c>
      <c r="H70" s="3" t="str">
        <f t="shared" si="2"/>
        <v>7190.00</v>
      </c>
      <c r="I70" s="3" t="s">
        <v>17</v>
      </c>
      <c r="J70" s="3" t="s">
        <v>18</v>
      </c>
      <c r="K70" s="3" t="s">
        <v>226</v>
      </c>
      <c r="L70" s="3" t="s">
        <v>20</v>
      </c>
      <c r="M70" s="3" t="s">
        <v>21</v>
      </c>
      <c r="N70" s="3">
        <v>1.0</v>
      </c>
    </row>
    <row r="71">
      <c r="A71" s="3" t="s">
        <v>227</v>
      </c>
      <c r="B71" s="9" t="str">
        <f t="shared" si="1"/>
        <v>MUSIQUE DE NUIT DIFFUSION</v>
      </c>
      <c r="C71" s="3">
        <v>3.4169319E8</v>
      </c>
      <c r="D71" s="3" t="s">
        <v>220</v>
      </c>
      <c r="E71" s="4">
        <v>43269.0</v>
      </c>
      <c r="F71" s="3" t="s">
        <v>120</v>
      </c>
      <c r="G71" s="3" t="s">
        <v>37</v>
      </c>
      <c r="H71" s="3" t="str">
        <f t="shared" si="2"/>
        <v>40000.00</v>
      </c>
      <c r="I71" s="3" t="s">
        <v>17</v>
      </c>
      <c r="J71" s="3" t="s">
        <v>18</v>
      </c>
      <c r="K71" s="3" t="s">
        <v>187</v>
      </c>
      <c r="L71" s="3" t="s">
        <v>20</v>
      </c>
      <c r="M71" s="3" t="s">
        <v>21</v>
      </c>
      <c r="N71" s="3">
        <v>1.0</v>
      </c>
    </row>
    <row r="72">
      <c r="A72" s="3" t="s">
        <v>228</v>
      </c>
      <c r="B72" s="9" t="str">
        <f t="shared" si="1"/>
        <v>FESTIVAL DES ARTS DE BORDEAUX FAB</v>
      </c>
      <c r="C72" s="3">
        <v>4.20089567E8</v>
      </c>
      <c r="D72" s="3" t="s">
        <v>143</v>
      </c>
      <c r="E72" s="4">
        <v>43269.0</v>
      </c>
      <c r="F72" s="3" t="s">
        <v>230</v>
      </c>
      <c r="G72" s="3" t="s">
        <v>229</v>
      </c>
      <c r="H72" s="3" t="str">
        <f t="shared" si="2"/>
        <v>160000.00</v>
      </c>
      <c r="I72" s="3" t="s">
        <v>17</v>
      </c>
      <c r="J72" s="3" t="s">
        <v>18</v>
      </c>
      <c r="K72" s="3" t="s">
        <v>187</v>
      </c>
      <c r="L72" s="3" t="s">
        <v>20</v>
      </c>
      <c r="M72" s="3" t="s">
        <v>21</v>
      </c>
      <c r="N72" s="3">
        <v>1.0</v>
      </c>
    </row>
    <row r="73">
      <c r="A73" s="3" t="s">
        <v>231</v>
      </c>
      <c r="B73" s="9" t="str">
        <f t="shared" si="1"/>
        <v>ESPRIT DE CORPS</v>
      </c>
      <c r="C73" s="3">
        <v>4.20089567E8</v>
      </c>
      <c r="D73" s="3" t="s">
        <v>143</v>
      </c>
      <c r="E73" s="4">
        <v>43269.0</v>
      </c>
      <c r="F73" s="3" t="s">
        <v>232</v>
      </c>
      <c r="G73" s="3" t="s">
        <v>167</v>
      </c>
      <c r="H73" s="3" t="str">
        <f t="shared" si="2"/>
        <v>20000.00</v>
      </c>
      <c r="I73" s="3" t="s">
        <v>17</v>
      </c>
      <c r="J73" s="3" t="s">
        <v>18</v>
      </c>
      <c r="K73" s="3" t="s">
        <v>187</v>
      </c>
      <c r="L73" s="3" t="s">
        <v>20</v>
      </c>
      <c r="M73" s="3" t="s">
        <v>21</v>
      </c>
      <c r="N73" s="3">
        <v>1.0</v>
      </c>
    </row>
    <row r="74">
      <c r="A74" s="3" t="s">
        <v>148</v>
      </c>
      <c r="B74" s="9" t="str">
        <f t="shared" si="1"/>
        <v>CHAHUTS</v>
      </c>
      <c r="C74" s="3">
        <v>4.02652853E8</v>
      </c>
      <c r="D74" s="3" t="s">
        <v>143</v>
      </c>
      <c r="E74" s="4">
        <v>43269.0</v>
      </c>
      <c r="F74" s="3" t="s">
        <v>230</v>
      </c>
      <c r="G74" s="3" t="s">
        <v>85</v>
      </c>
      <c r="H74" s="3" t="str">
        <f t="shared" si="2"/>
        <v>35000.00</v>
      </c>
      <c r="I74" s="3" t="s">
        <v>17</v>
      </c>
      <c r="J74" s="3" t="s">
        <v>18</v>
      </c>
      <c r="K74" s="3" t="s">
        <v>187</v>
      </c>
      <c r="L74" s="3" t="s">
        <v>20</v>
      </c>
      <c r="M74" s="3" t="s">
        <v>21</v>
      </c>
      <c r="N74" s="3">
        <v>1.0</v>
      </c>
    </row>
    <row r="75">
      <c r="A75" s="3" t="s">
        <v>227</v>
      </c>
      <c r="B75" s="9" t="str">
        <f t="shared" si="1"/>
        <v>MUSIQUE DE NUIT DIFFUSION</v>
      </c>
      <c r="C75" s="3">
        <v>3.4169319E8</v>
      </c>
      <c r="D75" s="3" t="s">
        <v>143</v>
      </c>
      <c r="E75" s="4">
        <v>43269.0</v>
      </c>
      <c r="F75" s="3" t="s">
        <v>234</v>
      </c>
      <c r="G75" s="3" t="s">
        <v>233</v>
      </c>
      <c r="H75" s="3" t="str">
        <f t="shared" si="2"/>
        <v>25000.00</v>
      </c>
      <c r="I75" s="3" t="s">
        <v>17</v>
      </c>
      <c r="J75" s="3" t="s">
        <v>18</v>
      </c>
      <c r="K75" s="3" t="s">
        <v>187</v>
      </c>
      <c r="L75" s="3" t="s">
        <v>20</v>
      </c>
      <c r="M75" s="3" t="s">
        <v>21</v>
      </c>
      <c r="N75" s="3">
        <v>1.0</v>
      </c>
    </row>
    <row r="76">
      <c r="A76" s="3" t="s">
        <v>235</v>
      </c>
      <c r="B76" s="9" t="str">
        <f t="shared" si="1"/>
        <v>ACTIMAGE</v>
      </c>
      <c r="C76" s="3">
        <v>7.50447567E8</v>
      </c>
      <c r="D76" s="3" t="s">
        <v>220</v>
      </c>
      <c r="E76" s="4">
        <v>43279.0</v>
      </c>
      <c r="F76" s="3" t="s">
        <v>120</v>
      </c>
      <c r="G76" s="3" t="s">
        <v>236</v>
      </c>
      <c r="H76" s="3" t="str">
        <f t="shared" si="2"/>
        <v>2100.00</v>
      </c>
      <c r="I76" s="3" t="s">
        <v>17</v>
      </c>
      <c r="J76" s="3" t="s">
        <v>18</v>
      </c>
      <c r="K76" s="3" t="s">
        <v>237</v>
      </c>
      <c r="L76" s="3" t="s">
        <v>20</v>
      </c>
      <c r="M76" s="3" t="s">
        <v>21</v>
      </c>
      <c r="N76" s="3">
        <v>1.0</v>
      </c>
    </row>
    <row r="77">
      <c r="A77" s="3" t="s">
        <v>238</v>
      </c>
      <c r="B77" s="9" t="str">
        <f t="shared" si="1"/>
        <v>HAUTS DE GARONNE</v>
      </c>
      <c r="C77" s="3">
        <v>3.49753467E8</v>
      </c>
      <c r="D77" s="3" t="s">
        <v>239</v>
      </c>
      <c r="E77" s="4">
        <v>43279.0</v>
      </c>
      <c r="F77" s="3" t="s">
        <v>16</v>
      </c>
      <c r="G77" s="3" t="s">
        <v>204</v>
      </c>
      <c r="H77" s="3" t="str">
        <f t="shared" si="2"/>
        <v>45000.00</v>
      </c>
      <c r="I77" s="3" t="s">
        <v>17</v>
      </c>
      <c r="J77" s="3" t="s">
        <v>18</v>
      </c>
      <c r="K77" s="3" t="s">
        <v>237</v>
      </c>
      <c r="L77" s="3" t="s">
        <v>20</v>
      </c>
      <c r="M77" s="3" t="s">
        <v>21</v>
      </c>
      <c r="N77" s="3">
        <v>1.0</v>
      </c>
    </row>
    <row r="78">
      <c r="A78" s="3" t="s">
        <v>240</v>
      </c>
      <c r="B78" s="9" t="str">
        <f t="shared" si="1"/>
        <v>PASSAGE A L'ART</v>
      </c>
      <c r="C78" s="3">
        <v>4.84382189E8</v>
      </c>
      <c r="D78" s="3" t="s">
        <v>143</v>
      </c>
      <c r="E78" s="4">
        <v>43279.0</v>
      </c>
      <c r="F78" s="3" t="s">
        <v>242</v>
      </c>
      <c r="G78" s="3" t="s">
        <v>241</v>
      </c>
      <c r="H78" s="3" t="str">
        <f t="shared" si="2"/>
        <v>15200.00</v>
      </c>
      <c r="I78" s="3" t="s">
        <v>17</v>
      </c>
      <c r="J78" s="3" t="s">
        <v>18</v>
      </c>
      <c r="K78" s="3" t="s">
        <v>237</v>
      </c>
      <c r="L78" s="3" t="s">
        <v>20</v>
      </c>
      <c r="M78" s="3" t="s">
        <v>21</v>
      </c>
      <c r="N78" s="3">
        <v>1.0</v>
      </c>
    </row>
    <row r="79">
      <c r="A79" s="3" t="s">
        <v>243</v>
      </c>
      <c r="B79" s="9" t="str">
        <f t="shared" si="1"/>
        <v>ALPHA</v>
      </c>
      <c r="C79" s="3">
        <v>4.7941474E8</v>
      </c>
      <c r="D79" s="3" t="s">
        <v>245</v>
      </c>
      <c r="E79" s="4">
        <v>43283.0</v>
      </c>
      <c r="F79" s="3" t="s">
        <v>16</v>
      </c>
      <c r="G79" s="3" t="s">
        <v>244</v>
      </c>
      <c r="H79" s="3" t="str">
        <f t="shared" si="2"/>
        <v>57000.00</v>
      </c>
      <c r="I79" s="3" t="s">
        <v>17</v>
      </c>
      <c r="J79" s="3" t="s">
        <v>18</v>
      </c>
      <c r="K79" s="3" t="s">
        <v>246</v>
      </c>
      <c r="L79" s="3" t="s">
        <v>20</v>
      </c>
      <c r="M79" s="3" t="s">
        <v>21</v>
      </c>
      <c r="N79" s="3">
        <v>1.0</v>
      </c>
    </row>
    <row r="80">
      <c r="A80" s="3" t="s">
        <v>247</v>
      </c>
      <c r="B80" s="9" t="str">
        <f t="shared" si="1"/>
        <v>MELI MEL ARTS</v>
      </c>
      <c r="C80" s="3">
        <v>5.24259363E8</v>
      </c>
      <c r="D80" s="3" t="s">
        <v>143</v>
      </c>
      <c r="E80" s="4">
        <v>43283.0</v>
      </c>
      <c r="F80" s="3" t="s">
        <v>230</v>
      </c>
      <c r="G80" s="3" t="s">
        <v>166</v>
      </c>
      <c r="H80" s="3" t="str">
        <f t="shared" si="2"/>
        <v>8000.00</v>
      </c>
      <c r="I80" s="3" t="s">
        <v>17</v>
      </c>
      <c r="J80" s="3" t="s">
        <v>18</v>
      </c>
      <c r="K80" s="3" t="s">
        <v>246</v>
      </c>
      <c r="L80" s="3" t="s">
        <v>20</v>
      </c>
      <c r="M80" s="3" t="s">
        <v>21</v>
      </c>
      <c r="N80" s="3">
        <v>1.0</v>
      </c>
    </row>
    <row r="81">
      <c r="A81" s="3" t="s">
        <v>248</v>
      </c>
      <c r="B81" s="9" t="str">
        <f t="shared" si="1"/>
        <v>PUBLICATION du 18/09/2018</v>
      </c>
      <c r="H81" s="3" t="str">
        <f t="shared" si="2"/>
        <v/>
      </c>
    </row>
    <row r="82">
      <c r="A82" s="3" t="s">
        <v>249</v>
      </c>
      <c r="B82" s="9" t="str">
        <f t="shared" si="1"/>
        <v>COOP ALPHA</v>
      </c>
      <c r="C82" s="3">
        <v>4.8237148100029E13</v>
      </c>
      <c r="D82" s="3" t="s">
        <v>132</v>
      </c>
      <c r="E82" s="4">
        <v>43264.0</v>
      </c>
      <c r="F82" s="3" t="s">
        <v>251</v>
      </c>
      <c r="G82" s="3" t="s">
        <v>250</v>
      </c>
      <c r="H82" s="3" t="str">
        <f t="shared" si="2"/>
        <v>54000.00</v>
      </c>
      <c r="I82" s="3" t="s">
        <v>17</v>
      </c>
      <c r="J82" s="3" t="s">
        <v>18</v>
      </c>
      <c r="K82" s="3" t="s">
        <v>226</v>
      </c>
      <c r="L82" s="3" t="s">
        <v>20</v>
      </c>
      <c r="M82" s="3" t="s">
        <v>21</v>
      </c>
      <c r="N82" s="3">
        <v>1.0</v>
      </c>
    </row>
    <row r="83">
      <c r="A83" s="3" t="s">
        <v>252</v>
      </c>
      <c r="B83" s="9" t="str">
        <f t="shared" si="1"/>
        <v>BORDEAUX GRANDS EVENEMENTS</v>
      </c>
      <c r="C83" s="3">
        <v>4.8875025800011E13</v>
      </c>
      <c r="D83" s="3" t="s">
        <v>254</v>
      </c>
      <c r="E83" s="4">
        <v>43285.0</v>
      </c>
      <c r="F83" s="3" t="s">
        <v>255</v>
      </c>
      <c r="G83" s="3" t="s">
        <v>253</v>
      </c>
      <c r="H83" s="3" t="str">
        <f t="shared" si="2"/>
        <v>200000.00</v>
      </c>
      <c r="I83" s="3" t="s">
        <v>17</v>
      </c>
      <c r="J83" s="3" t="s">
        <v>18</v>
      </c>
      <c r="K83" s="3" t="s">
        <v>256</v>
      </c>
      <c r="L83" s="3" t="s">
        <v>20</v>
      </c>
      <c r="M83" s="3" t="s">
        <v>21</v>
      </c>
      <c r="N83" s="3">
        <v>1.0</v>
      </c>
    </row>
    <row r="84">
      <c r="A84" s="3" t="s">
        <v>182</v>
      </c>
      <c r="B84" s="9" t="str">
        <f t="shared" si="1"/>
        <v>AQUITAINE ACTIVE</v>
      </c>
      <c r="C84" s="3">
        <v>4.515469700001E13</v>
      </c>
      <c r="D84" s="3" t="s">
        <v>132</v>
      </c>
      <c r="E84" s="4">
        <v>43286.0</v>
      </c>
      <c r="F84" s="3" t="s">
        <v>258</v>
      </c>
      <c r="G84" s="3" t="s">
        <v>257</v>
      </c>
      <c r="H84" s="3" t="str">
        <f t="shared" si="2"/>
        <v>41000.00</v>
      </c>
      <c r="I84" s="3" t="s">
        <v>17</v>
      </c>
      <c r="J84" s="3" t="s">
        <v>18</v>
      </c>
      <c r="K84" s="3" t="s">
        <v>259</v>
      </c>
      <c r="L84" s="3" t="s">
        <v>20</v>
      </c>
      <c r="M84" s="3" t="s">
        <v>21</v>
      </c>
      <c r="N84" s="3">
        <v>1.0</v>
      </c>
    </row>
    <row r="85">
      <c r="A85" s="3" t="s">
        <v>36</v>
      </c>
      <c r="B85" s="9" t="str">
        <f t="shared" si="1"/>
        <v>ADMAA (ASSO DEFENSE MUSIQUES ALTERNATIVES)</v>
      </c>
      <c r="C85" s="3">
        <v>4.895630720002E13</v>
      </c>
      <c r="D85" s="3" t="s">
        <v>260</v>
      </c>
      <c r="E85" s="4">
        <v>43287.0</v>
      </c>
      <c r="F85" s="3" t="s">
        <v>261</v>
      </c>
      <c r="G85" s="3" t="s">
        <v>105</v>
      </c>
      <c r="H85" s="3" t="str">
        <f t="shared" si="2"/>
        <v>15000.00</v>
      </c>
      <c r="I85" s="3" t="s">
        <v>17</v>
      </c>
      <c r="J85" s="3" t="s">
        <v>18</v>
      </c>
      <c r="K85" s="3" t="s">
        <v>262</v>
      </c>
      <c r="L85" s="3" t="s">
        <v>20</v>
      </c>
      <c r="M85" s="3" t="s">
        <v>21</v>
      </c>
      <c r="N85" s="3">
        <v>1.0</v>
      </c>
    </row>
    <row r="86">
      <c r="A86" s="3" t="s">
        <v>263</v>
      </c>
      <c r="B86" s="9" t="str">
        <f t="shared" si="1"/>
        <v>ASSOCIATION FESTIVAL ODP</v>
      </c>
      <c r="C86" s="3">
        <v>8.2343035000012E13</v>
      </c>
      <c r="D86" s="3" t="s">
        <v>260</v>
      </c>
      <c r="E86" s="4">
        <v>43280.0</v>
      </c>
      <c r="F86" s="3" t="s">
        <v>264</v>
      </c>
      <c r="G86" s="3" t="s">
        <v>37</v>
      </c>
      <c r="H86" s="3" t="str">
        <f t="shared" si="2"/>
        <v>40000.00</v>
      </c>
      <c r="I86" s="3" t="s">
        <v>17</v>
      </c>
      <c r="J86" s="3" t="s">
        <v>18</v>
      </c>
      <c r="K86" s="3" t="s">
        <v>265</v>
      </c>
      <c r="L86" s="3" t="s">
        <v>20</v>
      </c>
      <c r="M86" s="3" t="s">
        <v>21</v>
      </c>
      <c r="N86" s="3">
        <v>1.0</v>
      </c>
    </row>
    <row r="87">
      <c r="A87" s="3" t="s">
        <v>266</v>
      </c>
      <c r="B87" s="9" t="str">
        <f t="shared" si="1"/>
        <v>GLUTAMINE</v>
      </c>
      <c r="C87" s="3">
        <v>8.2982336800016E13</v>
      </c>
      <c r="D87" s="3" t="s">
        <v>267</v>
      </c>
      <c r="E87" s="4">
        <v>43263.0</v>
      </c>
      <c r="F87" s="3" t="s">
        <v>268</v>
      </c>
      <c r="G87" s="3" t="s">
        <v>118</v>
      </c>
      <c r="H87" s="3" t="str">
        <f t="shared" si="2"/>
        <v>10000.00</v>
      </c>
      <c r="I87" s="3" t="s">
        <v>17</v>
      </c>
      <c r="J87" s="3" t="s">
        <v>18</v>
      </c>
      <c r="K87" s="3" t="s">
        <v>175</v>
      </c>
      <c r="L87" s="3" t="s">
        <v>20</v>
      </c>
      <c r="M87" s="3" t="s">
        <v>21</v>
      </c>
      <c r="N87" s="3">
        <v>1.0</v>
      </c>
    </row>
    <row r="88">
      <c r="A88" s="3" t="s">
        <v>0</v>
      </c>
      <c r="B88" s="9" t="str">
        <f t="shared" si="1"/>
        <v>idBeneficiaire</v>
      </c>
      <c r="C88" s="3" t="s">
        <v>2</v>
      </c>
      <c r="D88" s="3" t="s">
        <v>3</v>
      </c>
      <c r="E88" s="3" t="s">
        <v>4</v>
      </c>
      <c r="F88" s="3" t="s">
        <v>5</v>
      </c>
      <c r="G88" s="3" t="s">
        <v>1</v>
      </c>
      <c r="H88" s="3" t="str">
        <f t="shared" si="2"/>
        <v>montant</v>
      </c>
      <c r="I88" s="3" t="s">
        <v>6</v>
      </c>
      <c r="J88" s="3" t="s">
        <v>7</v>
      </c>
      <c r="K88" s="3" t="s">
        <v>8</v>
      </c>
      <c r="L88" s="3" t="s">
        <v>9</v>
      </c>
      <c r="M88" s="3" t="s">
        <v>10</v>
      </c>
      <c r="N88" s="3" t="s">
        <v>11</v>
      </c>
    </row>
    <row r="89">
      <c r="A89" s="3" t="s">
        <v>269</v>
      </c>
      <c r="B89" s="9" t="str">
        <f t="shared" si="1"/>
        <v>TALENCE INNOVATION SUD DEVELOPP.</v>
      </c>
      <c r="C89" s="3">
        <v>4.2971672300011E13</v>
      </c>
      <c r="D89" s="3" t="s">
        <v>271</v>
      </c>
      <c r="E89" s="4">
        <v>43299.0</v>
      </c>
      <c r="F89" s="3" t="s">
        <v>272</v>
      </c>
      <c r="G89" s="3" t="s">
        <v>270</v>
      </c>
      <c r="H89" s="3" t="str">
        <f t="shared" si="2"/>
        <v>42700.00</v>
      </c>
      <c r="I89" s="3" t="s">
        <v>17</v>
      </c>
      <c r="J89" s="3" t="s">
        <v>18</v>
      </c>
      <c r="K89" s="3" t="s">
        <v>273</v>
      </c>
      <c r="L89" s="3" t="s">
        <v>20</v>
      </c>
      <c r="M89" s="3" t="s">
        <v>21</v>
      </c>
      <c r="N89" s="3">
        <v>1.0</v>
      </c>
    </row>
    <row r="90">
      <c r="A90" s="3" t="s">
        <v>274</v>
      </c>
      <c r="B90" s="9" t="str">
        <f t="shared" si="1"/>
        <v>MOM'OUEST</v>
      </c>
      <c r="C90" s="3">
        <v>8.221340780001E13</v>
      </c>
      <c r="D90" s="3" t="s">
        <v>275</v>
      </c>
      <c r="E90" s="4">
        <v>43299.0</v>
      </c>
      <c r="F90" s="3" t="s">
        <v>276</v>
      </c>
      <c r="G90" s="3" t="s">
        <v>118</v>
      </c>
      <c r="H90" s="3" t="str">
        <f t="shared" si="2"/>
        <v>10000.00</v>
      </c>
      <c r="I90" s="3" t="s">
        <v>17</v>
      </c>
      <c r="J90" s="3" t="s">
        <v>18</v>
      </c>
      <c r="K90" s="3" t="s">
        <v>273</v>
      </c>
      <c r="L90" s="3" t="s">
        <v>20</v>
      </c>
      <c r="M90" s="3" t="s">
        <v>21</v>
      </c>
      <c r="N90" s="3">
        <v>1.0</v>
      </c>
    </row>
    <row r="91">
      <c r="A91" s="3" t="s">
        <v>277</v>
      </c>
      <c r="B91" s="9" t="str">
        <f t="shared" si="1"/>
        <v>LES ARTS AU MUR</v>
      </c>
      <c r="C91" s="3">
        <v>4.3434085700037E13</v>
      </c>
      <c r="D91" s="3" t="s">
        <v>143</v>
      </c>
      <c r="E91" s="4">
        <v>43300.0</v>
      </c>
      <c r="F91" s="3" t="s">
        <v>16</v>
      </c>
      <c r="G91" s="3" t="s">
        <v>105</v>
      </c>
      <c r="H91" s="3" t="str">
        <f t="shared" si="2"/>
        <v>15000.00</v>
      </c>
      <c r="I91" s="3" t="s">
        <v>17</v>
      </c>
      <c r="J91" s="3" t="s">
        <v>18</v>
      </c>
      <c r="K91" s="3" t="s">
        <v>278</v>
      </c>
      <c r="L91" s="3" t="s">
        <v>20</v>
      </c>
      <c r="M91" s="3" t="s">
        <v>21</v>
      </c>
      <c r="N91" s="3">
        <v>1.0</v>
      </c>
    </row>
    <row r="92">
      <c r="A92" s="3" t="s">
        <v>279</v>
      </c>
      <c r="B92" s="9" t="str">
        <f t="shared" si="1"/>
        <v>LES RESTAURANTS DU CŒUR</v>
      </c>
      <c r="C92" s="3">
        <v>3.7954994200025E13</v>
      </c>
      <c r="D92" s="3" t="s">
        <v>280</v>
      </c>
      <c r="E92" s="4">
        <v>43299.0</v>
      </c>
      <c r="F92" s="3" t="s">
        <v>16</v>
      </c>
      <c r="G92" s="3" t="s">
        <v>233</v>
      </c>
      <c r="H92" s="3" t="str">
        <f t="shared" si="2"/>
        <v>25000.00</v>
      </c>
      <c r="I92" s="3" t="s">
        <v>17</v>
      </c>
      <c r="J92" s="3" t="s">
        <v>18</v>
      </c>
      <c r="K92" s="3" t="s">
        <v>273</v>
      </c>
      <c r="L92" s="3" t="s">
        <v>20</v>
      </c>
      <c r="M92" s="3" t="s">
        <v>21</v>
      </c>
      <c r="N92" s="3">
        <v>1.0</v>
      </c>
    </row>
    <row r="93">
      <c r="A93" s="3" t="s">
        <v>281</v>
      </c>
      <c r="B93" s="9" t="str">
        <f t="shared" si="1"/>
        <v>IUFM</v>
      </c>
      <c r="C93" s="3">
        <v>7.5198395800024E13</v>
      </c>
      <c r="D93" s="3" t="s">
        <v>267</v>
      </c>
      <c r="E93" s="4">
        <v>43276.0</v>
      </c>
      <c r="F93" s="3" t="s">
        <v>282</v>
      </c>
      <c r="G93" s="3" t="s">
        <v>118</v>
      </c>
      <c r="H93" s="3" t="str">
        <f t="shared" si="2"/>
        <v>10000.00</v>
      </c>
      <c r="I93" s="3" t="s">
        <v>17</v>
      </c>
      <c r="J93" s="3" t="s">
        <v>18</v>
      </c>
      <c r="K93" s="3" t="s">
        <v>283</v>
      </c>
      <c r="L93" s="3" t="s">
        <v>20</v>
      </c>
      <c r="M93" s="3" t="s">
        <v>21</v>
      </c>
      <c r="N93" s="3" t="s">
        <v>284</v>
      </c>
    </row>
    <row r="94">
      <c r="A94" s="3" t="s">
        <v>285</v>
      </c>
      <c r="B94" s="9" t="str">
        <f t="shared" si="1"/>
        <v>GRAINE AQUITAINE</v>
      </c>
      <c r="C94" s="3">
        <v>3.8956456800027E13</v>
      </c>
      <c r="D94" s="3" t="s">
        <v>287</v>
      </c>
      <c r="E94" s="4">
        <v>43252.0</v>
      </c>
      <c r="F94" s="3" t="s">
        <v>288</v>
      </c>
      <c r="G94" s="3" t="s">
        <v>286</v>
      </c>
      <c r="H94" s="3" t="str">
        <f t="shared" si="2"/>
        <v>52500.00</v>
      </c>
      <c r="I94" s="3" t="s">
        <v>17</v>
      </c>
      <c r="J94" s="3" t="s">
        <v>18</v>
      </c>
      <c r="K94" s="3" t="s">
        <v>134</v>
      </c>
      <c r="L94" s="3" t="s">
        <v>20</v>
      </c>
      <c r="M94" s="3" t="s">
        <v>21</v>
      </c>
      <c r="N94" s="3">
        <v>1.0</v>
      </c>
    </row>
    <row r="95">
      <c r="A95" s="3" t="s">
        <v>289</v>
      </c>
      <c r="B95" s="9" t="str">
        <f t="shared" si="1"/>
        <v>ETU RECUP</v>
      </c>
      <c r="C95" s="3">
        <v>8.0127165100011E13</v>
      </c>
      <c r="D95" s="3" t="s">
        <v>267</v>
      </c>
      <c r="E95" s="4">
        <v>43301.0</v>
      </c>
      <c r="F95" s="3" t="s">
        <v>291</v>
      </c>
      <c r="G95" s="3" t="s">
        <v>290</v>
      </c>
      <c r="H95" s="3" t="str">
        <f t="shared" si="2"/>
        <v>3000.00</v>
      </c>
      <c r="I95" s="3" t="s">
        <v>17</v>
      </c>
      <c r="J95" s="3" t="s">
        <v>18</v>
      </c>
      <c r="K95" s="3" t="s">
        <v>292</v>
      </c>
      <c r="L95" s="3" t="s">
        <v>20</v>
      </c>
      <c r="M95" s="3" t="s">
        <v>21</v>
      </c>
      <c r="N95" s="3">
        <v>1.0</v>
      </c>
    </row>
    <row r="96">
      <c r="A96" s="3" t="s">
        <v>293</v>
      </c>
      <c r="B96" s="9" t="str">
        <f t="shared" si="1"/>
        <v>ADEM</v>
      </c>
      <c r="C96" s="3">
        <v>3.9811228400011E13</v>
      </c>
      <c r="D96" s="3" t="s">
        <v>295</v>
      </c>
      <c r="E96" s="4">
        <v>43319.0</v>
      </c>
      <c r="F96" s="3" t="s">
        <v>296</v>
      </c>
      <c r="G96" s="3" t="s">
        <v>294</v>
      </c>
      <c r="H96" s="3" t="str">
        <f t="shared" si="2"/>
        <v>58000.00</v>
      </c>
      <c r="I96" s="3" t="s">
        <v>17</v>
      </c>
      <c r="J96" s="3" t="s">
        <v>18</v>
      </c>
      <c r="K96" s="3" t="s">
        <v>297</v>
      </c>
      <c r="L96" s="3" t="s">
        <v>20</v>
      </c>
      <c r="M96" s="3" t="s">
        <v>21</v>
      </c>
      <c r="N96" s="3">
        <v>1.0</v>
      </c>
    </row>
    <row r="97">
      <c r="A97" s="3" t="s">
        <v>298</v>
      </c>
      <c r="B97" s="9" t="str">
        <f t="shared" si="1"/>
        <v>CYCLES ET MANIVELLES</v>
      </c>
      <c r="C97" s="3">
        <v>8.0077623900017E13</v>
      </c>
      <c r="D97" s="3" t="s">
        <v>300</v>
      </c>
      <c r="E97" s="4">
        <v>43318.0</v>
      </c>
      <c r="F97" s="3" t="s">
        <v>301</v>
      </c>
      <c r="G97" s="3" t="s">
        <v>299</v>
      </c>
      <c r="H97" s="3" t="str">
        <f t="shared" si="2"/>
        <v>55000.00</v>
      </c>
      <c r="I97" s="3" t="s">
        <v>17</v>
      </c>
      <c r="J97" s="3" t="s">
        <v>18</v>
      </c>
      <c r="K97" s="3" t="s">
        <v>302</v>
      </c>
      <c r="L97" s="3" t="s">
        <v>20</v>
      </c>
      <c r="M97" s="3" t="s">
        <v>21</v>
      </c>
      <c r="N97" s="3">
        <v>1.0</v>
      </c>
    </row>
    <row r="98">
      <c r="A98" s="3" t="s">
        <v>22</v>
      </c>
      <c r="B98" s="9" t="str">
        <f t="shared" si="1"/>
        <v>COMPAGNONS BATISSEURS</v>
      </c>
      <c r="C98" s="3">
        <v>4.8856661300037E13</v>
      </c>
      <c r="D98" s="3" t="s">
        <v>303</v>
      </c>
      <c r="E98" s="4">
        <v>43285.0</v>
      </c>
      <c r="F98" s="3" t="s">
        <v>304</v>
      </c>
      <c r="G98" s="3" t="s">
        <v>118</v>
      </c>
      <c r="H98" s="3" t="str">
        <f t="shared" si="2"/>
        <v>10000.00</v>
      </c>
      <c r="I98" s="3" t="s">
        <v>17</v>
      </c>
      <c r="J98" s="3" t="s">
        <v>18</v>
      </c>
      <c r="K98" s="3" t="s">
        <v>256</v>
      </c>
      <c r="L98" s="3" t="s">
        <v>20</v>
      </c>
      <c r="M98" s="3" t="s">
        <v>21</v>
      </c>
      <c r="N98" s="3">
        <v>1.0</v>
      </c>
    </row>
    <row r="99">
      <c r="A99" s="3" t="s">
        <v>305</v>
      </c>
      <c r="B99" s="9" t="str">
        <f t="shared" si="1"/>
        <v>BORDEAUX TECHNOWEST</v>
      </c>
      <c r="C99" s="3">
        <v>3.7781852100025E13</v>
      </c>
      <c r="D99" s="3" t="s">
        <v>307</v>
      </c>
      <c r="E99" s="4">
        <v>43306.0</v>
      </c>
      <c r="F99" s="3" t="s">
        <v>16</v>
      </c>
      <c r="G99" s="3" t="s">
        <v>306</v>
      </c>
      <c r="H99" s="3" t="str">
        <f t="shared" si="2"/>
        <v>420000.00</v>
      </c>
      <c r="I99" s="3" t="s">
        <v>17</v>
      </c>
      <c r="J99" s="3" t="s">
        <v>18</v>
      </c>
      <c r="K99" s="3" t="s">
        <v>308</v>
      </c>
      <c r="L99" s="3" t="s">
        <v>20</v>
      </c>
      <c r="M99" s="3" t="s">
        <v>21</v>
      </c>
      <c r="N99" s="3">
        <v>1.0</v>
      </c>
    </row>
    <row r="100">
      <c r="A100" s="3" t="s">
        <v>309</v>
      </c>
      <c r="B100" s="9" t="str">
        <f t="shared" si="1"/>
        <v>BORDEAUX UNITEC</v>
      </c>
      <c r="C100" s="3">
        <v>3.7796404400038E13</v>
      </c>
      <c r="D100" s="3" t="s">
        <v>311</v>
      </c>
      <c r="E100" s="4">
        <v>43306.0</v>
      </c>
      <c r="F100" s="3" t="s">
        <v>312</v>
      </c>
      <c r="G100" s="3" t="s">
        <v>310</v>
      </c>
      <c r="H100" s="3" t="str">
        <f t="shared" si="2"/>
        <v>139000.00</v>
      </c>
      <c r="I100" s="3" t="s">
        <v>17</v>
      </c>
      <c r="J100" s="3" t="s">
        <v>18</v>
      </c>
      <c r="K100" s="3" t="s">
        <v>308</v>
      </c>
      <c r="L100" s="3" t="s">
        <v>20</v>
      </c>
      <c r="M100" s="3" t="s">
        <v>21</v>
      </c>
      <c r="N100" s="3">
        <v>1.0</v>
      </c>
    </row>
    <row r="101">
      <c r="A101" s="3" t="s">
        <v>191</v>
      </c>
      <c r="B101" s="9" t="str">
        <f t="shared" si="1"/>
        <v>CREAC DE BEGLES</v>
      </c>
      <c r="C101" s="3">
        <v>3.7809063300017E13</v>
      </c>
      <c r="D101" s="3" t="s">
        <v>314</v>
      </c>
      <c r="E101" s="4">
        <v>43306.0</v>
      </c>
      <c r="F101" s="3" t="s">
        <v>312</v>
      </c>
      <c r="G101" s="3" t="s">
        <v>313</v>
      </c>
      <c r="H101" s="3" t="str">
        <f t="shared" si="2"/>
        <v>9000.00</v>
      </c>
      <c r="I101" s="3" t="s">
        <v>17</v>
      </c>
      <c r="J101" s="3" t="s">
        <v>18</v>
      </c>
      <c r="K101" s="3" t="s">
        <v>308</v>
      </c>
      <c r="L101" s="3" t="s">
        <v>20</v>
      </c>
      <c r="M101" s="3" t="s">
        <v>21</v>
      </c>
      <c r="N101" s="3">
        <v>1.0</v>
      </c>
    </row>
    <row r="102">
      <c r="A102" s="3" t="s">
        <v>289</v>
      </c>
      <c r="B102" s="9" t="str">
        <f t="shared" si="1"/>
        <v>ETU RECUP</v>
      </c>
      <c r="C102" s="3">
        <v>8.0127165100011E13</v>
      </c>
      <c r="D102" s="3" t="s">
        <v>303</v>
      </c>
      <c r="E102" s="4">
        <v>43298.0</v>
      </c>
      <c r="F102" s="3" t="s">
        <v>316</v>
      </c>
      <c r="G102" s="3" t="s">
        <v>315</v>
      </c>
      <c r="H102" s="3" t="str">
        <f t="shared" si="2"/>
        <v>13538.00</v>
      </c>
      <c r="I102" s="3" t="s">
        <v>17</v>
      </c>
      <c r="J102" s="3" t="s">
        <v>18</v>
      </c>
      <c r="K102" s="3" t="s">
        <v>317</v>
      </c>
      <c r="L102" s="3" t="s">
        <v>20</v>
      </c>
      <c r="M102" s="3" t="s">
        <v>21</v>
      </c>
      <c r="N102" s="3">
        <v>1.0</v>
      </c>
    </row>
    <row r="103">
      <c r="A103" s="3" t="s">
        <v>318</v>
      </c>
      <c r="B103" s="9" t="str">
        <f t="shared" si="1"/>
        <v>L'EPHEMERE</v>
      </c>
      <c r="C103" s="3">
        <v>8.2138441900015E13</v>
      </c>
      <c r="D103" s="3" t="s">
        <v>303</v>
      </c>
      <c r="E103" s="4">
        <v>43298.0</v>
      </c>
      <c r="F103" s="3" t="s">
        <v>312</v>
      </c>
      <c r="G103" s="3" t="s">
        <v>33</v>
      </c>
      <c r="H103" s="3" t="str">
        <f t="shared" si="2"/>
        <v>5000.00</v>
      </c>
      <c r="I103" s="3" t="s">
        <v>17</v>
      </c>
      <c r="J103" s="3" t="s">
        <v>18</v>
      </c>
      <c r="K103" s="3" t="s">
        <v>317</v>
      </c>
      <c r="L103" s="3" t="s">
        <v>20</v>
      </c>
      <c r="M103" s="3" t="s">
        <v>21</v>
      </c>
      <c r="N103" s="3">
        <v>1.0</v>
      </c>
    </row>
    <row r="104">
      <c r="A104" s="3" t="s">
        <v>145</v>
      </c>
      <c r="B104" s="9" t="str">
        <f t="shared" si="1"/>
        <v>VELO CITE</v>
      </c>
      <c r="C104" s="3">
        <v>4.3288382500031E13</v>
      </c>
      <c r="D104" s="3" t="s">
        <v>320</v>
      </c>
      <c r="E104" s="4">
        <v>43304.0</v>
      </c>
      <c r="F104" s="3" t="s">
        <v>16</v>
      </c>
      <c r="G104" s="3" t="s">
        <v>319</v>
      </c>
      <c r="H104" s="3" t="str">
        <f t="shared" si="2"/>
        <v>28000.00</v>
      </c>
      <c r="I104" s="3" t="s">
        <v>17</v>
      </c>
      <c r="J104" s="3" t="s">
        <v>18</v>
      </c>
      <c r="K104" s="3" t="s">
        <v>321</v>
      </c>
      <c r="L104" s="3" t="s">
        <v>20</v>
      </c>
      <c r="M104" s="3" t="s">
        <v>21</v>
      </c>
      <c r="N104" s="3">
        <v>1.0</v>
      </c>
    </row>
    <row r="105">
      <c r="A105" s="3" t="s">
        <v>145</v>
      </c>
      <c r="B105" s="9" t="str">
        <f t="shared" si="1"/>
        <v>VELO CITE</v>
      </c>
      <c r="C105" s="3">
        <v>4.3288382500031E13</v>
      </c>
      <c r="D105" s="3" t="s">
        <v>300</v>
      </c>
      <c r="E105" s="4">
        <v>43304.0</v>
      </c>
      <c r="F105" s="3" t="s">
        <v>322</v>
      </c>
      <c r="G105" s="3" t="s">
        <v>299</v>
      </c>
      <c r="H105" s="3" t="str">
        <f t="shared" si="2"/>
        <v>55000.00</v>
      </c>
      <c r="I105" s="3" t="s">
        <v>17</v>
      </c>
      <c r="J105" s="3" t="s">
        <v>18</v>
      </c>
      <c r="K105" s="3" t="s">
        <v>321</v>
      </c>
      <c r="L105" s="3" t="s">
        <v>20</v>
      </c>
      <c r="M105" s="3" t="s">
        <v>21</v>
      </c>
      <c r="N105" s="3">
        <v>1.0</v>
      </c>
    </row>
    <row r="106">
      <c r="A106" s="3" t="s">
        <v>323</v>
      </c>
      <c r="B106" s="9" t="str">
        <f t="shared" si="1"/>
        <v>SEW &amp; LAINE</v>
      </c>
      <c r="C106" s="3">
        <v>5.3454877100037E13</v>
      </c>
      <c r="D106" s="3" t="s">
        <v>325</v>
      </c>
      <c r="E106" s="4">
        <v>43329.0</v>
      </c>
      <c r="F106" s="3" t="s">
        <v>326</v>
      </c>
      <c r="G106" s="3" t="s">
        <v>324</v>
      </c>
      <c r="H106" s="3" t="str">
        <f t="shared" si="2"/>
        <v>17940.00</v>
      </c>
      <c r="I106" s="3" t="s">
        <v>17</v>
      </c>
      <c r="J106" s="3" t="s">
        <v>18</v>
      </c>
      <c r="K106" s="3" t="s">
        <v>327</v>
      </c>
      <c r="L106" s="3" t="s">
        <v>20</v>
      </c>
      <c r="M106" s="3" t="s">
        <v>21</v>
      </c>
      <c r="N106" s="3">
        <v>1.0</v>
      </c>
    </row>
    <row r="107">
      <c r="A107" s="3" t="s">
        <v>328</v>
      </c>
      <c r="B107" s="9" t="str">
        <f t="shared" si="1"/>
        <v>ADSI TECHNOWEST</v>
      </c>
      <c r="C107" s="3">
        <v>4.3403882400042E13</v>
      </c>
      <c r="D107" s="3" t="s">
        <v>329</v>
      </c>
      <c r="E107" s="4">
        <v>43332.0</v>
      </c>
      <c r="F107" s="3" t="s">
        <v>330</v>
      </c>
      <c r="G107" s="3" t="s">
        <v>233</v>
      </c>
      <c r="H107" s="3" t="str">
        <f t="shared" si="2"/>
        <v>25000.00</v>
      </c>
      <c r="I107" s="3" t="s">
        <v>17</v>
      </c>
      <c r="J107" s="3" t="s">
        <v>18</v>
      </c>
      <c r="K107" s="3" t="s">
        <v>331</v>
      </c>
      <c r="L107" s="3" t="s">
        <v>20</v>
      </c>
      <c r="M107" s="3" t="s">
        <v>21</v>
      </c>
      <c r="N107" s="3">
        <v>1.0</v>
      </c>
    </row>
    <row r="108">
      <c r="A108" s="3" t="s">
        <v>332</v>
      </c>
      <c r="B108" s="9" t="str">
        <f t="shared" si="1"/>
        <v>BANQUE ALIMENTAIRE</v>
      </c>
      <c r="C108" s="3">
        <v>3.4063725500027E13</v>
      </c>
      <c r="D108" s="3" t="s">
        <v>280</v>
      </c>
      <c r="E108" s="4">
        <v>43328.0</v>
      </c>
      <c r="F108" s="3" t="s">
        <v>16</v>
      </c>
      <c r="G108" s="3" t="s">
        <v>233</v>
      </c>
      <c r="H108" s="3" t="str">
        <f t="shared" si="2"/>
        <v>25000.00</v>
      </c>
      <c r="I108" s="3" t="s">
        <v>17</v>
      </c>
      <c r="J108" s="3" t="s">
        <v>18</v>
      </c>
      <c r="K108" s="3" t="s">
        <v>333</v>
      </c>
      <c r="L108" s="3" t="s">
        <v>20</v>
      </c>
      <c r="M108" s="3" t="s">
        <v>21</v>
      </c>
      <c r="N108" s="3">
        <v>1.0</v>
      </c>
    </row>
    <row r="109">
      <c r="A109" s="3" t="s">
        <v>334</v>
      </c>
      <c r="B109" s="9" t="str">
        <f t="shared" si="1"/>
        <v>LES PETITS DEBROUILLARDS</v>
      </c>
      <c r="C109" s="3">
        <v>4.1087071100083E13</v>
      </c>
      <c r="D109" s="3" t="s">
        <v>336</v>
      </c>
      <c r="E109" s="4">
        <v>43312.0</v>
      </c>
      <c r="F109" s="3" t="s">
        <v>337</v>
      </c>
      <c r="G109" s="3" t="s">
        <v>335</v>
      </c>
      <c r="H109" s="3" t="str">
        <f t="shared" si="2"/>
        <v>7000.00</v>
      </c>
      <c r="I109" s="3" t="s">
        <v>17</v>
      </c>
      <c r="J109" s="3" t="s">
        <v>18</v>
      </c>
      <c r="K109" s="3" t="s">
        <v>338</v>
      </c>
      <c r="L109" s="3" t="s">
        <v>20</v>
      </c>
      <c r="M109" s="3" t="s">
        <v>21</v>
      </c>
      <c r="N109" s="3">
        <v>1.0</v>
      </c>
    </row>
    <row r="110">
      <c r="A110" s="3" t="s">
        <v>0</v>
      </c>
      <c r="B110" s="9" t="str">
        <f t="shared" si="1"/>
        <v>idBeneficiaire</v>
      </c>
      <c r="C110" s="3" t="s">
        <v>2</v>
      </c>
      <c r="D110" s="3" t="s">
        <v>3</v>
      </c>
      <c r="E110" s="3" t="s">
        <v>4</v>
      </c>
      <c r="F110" s="3" t="s">
        <v>5</v>
      </c>
      <c r="G110" s="3" t="s">
        <v>1</v>
      </c>
      <c r="H110" s="3" t="str">
        <f t="shared" si="2"/>
        <v>montant</v>
      </c>
      <c r="I110" s="3" t="s">
        <v>6</v>
      </c>
      <c r="J110" s="3" t="s">
        <v>7</v>
      </c>
      <c r="K110" s="3" t="s">
        <v>8</v>
      </c>
      <c r="L110" s="3" t="s">
        <v>9</v>
      </c>
      <c r="M110" s="3" t="s">
        <v>10</v>
      </c>
      <c r="N110" s="3" t="s">
        <v>11</v>
      </c>
    </row>
    <row r="111">
      <c r="A111" s="3" t="s">
        <v>323</v>
      </c>
      <c r="B111" s="9" t="str">
        <f t="shared" si="1"/>
        <v>SEW &amp; LAINE</v>
      </c>
      <c r="C111" s="3">
        <v>5.3454877100037E13</v>
      </c>
      <c r="D111" s="3" t="s">
        <v>336</v>
      </c>
      <c r="E111" s="4">
        <v>43311.0</v>
      </c>
      <c r="F111" s="3" t="s">
        <v>337</v>
      </c>
      <c r="G111" s="3" t="s">
        <v>339</v>
      </c>
      <c r="H111" s="3" t="str">
        <f t="shared" si="2"/>
        <v>4000.00</v>
      </c>
      <c r="I111" s="3" t="s">
        <v>17</v>
      </c>
      <c r="J111" s="3" t="s">
        <v>48</v>
      </c>
      <c r="K111" s="3" t="s">
        <v>340</v>
      </c>
      <c r="L111" s="3" t="s">
        <v>20</v>
      </c>
      <c r="M111" s="3" t="s">
        <v>21</v>
      </c>
      <c r="N111" s="3">
        <v>1.0</v>
      </c>
    </row>
    <row r="112">
      <c r="A112" s="3" t="s">
        <v>341</v>
      </c>
      <c r="B112" s="9" t="str">
        <f t="shared" si="1"/>
        <v>CAISSE SOCIALE DEV. LOCAL CSDL</v>
      </c>
      <c r="C112" s="3">
        <v>4.1900910500018E13</v>
      </c>
      <c r="D112" s="3" t="s">
        <v>336</v>
      </c>
      <c r="E112" s="4">
        <v>43335.0</v>
      </c>
      <c r="F112" s="3" t="s">
        <v>337</v>
      </c>
      <c r="G112" s="3" t="s">
        <v>342</v>
      </c>
      <c r="H112" s="3" t="str">
        <f t="shared" si="2"/>
        <v>3500.00</v>
      </c>
      <c r="I112" s="3" t="s">
        <v>17</v>
      </c>
      <c r="J112" s="3" t="s">
        <v>48</v>
      </c>
      <c r="K112" s="3" t="s">
        <v>343</v>
      </c>
      <c r="L112" s="3" t="s">
        <v>20</v>
      </c>
      <c r="M112" s="3" t="s">
        <v>21</v>
      </c>
      <c r="N112" s="3">
        <v>1.0</v>
      </c>
    </row>
    <row r="113">
      <c r="A113" s="3" t="s">
        <v>203</v>
      </c>
      <c r="B113" s="9" t="str">
        <f t="shared" si="1"/>
        <v>ADIE</v>
      </c>
      <c r="C113" s="3">
        <v>3.5221687300211E13</v>
      </c>
      <c r="D113" s="3" t="s">
        <v>336</v>
      </c>
      <c r="E113" s="4">
        <v>43312.0</v>
      </c>
      <c r="F113" s="3" t="s">
        <v>337</v>
      </c>
      <c r="G113" s="3" t="s">
        <v>33</v>
      </c>
      <c r="H113" s="3" t="str">
        <f t="shared" si="2"/>
        <v>5000.00</v>
      </c>
      <c r="I113" s="3" t="s">
        <v>17</v>
      </c>
      <c r="J113" s="3" t="s">
        <v>48</v>
      </c>
      <c r="K113" s="3" t="s">
        <v>338</v>
      </c>
      <c r="L113" s="3" t="s">
        <v>20</v>
      </c>
      <c r="M113" s="3" t="s">
        <v>21</v>
      </c>
      <c r="N113" s="3">
        <v>1.0</v>
      </c>
    </row>
    <row r="114">
      <c r="A114" s="3" t="s">
        <v>344</v>
      </c>
      <c r="B114" s="9" t="str">
        <f t="shared" si="1"/>
        <v>ADI NOUVELLE AQUITAINE</v>
      </c>
      <c r="C114" s="3">
        <v>8.203367330001E13</v>
      </c>
      <c r="D114" s="3" t="s">
        <v>346</v>
      </c>
      <c r="E114" s="4">
        <v>43339.0</v>
      </c>
      <c r="F114" s="3" t="s">
        <v>312</v>
      </c>
      <c r="G114" s="3" t="s">
        <v>345</v>
      </c>
      <c r="H114" s="3" t="str">
        <f t="shared" si="2"/>
        <v>24000.00</v>
      </c>
      <c r="I114" s="3" t="s">
        <v>17</v>
      </c>
      <c r="J114" s="3" t="s">
        <v>48</v>
      </c>
      <c r="K114" s="3" t="s">
        <v>347</v>
      </c>
      <c r="L114" s="3" t="s">
        <v>20</v>
      </c>
      <c r="M114" s="3" t="s">
        <v>21</v>
      </c>
      <c r="N114" s="3">
        <v>1.0</v>
      </c>
    </row>
    <row r="115">
      <c r="A115" s="3" t="s">
        <v>348</v>
      </c>
      <c r="B115" s="9" t="str">
        <f t="shared" si="1"/>
        <v>DIGITAL AQUITAINE</v>
      </c>
      <c r="C115" s="3">
        <v>8.0961975200011E13</v>
      </c>
      <c r="D115" s="3" t="s">
        <v>349</v>
      </c>
      <c r="E115" s="4">
        <v>43334.0</v>
      </c>
      <c r="F115" s="3" t="s">
        <v>16</v>
      </c>
      <c r="G115" s="3" t="s">
        <v>233</v>
      </c>
      <c r="H115" s="3" t="str">
        <f t="shared" si="2"/>
        <v>25000.00</v>
      </c>
      <c r="I115" s="3" t="s">
        <v>17</v>
      </c>
      <c r="J115" s="3" t="s">
        <v>18</v>
      </c>
      <c r="K115" s="3" t="s">
        <v>350</v>
      </c>
      <c r="L115" s="3" t="s">
        <v>20</v>
      </c>
      <c r="M115" s="3" t="s">
        <v>21</v>
      </c>
      <c r="N115" s="3">
        <v>1.0</v>
      </c>
    </row>
    <row r="116">
      <c r="A116" s="3" t="s">
        <v>351</v>
      </c>
      <c r="B116" s="9" t="str">
        <f t="shared" si="1"/>
        <v>FACE</v>
      </c>
      <c r="C116" s="3">
        <v>3.9856806300059E13</v>
      </c>
      <c r="D116" s="3" t="s">
        <v>267</v>
      </c>
      <c r="E116" s="4">
        <v>43339.0</v>
      </c>
      <c r="F116" s="3" t="s">
        <v>352</v>
      </c>
      <c r="G116" s="3" t="s">
        <v>105</v>
      </c>
      <c r="H116" s="3" t="str">
        <f t="shared" si="2"/>
        <v>15000.00</v>
      </c>
      <c r="I116" s="3" t="s">
        <v>17</v>
      </c>
      <c r="J116" s="3" t="s">
        <v>18</v>
      </c>
      <c r="K116" s="3" t="s">
        <v>347</v>
      </c>
      <c r="L116" s="3" t="s">
        <v>20</v>
      </c>
      <c r="M116" s="3" t="s">
        <v>21</v>
      </c>
      <c r="N116" s="3">
        <v>1.0</v>
      </c>
    </row>
    <row r="117">
      <c r="A117" s="3" t="s">
        <v>353</v>
      </c>
      <c r="B117" s="9" t="str">
        <f t="shared" si="1"/>
        <v>MAISON DE L'EMPLOI DE BX</v>
      </c>
      <c r="C117" s="3">
        <v>4.9058526200069E13</v>
      </c>
      <c r="D117" s="3" t="s">
        <v>355</v>
      </c>
      <c r="E117" s="4">
        <v>43182.0</v>
      </c>
      <c r="F117" s="3" t="s">
        <v>16</v>
      </c>
      <c r="G117" s="3" t="s">
        <v>354</v>
      </c>
      <c r="H117" s="3" t="str">
        <f t="shared" si="2"/>
        <v>230000.00</v>
      </c>
      <c r="I117" s="3" t="s">
        <v>17</v>
      </c>
      <c r="J117" s="3" t="s">
        <v>18</v>
      </c>
      <c r="K117" s="3" t="s">
        <v>103</v>
      </c>
      <c r="L117" s="3" t="s">
        <v>20</v>
      </c>
      <c r="M117" s="3" t="s">
        <v>21</v>
      </c>
      <c r="N117" s="3">
        <v>1.0</v>
      </c>
    </row>
    <row r="118">
      <c r="A118" s="3" t="s">
        <v>356</v>
      </c>
      <c r="B118" s="9" t="str">
        <f t="shared" si="1"/>
        <v>AFEPT</v>
      </c>
      <c r="C118" s="3">
        <v>3.0016423300037E13</v>
      </c>
      <c r="D118" s="3" t="s">
        <v>357</v>
      </c>
      <c r="E118" s="4">
        <v>43182.0</v>
      </c>
      <c r="F118" s="3" t="s">
        <v>16</v>
      </c>
      <c r="G118" s="3" t="s">
        <v>79</v>
      </c>
      <c r="H118" s="3" t="str">
        <f t="shared" si="2"/>
        <v>60000.00</v>
      </c>
      <c r="I118" s="3" t="s">
        <v>17</v>
      </c>
      <c r="J118" s="3" t="s">
        <v>18</v>
      </c>
      <c r="K118" s="3" t="s">
        <v>103</v>
      </c>
      <c r="L118" s="3" t="s">
        <v>20</v>
      </c>
      <c r="M118" s="3" t="s">
        <v>21</v>
      </c>
      <c r="N118" s="3">
        <v>1.0</v>
      </c>
    </row>
    <row r="119">
      <c r="A119" s="3" t="s">
        <v>358</v>
      </c>
      <c r="B119" s="9" t="str">
        <f t="shared" si="1"/>
        <v>AGENCE DEVELOP. TOURISTIQUE GDE</v>
      </c>
      <c r="C119" s="3">
        <v>7.8184375000048E13</v>
      </c>
      <c r="D119" s="3" t="s">
        <v>359</v>
      </c>
      <c r="E119" s="4">
        <v>43182.0</v>
      </c>
      <c r="F119" s="3" t="s">
        <v>16</v>
      </c>
      <c r="G119" s="3" t="s">
        <v>211</v>
      </c>
      <c r="H119" s="3" t="str">
        <f t="shared" si="2"/>
        <v>180000.00</v>
      </c>
      <c r="I119" s="3" t="s">
        <v>17</v>
      </c>
      <c r="J119" s="3" t="s">
        <v>18</v>
      </c>
      <c r="K119" s="3" t="s">
        <v>103</v>
      </c>
      <c r="L119" s="3" t="s">
        <v>20</v>
      </c>
      <c r="M119" s="3" t="s">
        <v>21</v>
      </c>
      <c r="N119" s="3">
        <v>1.0</v>
      </c>
    </row>
    <row r="120">
      <c r="A120" s="3" t="s">
        <v>360</v>
      </c>
      <c r="B120" s="9" t="str">
        <f t="shared" si="1"/>
        <v>OTCM Office Tourisme &amp; Congrès Métropolitains</v>
      </c>
      <c r="C120" s="3">
        <v>7.8180455400017E13</v>
      </c>
      <c r="D120" s="3" t="s">
        <v>362</v>
      </c>
      <c r="E120" s="4">
        <v>43145.0</v>
      </c>
      <c r="F120" s="3" t="s">
        <v>16</v>
      </c>
      <c r="G120" s="3" t="s">
        <v>361</v>
      </c>
      <c r="H120" s="3" t="str">
        <f t="shared" si="2"/>
        <v>3000000.00</v>
      </c>
      <c r="I120" s="3" t="s">
        <v>17</v>
      </c>
      <c r="J120" s="3" t="s">
        <v>18</v>
      </c>
      <c r="K120" s="3" t="s">
        <v>363</v>
      </c>
      <c r="L120" s="3" t="s">
        <v>20</v>
      </c>
      <c r="M120" s="3" t="s">
        <v>21</v>
      </c>
      <c r="N120" s="3">
        <v>1.0</v>
      </c>
    </row>
    <row r="121">
      <c r="A121" s="3" t="s">
        <v>364</v>
      </c>
      <c r="B121" s="9" t="str">
        <f t="shared" si="1"/>
        <v>CREAQ</v>
      </c>
      <c r="C121" s="3">
        <v>4.1993219900013E13</v>
      </c>
      <c r="D121" s="3" t="s">
        <v>303</v>
      </c>
      <c r="E121" s="4">
        <v>43298.0</v>
      </c>
      <c r="F121" s="3" t="s">
        <v>365</v>
      </c>
      <c r="G121" s="3" t="s">
        <v>290</v>
      </c>
      <c r="H121" s="3" t="str">
        <f t="shared" si="2"/>
        <v>3000.00</v>
      </c>
      <c r="I121" s="3" t="s">
        <v>366</v>
      </c>
      <c r="J121" s="3" t="s">
        <v>367</v>
      </c>
      <c r="K121" s="3" t="s">
        <v>317</v>
      </c>
      <c r="L121" s="3" t="s">
        <v>20</v>
      </c>
      <c r="M121" s="3" t="s">
        <v>21</v>
      </c>
      <c r="N121" s="3">
        <v>1.0</v>
      </c>
    </row>
    <row r="122">
      <c r="A122" s="3" t="s">
        <v>368</v>
      </c>
      <c r="B122" s="9" t="str">
        <f t="shared" si="1"/>
        <v>CCIB</v>
      </c>
      <c r="C122" s="3">
        <v>1.3002285800018E13</v>
      </c>
      <c r="D122" s="3" t="s">
        <v>370</v>
      </c>
      <c r="E122" s="4">
        <v>43342.0</v>
      </c>
      <c r="F122" s="3" t="s">
        <v>371</v>
      </c>
      <c r="G122" s="3" t="s">
        <v>369</v>
      </c>
      <c r="H122" s="3" t="str">
        <f t="shared" si="2"/>
        <v>8500.00</v>
      </c>
      <c r="I122" s="3" t="s">
        <v>17</v>
      </c>
      <c r="J122" s="3" t="s">
        <v>18</v>
      </c>
      <c r="K122" s="3" t="s">
        <v>372</v>
      </c>
      <c r="L122" s="3" t="s">
        <v>20</v>
      </c>
      <c r="M122" s="3" t="s">
        <v>21</v>
      </c>
      <c r="N122" s="3">
        <v>1.0</v>
      </c>
    </row>
    <row r="123">
      <c r="A123" s="3" t="s">
        <v>368</v>
      </c>
      <c r="B123" s="9" t="str">
        <f t="shared" si="1"/>
        <v>CCIB</v>
      </c>
      <c r="C123" s="3">
        <v>1.3002285800019E13</v>
      </c>
      <c r="D123" s="3" t="s">
        <v>370</v>
      </c>
      <c r="E123" s="4">
        <v>43342.0</v>
      </c>
      <c r="F123" s="3" t="s">
        <v>373</v>
      </c>
      <c r="G123" s="3" t="s">
        <v>313</v>
      </c>
      <c r="H123" s="3" t="str">
        <f t="shared" si="2"/>
        <v>9000.00</v>
      </c>
      <c r="I123" s="3" t="s">
        <v>17</v>
      </c>
      <c r="J123" s="3" t="s">
        <v>18</v>
      </c>
      <c r="K123" s="3" t="s">
        <v>372</v>
      </c>
      <c r="L123" s="3" t="s">
        <v>20</v>
      </c>
      <c r="M123" s="3" t="s">
        <v>21</v>
      </c>
      <c r="N123" s="3">
        <v>1.0</v>
      </c>
    </row>
    <row r="124">
      <c r="A124" s="3" t="s">
        <v>374</v>
      </c>
      <c r="B124" s="9" t="str">
        <f t="shared" si="1"/>
        <v>CLAP SUD OUEST</v>
      </c>
      <c r="C124" s="3">
        <v>4.022835430007E13</v>
      </c>
      <c r="D124" s="3" t="s">
        <v>376</v>
      </c>
      <c r="E124" s="4">
        <v>43335.0</v>
      </c>
      <c r="F124" s="3" t="s">
        <v>337</v>
      </c>
      <c r="G124" s="3" t="s">
        <v>375</v>
      </c>
      <c r="H124" s="3" t="str">
        <f t="shared" si="2"/>
        <v>29000.00</v>
      </c>
      <c r="I124" s="3" t="s">
        <v>17</v>
      </c>
      <c r="J124" s="3" t="s">
        <v>48</v>
      </c>
      <c r="K124" s="3" t="s">
        <v>343</v>
      </c>
      <c r="L124" s="3" t="s">
        <v>20</v>
      </c>
      <c r="M124" s="3" t="s">
        <v>21</v>
      </c>
      <c r="N124" s="3">
        <v>1.0</v>
      </c>
    </row>
    <row r="125">
      <c r="A125" s="3" t="s">
        <v>22</v>
      </c>
      <c r="B125" s="9" t="str">
        <f t="shared" si="1"/>
        <v>COMPAGNONS BATISSEURS</v>
      </c>
      <c r="C125" s="3">
        <v>4.8856661300037E13</v>
      </c>
      <c r="D125" s="3" t="s">
        <v>376</v>
      </c>
      <c r="E125" s="4">
        <v>43335.0</v>
      </c>
      <c r="F125" s="3" t="s">
        <v>337</v>
      </c>
      <c r="G125" s="3" t="s">
        <v>377</v>
      </c>
      <c r="H125" s="3" t="str">
        <f t="shared" si="2"/>
        <v>13000.00</v>
      </c>
      <c r="I125" s="3" t="s">
        <v>17</v>
      </c>
      <c r="J125" s="3" t="s">
        <v>48</v>
      </c>
      <c r="K125" s="3" t="s">
        <v>343</v>
      </c>
      <c r="L125" s="3" t="s">
        <v>20</v>
      </c>
      <c r="M125" s="3" t="s">
        <v>21</v>
      </c>
      <c r="N125" s="3">
        <v>1.0</v>
      </c>
    </row>
    <row r="126">
      <c r="A126" s="3" t="s">
        <v>378</v>
      </c>
      <c r="B126" s="9" t="str">
        <f t="shared" si="1"/>
        <v>CIDFF</v>
      </c>
      <c r="C126" s="3">
        <v>3.3348540700014E13</v>
      </c>
      <c r="D126" s="3" t="s">
        <v>376</v>
      </c>
      <c r="E126" s="4">
        <v>43342.0</v>
      </c>
      <c r="F126" s="3" t="s">
        <v>337</v>
      </c>
      <c r="G126" s="3" t="s">
        <v>379</v>
      </c>
      <c r="H126" s="3" t="str">
        <f t="shared" si="2"/>
        <v>10300.00</v>
      </c>
      <c r="I126" s="3" t="s">
        <v>17</v>
      </c>
      <c r="J126" s="3" t="s">
        <v>48</v>
      </c>
      <c r="K126" s="3" t="s">
        <v>372</v>
      </c>
      <c r="L126" s="3" t="s">
        <v>20</v>
      </c>
      <c r="M126" s="3" t="s">
        <v>21</v>
      </c>
      <c r="N126" s="3">
        <v>1.0</v>
      </c>
    </row>
    <row r="127">
      <c r="A127" s="3" t="s">
        <v>380</v>
      </c>
      <c r="B127" s="9" t="str">
        <f t="shared" si="1"/>
        <v>CAP SCIENCES</v>
      </c>
      <c r="C127" s="3">
        <v>3.9988425300036E13</v>
      </c>
      <c r="D127" s="3" t="s">
        <v>382</v>
      </c>
      <c r="E127" s="4">
        <v>43353.0</v>
      </c>
      <c r="F127" s="3" t="s">
        <v>16</v>
      </c>
      <c r="G127" s="3" t="s">
        <v>381</v>
      </c>
      <c r="H127" s="3" t="str">
        <f t="shared" si="2"/>
        <v>320000.00</v>
      </c>
      <c r="I127" s="3" t="s">
        <v>17</v>
      </c>
      <c r="J127" s="3" t="s">
        <v>18</v>
      </c>
      <c r="K127" s="3" t="s">
        <v>383</v>
      </c>
      <c r="L127" s="3" t="s">
        <v>20</v>
      </c>
      <c r="M127" s="3" t="s">
        <v>21</v>
      </c>
      <c r="N127" s="3">
        <v>1.0</v>
      </c>
    </row>
    <row r="128">
      <c r="A128" s="3" t="s">
        <v>380</v>
      </c>
      <c r="B128" s="9" t="str">
        <f t="shared" si="1"/>
        <v>CAP SCIENCES</v>
      </c>
      <c r="C128" s="3">
        <v>3.9988425300036E13</v>
      </c>
      <c r="D128" s="3" t="s">
        <v>382</v>
      </c>
      <c r="E128" s="4">
        <v>43353.0</v>
      </c>
      <c r="F128" s="3" t="s">
        <v>276</v>
      </c>
      <c r="G128" s="3" t="s">
        <v>384</v>
      </c>
      <c r="H128" s="3" t="str">
        <f t="shared" si="2"/>
        <v>120000.00</v>
      </c>
      <c r="I128" s="3" t="s">
        <v>17</v>
      </c>
      <c r="J128" s="3" t="s">
        <v>18</v>
      </c>
      <c r="K128" s="3" t="s">
        <v>383</v>
      </c>
      <c r="L128" s="3" t="s">
        <v>20</v>
      </c>
      <c r="M128" s="3" t="s">
        <v>21</v>
      </c>
      <c r="N128" s="3">
        <v>1.0</v>
      </c>
    </row>
    <row r="129">
      <c r="A129" s="3" t="s">
        <v>385</v>
      </c>
      <c r="B129" s="9" t="str">
        <f t="shared" si="1"/>
        <v>MAISON EMPLOI INSERTION ECO ENTREP</v>
      </c>
      <c r="C129" s="3">
        <v>4.9058526200069E13</v>
      </c>
      <c r="D129" s="3" t="s">
        <v>386</v>
      </c>
      <c r="E129" s="4">
        <v>43353.0</v>
      </c>
      <c r="F129" s="3" t="s">
        <v>387</v>
      </c>
      <c r="G129" s="3" t="s">
        <v>167</v>
      </c>
      <c r="H129" s="3" t="str">
        <f t="shared" si="2"/>
        <v>20000.00</v>
      </c>
      <c r="I129" s="3" t="s">
        <v>17</v>
      </c>
      <c r="J129" s="3" t="s">
        <v>18</v>
      </c>
      <c r="K129" s="3" t="s">
        <v>383</v>
      </c>
      <c r="L129" s="3" t="s">
        <v>20</v>
      </c>
      <c r="M129" s="3" t="s">
        <v>21</v>
      </c>
      <c r="N129" s="3">
        <v>1.0</v>
      </c>
    </row>
    <row r="130">
      <c r="A130" s="3" t="s">
        <v>0</v>
      </c>
      <c r="B130" s="9" t="str">
        <f t="shared" si="1"/>
        <v>idBeneficiaire</v>
      </c>
      <c r="C130" s="3" t="s">
        <v>2</v>
      </c>
      <c r="D130" s="3" t="s">
        <v>3</v>
      </c>
      <c r="E130" s="3" t="s">
        <v>4</v>
      </c>
      <c r="F130" s="3" t="s">
        <v>5</v>
      </c>
      <c r="G130" s="3" t="s">
        <v>1</v>
      </c>
      <c r="H130" s="3" t="str">
        <f t="shared" si="2"/>
        <v>montant</v>
      </c>
      <c r="I130" s="3" t="s">
        <v>6</v>
      </c>
      <c r="J130" s="3" t="s">
        <v>7</v>
      </c>
      <c r="K130" s="3" t="s">
        <v>8</v>
      </c>
      <c r="L130" s="3" t="s">
        <v>9</v>
      </c>
      <c r="M130" s="3" t="s">
        <v>10</v>
      </c>
      <c r="N130" s="3" t="s">
        <v>11</v>
      </c>
    </row>
    <row r="131">
      <c r="A131" s="3" t="s">
        <v>385</v>
      </c>
      <c r="B131" s="9" t="str">
        <f t="shared" si="1"/>
        <v>MAISON EMPLOI INSERTION ECO ENTREP</v>
      </c>
      <c r="C131" s="3">
        <v>4.9058526200069E13</v>
      </c>
      <c r="D131" s="3" t="s">
        <v>388</v>
      </c>
      <c r="E131" s="4">
        <v>43353.0</v>
      </c>
      <c r="F131" s="3" t="s">
        <v>330</v>
      </c>
      <c r="G131" s="3" t="s">
        <v>233</v>
      </c>
      <c r="H131" s="3" t="str">
        <f t="shared" si="2"/>
        <v>25000.00</v>
      </c>
      <c r="I131" s="3" t="s">
        <v>17</v>
      </c>
      <c r="J131" s="3" t="s">
        <v>18</v>
      </c>
      <c r="K131" s="3" t="s">
        <v>383</v>
      </c>
      <c r="L131" s="3" t="s">
        <v>20</v>
      </c>
      <c r="M131" s="3" t="s">
        <v>21</v>
      </c>
      <c r="N131" s="3">
        <v>1.0</v>
      </c>
    </row>
    <row r="132">
      <c r="A132" s="3" t="s">
        <v>389</v>
      </c>
      <c r="B132" s="9" t="str">
        <f t="shared" si="1"/>
        <v>PRINC'ESS</v>
      </c>
      <c r="C132" s="3">
        <v>8.3176796700019E13</v>
      </c>
      <c r="D132" s="3" t="s">
        <v>275</v>
      </c>
      <c r="E132" s="4">
        <v>43353.0</v>
      </c>
      <c r="F132" s="3" t="s">
        <v>390</v>
      </c>
      <c r="G132" s="3" t="s">
        <v>166</v>
      </c>
      <c r="H132" s="3" t="str">
        <f t="shared" si="2"/>
        <v>8000.00</v>
      </c>
      <c r="I132" s="3" t="s">
        <v>17</v>
      </c>
      <c r="J132" s="3" t="s">
        <v>18</v>
      </c>
      <c r="K132" s="3" t="s">
        <v>383</v>
      </c>
      <c r="L132" s="3" t="s">
        <v>20</v>
      </c>
      <c r="M132" s="3" t="s">
        <v>21</v>
      </c>
      <c r="N132" s="3">
        <v>1.0</v>
      </c>
    </row>
    <row r="133">
      <c r="A133" s="3" t="s">
        <v>391</v>
      </c>
      <c r="B133" s="9" t="str">
        <f t="shared" si="1"/>
        <v>PUBLICATION du 20 novembre 2018</v>
      </c>
      <c r="H133" s="3" t="str">
        <f t="shared" si="2"/>
        <v/>
      </c>
    </row>
    <row r="134">
      <c r="A134" s="3" t="s">
        <v>0</v>
      </c>
      <c r="B134" s="9" t="str">
        <f t="shared" si="1"/>
        <v>idBeneficiaire</v>
      </c>
      <c r="C134" s="3" t="s">
        <v>2</v>
      </c>
      <c r="D134" s="3" t="s">
        <v>3</v>
      </c>
      <c r="E134" s="3" t="s">
        <v>4</v>
      </c>
      <c r="F134" s="3" t="s">
        <v>5</v>
      </c>
      <c r="G134" s="3" t="s">
        <v>1</v>
      </c>
      <c r="H134" s="3" t="str">
        <f t="shared" si="2"/>
        <v>montant</v>
      </c>
      <c r="I134" s="3" t="s">
        <v>6</v>
      </c>
      <c r="J134" s="3" t="s">
        <v>7</v>
      </c>
      <c r="K134" s="3" t="s">
        <v>8</v>
      </c>
      <c r="L134" s="3" t="s">
        <v>9</v>
      </c>
      <c r="M134" s="3" t="s">
        <v>10</v>
      </c>
      <c r="N134" s="3" t="s">
        <v>11</v>
      </c>
    </row>
    <row r="135">
      <c r="A135" s="3" t="s">
        <v>392</v>
      </c>
      <c r="B135" s="9" t="str">
        <f t="shared" si="1"/>
        <v>A.DE.LE</v>
      </c>
      <c r="C135" s="3">
        <v>4.3383539400027E13</v>
      </c>
      <c r="D135" s="3" t="s">
        <v>388</v>
      </c>
      <c r="E135" s="4">
        <v>43370.0</v>
      </c>
      <c r="F135" s="3" t="s">
        <v>330</v>
      </c>
      <c r="G135" s="3" t="s">
        <v>233</v>
      </c>
      <c r="H135" s="3" t="str">
        <f t="shared" si="2"/>
        <v>25000.00</v>
      </c>
      <c r="I135" s="3" t="s">
        <v>17</v>
      </c>
      <c r="J135" s="3" t="s">
        <v>18</v>
      </c>
      <c r="K135" s="3" t="s">
        <v>393</v>
      </c>
      <c r="L135" s="3" t="s">
        <v>20</v>
      </c>
      <c r="M135" s="3" t="s">
        <v>21</v>
      </c>
      <c r="N135" s="3">
        <v>1.0</v>
      </c>
    </row>
    <row r="136">
      <c r="A136" s="3" t="s">
        <v>394</v>
      </c>
      <c r="B136" s="9" t="str">
        <f t="shared" si="1"/>
        <v>CAISSE SOCIALE ENTRAIDE SAP.POMPIERS CUB</v>
      </c>
      <c r="C136" s="3">
        <v>7.8184992200021E13</v>
      </c>
      <c r="D136" s="3" t="s">
        <v>396</v>
      </c>
      <c r="E136" s="4">
        <v>43361.0</v>
      </c>
      <c r="F136" s="3" t="s">
        <v>397</v>
      </c>
      <c r="G136" s="3" t="s">
        <v>395</v>
      </c>
      <c r="H136" s="3" t="str">
        <f t="shared" si="2"/>
        <v>133663.21</v>
      </c>
      <c r="I136" s="3" t="s">
        <v>17</v>
      </c>
      <c r="J136" s="3" t="s">
        <v>48</v>
      </c>
      <c r="K136" s="3" t="s">
        <v>398</v>
      </c>
      <c r="L136" s="3" t="s">
        <v>20</v>
      </c>
      <c r="M136" s="3" t="s">
        <v>21</v>
      </c>
      <c r="N136" s="3">
        <v>1.0</v>
      </c>
    </row>
    <row r="137">
      <c r="A137" s="3" t="s">
        <v>249</v>
      </c>
      <c r="B137" s="9" t="str">
        <f t="shared" si="1"/>
        <v>COOP ALPHA</v>
      </c>
      <c r="C137" s="3">
        <v>4.8237148100029E13</v>
      </c>
      <c r="D137" s="3" t="s">
        <v>399</v>
      </c>
      <c r="E137" s="4">
        <v>43368.0</v>
      </c>
      <c r="F137" s="3" t="s">
        <v>337</v>
      </c>
      <c r="G137" s="3" t="s">
        <v>339</v>
      </c>
      <c r="H137" s="3" t="str">
        <f t="shared" si="2"/>
        <v>4000.00</v>
      </c>
      <c r="I137" s="3" t="s">
        <v>17</v>
      </c>
      <c r="J137" s="3" t="s">
        <v>48</v>
      </c>
      <c r="K137" s="3" t="s">
        <v>400</v>
      </c>
      <c r="L137" s="3" t="s">
        <v>20</v>
      </c>
      <c r="M137" s="3" t="s">
        <v>21</v>
      </c>
      <c r="N137" s="3">
        <v>1.0</v>
      </c>
    </row>
    <row r="138">
      <c r="A138" s="3" t="s">
        <v>401</v>
      </c>
      <c r="B138" s="9" t="str">
        <f t="shared" si="1"/>
        <v>CEPRI</v>
      </c>
      <c r="C138" s="3">
        <v>4.9322382000017E13</v>
      </c>
      <c r="D138" s="3" t="s">
        <v>403</v>
      </c>
      <c r="E138" s="4">
        <v>43364.0</v>
      </c>
      <c r="F138" s="3" t="s">
        <v>397</v>
      </c>
      <c r="G138" s="3" t="s">
        <v>402</v>
      </c>
      <c r="H138" s="3" t="str">
        <f t="shared" si="2"/>
        <v>7500.00</v>
      </c>
      <c r="I138" s="3" t="s">
        <v>17</v>
      </c>
      <c r="J138" s="3" t="s">
        <v>18</v>
      </c>
      <c r="K138" s="3" t="s">
        <v>404</v>
      </c>
      <c r="L138" s="3" t="s">
        <v>20</v>
      </c>
      <c r="M138" s="3" t="s">
        <v>21</v>
      </c>
      <c r="N138" s="3">
        <v>1.0</v>
      </c>
    </row>
    <row r="139">
      <c r="A139" s="3" t="s">
        <v>227</v>
      </c>
      <c r="B139" s="9" t="str">
        <f t="shared" si="1"/>
        <v>MUSIQUE DE NUIT DIFFUSION</v>
      </c>
      <c r="C139" s="3">
        <v>3.4169319000033E13</v>
      </c>
      <c r="D139" s="3" t="s">
        <v>399</v>
      </c>
      <c r="E139" s="4">
        <v>43371.0</v>
      </c>
      <c r="F139" s="3" t="s">
        <v>337</v>
      </c>
      <c r="G139" s="3" t="s">
        <v>161</v>
      </c>
      <c r="H139" s="3" t="str">
        <f t="shared" si="2"/>
        <v>11000.00</v>
      </c>
      <c r="I139" s="3" t="s">
        <v>17</v>
      </c>
      <c r="J139" s="3" t="s">
        <v>48</v>
      </c>
      <c r="K139" s="3" t="s">
        <v>405</v>
      </c>
      <c r="L139" s="3" t="s">
        <v>20</v>
      </c>
      <c r="M139" s="3" t="s">
        <v>21</v>
      </c>
      <c r="N139" s="3">
        <v>1.0</v>
      </c>
    </row>
    <row r="140">
      <c r="A140" s="3" t="s">
        <v>406</v>
      </c>
      <c r="B140" s="9" t="str">
        <f t="shared" si="1"/>
        <v>MEBA (MAISON DE L'EUROPE)</v>
      </c>
      <c r="C140" s="3">
        <v>5.1779186900012E13</v>
      </c>
      <c r="D140" s="3" t="s">
        <v>408</v>
      </c>
      <c r="E140" s="4">
        <v>43306.0</v>
      </c>
      <c r="F140" s="3" t="s">
        <v>16</v>
      </c>
      <c r="G140" s="3" t="s">
        <v>407</v>
      </c>
      <c r="H140" s="3" t="str">
        <f t="shared" si="2"/>
        <v>59400.00</v>
      </c>
      <c r="I140" s="3" t="s">
        <v>17</v>
      </c>
      <c r="J140" s="3" t="s">
        <v>18</v>
      </c>
      <c r="K140" s="3" t="s">
        <v>308</v>
      </c>
      <c r="L140" s="3" t="s">
        <v>20</v>
      </c>
      <c r="M140" s="3" t="s">
        <v>21</v>
      </c>
      <c r="N140" s="3">
        <v>1.0</v>
      </c>
    </row>
    <row r="141">
      <c r="A141" s="3" t="s">
        <v>289</v>
      </c>
      <c r="B141" s="9" t="str">
        <f t="shared" si="1"/>
        <v>ETU RECUP</v>
      </c>
      <c r="C141" s="3">
        <v>8.0127651000011E13</v>
      </c>
      <c r="D141" s="3" t="s">
        <v>300</v>
      </c>
      <c r="E141" s="4">
        <v>43356.0</v>
      </c>
      <c r="F141" s="3" t="s">
        <v>409</v>
      </c>
      <c r="G141" s="3" t="s">
        <v>299</v>
      </c>
      <c r="H141" s="3" t="str">
        <f t="shared" si="2"/>
        <v>55000.00</v>
      </c>
      <c r="I141" s="3" t="s">
        <v>17</v>
      </c>
      <c r="J141" s="3" t="s">
        <v>18</v>
      </c>
      <c r="K141" s="3" t="s">
        <v>410</v>
      </c>
      <c r="L141" s="3" t="s">
        <v>20</v>
      </c>
      <c r="M141" s="3" t="s">
        <v>21</v>
      </c>
      <c r="N141" s="3">
        <v>1.0</v>
      </c>
    </row>
    <row r="142">
      <c r="A142" s="3" t="s">
        <v>411</v>
      </c>
      <c r="B142" s="9" t="str">
        <f t="shared" si="1"/>
        <v>O PLAFOND</v>
      </c>
      <c r="C142" s="3">
        <v>8.1028483600014E13</v>
      </c>
      <c r="D142" s="3" t="s">
        <v>303</v>
      </c>
      <c r="E142" s="4">
        <v>43342.0</v>
      </c>
      <c r="F142" s="3" t="s">
        <v>413</v>
      </c>
      <c r="G142" s="3" t="s">
        <v>412</v>
      </c>
      <c r="H142" s="3" t="str">
        <f t="shared" si="2"/>
        <v>2000.00</v>
      </c>
      <c r="I142" s="3" t="s">
        <v>17</v>
      </c>
      <c r="J142" s="3" t="s">
        <v>48</v>
      </c>
      <c r="K142" s="3" t="s">
        <v>372</v>
      </c>
      <c r="L142" s="3" t="s">
        <v>20</v>
      </c>
      <c r="M142" s="3" t="s">
        <v>21</v>
      </c>
      <c r="N142" s="3">
        <v>1.0</v>
      </c>
    </row>
    <row r="143">
      <c r="A143" s="3" t="s">
        <v>249</v>
      </c>
      <c r="B143" s="9" t="str">
        <f t="shared" si="1"/>
        <v>COOP ALPHA</v>
      </c>
      <c r="C143" s="3">
        <v>4.8237148100029E13</v>
      </c>
      <c r="D143" s="3" t="s">
        <v>303</v>
      </c>
      <c r="E143" s="4">
        <v>43368.0</v>
      </c>
      <c r="F143" s="3" t="s">
        <v>413</v>
      </c>
      <c r="G143" s="3" t="s">
        <v>414</v>
      </c>
      <c r="H143" s="3" t="str">
        <f t="shared" si="2"/>
        <v>1500.00</v>
      </c>
      <c r="I143" s="3" t="s">
        <v>17</v>
      </c>
      <c r="J143" s="3" t="s">
        <v>48</v>
      </c>
      <c r="K143" s="3" t="s">
        <v>400</v>
      </c>
      <c r="L143" s="3" t="s">
        <v>20</v>
      </c>
      <c r="M143" s="3" t="s">
        <v>21</v>
      </c>
      <c r="N143" s="3">
        <v>1.0</v>
      </c>
    </row>
    <row r="144">
      <c r="A144" s="3" t="s">
        <v>415</v>
      </c>
      <c r="B144" s="9" t="str">
        <f t="shared" si="1"/>
        <v>AGEC &amp; CO</v>
      </c>
      <c r="C144" s="3">
        <v>4.9848483100033E13</v>
      </c>
      <c r="D144" s="3" t="s">
        <v>417</v>
      </c>
      <c r="E144" s="4">
        <v>43391.0</v>
      </c>
      <c r="F144" s="3" t="s">
        <v>16</v>
      </c>
      <c r="G144" s="3" t="s">
        <v>416</v>
      </c>
      <c r="H144" s="3" t="str">
        <f t="shared" si="2"/>
        <v>14250.00</v>
      </c>
      <c r="I144" s="3" t="s">
        <v>17</v>
      </c>
      <c r="J144" s="3" t="s">
        <v>18</v>
      </c>
      <c r="K144" s="3" t="s">
        <v>418</v>
      </c>
      <c r="L144" s="3" t="s">
        <v>20</v>
      </c>
      <c r="M144" s="3" t="s">
        <v>21</v>
      </c>
      <c r="N144" s="3">
        <v>1.0</v>
      </c>
    </row>
    <row r="145">
      <c r="A145" s="3" t="s">
        <v>419</v>
      </c>
      <c r="B145" s="9" t="str">
        <f t="shared" si="1"/>
        <v>ADAV 33</v>
      </c>
      <c r="C145" s="3">
        <v>3.0091783800025E13</v>
      </c>
      <c r="D145" s="3" t="s">
        <v>421</v>
      </c>
      <c r="E145" s="4">
        <v>43385.0</v>
      </c>
      <c r="F145" s="3" t="s">
        <v>16</v>
      </c>
      <c r="G145" s="3" t="s">
        <v>420</v>
      </c>
      <c r="H145" s="3" t="str">
        <f t="shared" si="2"/>
        <v>87400.00</v>
      </c>
      <c r="I145" s="3" t="s">
        <v>17</v>
      </c>
      <c r="J145" s="3" t="s">
        <v>18</v>
      </c>
      <c r="K145" s="3" t="s">
        <v>422</v>
      </c>
      <c r="L145" s="3" t="s">
        <v>20</v>
      </c>
      <c r="M145" s="3" t="s">
        <v>21</v>
      </c>
      <c r="N145" s="3">
        <v>1.0</v>
      </c>
    </row>
    <row r="146">
      <c r="A146" s="3" t="s">
        <v>164</v>
      </c>
      <c r="B146" s="9" t="str">
        <f t="shared" si="1"/>
        <v>LETTRES DU MONDE</v>
      </c>
      <c r="C146" s="3">
        <v>4.5227479800035E13</v>
      </c>
      <c r="D146" s="3" t="s">
        <v>424</v>
      </c>
      <c r="E146" s="4">
        <v>43406.0</v>
      </c>
      <c r="F146" s="3" t="s">
        <v>425</v>
      </c>
      <c r="G146" s="3" t="s">
        <v>423</v>
      </c>
      <c r="H146" s="3" t="str">
        <f t="shared" si="2"/>
        <v>9500.00</v>
      </c>
      <c r="I146" s="3" t="s">
        <v>17</v>
      </c>
      <c r="J146" s="3" t="s">
        <v>18</v>
      </c>
      <c r="K146" s="3" t="s">
        <v>426</v>
      </c>
      <c r="L146" s="3" t="s">
        <v>20</v>
      </c>
      <c r="M146" s="3" t="s">
        <v>21</v>
      </c>
      <c r="N146" s="3">
        <v>1.0</v>
      </c>
    </row>
    <row r="147">
      <c r="A147" s="3" t="s">
        <v>427</v>
      </c>
      <c r="B147" s="9" t="str">
        <f t="shared" si="1"/>
        <v>CLUSTER BORDEAUX SUPERYACHT</v>
      </c>
      <c r="C147" s="3">
        <v>8.2071933400014E13</v>
      </c>
      <c r="D147" s="3" t="s">
        <v>428</v>
      </c>
      <c r="E147" s="4">
        <v>43411.0</v>
      </c>
      <c r="F147" s="3" t="s">
        <v>16</v>
      </c>
      <c r="G147" s="3" t="s">
        <v>233</v>
      </c>
      <c r="H147" s="3" t="str">
        <f t="shared" si="2"/>
        <v>25000.00</v>
      </c>
      <c r="I147" s="3" t="s">
        <v>17</v>
      </c>
      <c r="J147" s="3" t="s">
        <v>18</v>
      </c>
      <c r="K147" s="3" t="s">
        <v>429</v>
      </c>
      <c r="L147" s="3" t="s">
        <v>20</v>
      </c>
      <c r="M147" s="3" t="s">
        <v>21</v>
      </c>
      <c r="N147" s="3">
        <v>1.0</v>
      </c>
    </row>
    <row r="148">
      <c r="A148" s="3" t="s">
        <v>430</v>
      </c>
      <c r="B148" s="9" t="str">
        <f t="shared" si="1"/>
        <v>GARAGE MODERNE</v>
      </c>
      <c r="C148" s="3">
        <v>4.3470528100021E13</v>
      </c>
      <c r="D148" s="3" t="s">
        <v>431</v>
      </c>
      <c r="E148" s="4">
        <v>43411.0</v>
      </c>
      <c r="F148" s="3" t="s">
        <v>16</v>
      </c>
      <c r="G148" s="3" t="s">
        <v>149</v>
      </c>
      <c r="H148" s="3" t="str">
        <f t="shared" si="2"/>
        <v>30000.00</v>
      </c>
      <c r="I148" s="3" t="s">
        <v>17</v>
      </c>
      <c r="J148" s="3" t="s">
        <v>18</v>
      </c>
      <c r="K148" s="3" t="s">
        <v>429</v>
      </c>
      <c r="L148" s="3" t="s">
        <v>20</v>
      </c>
      <c r="M148" s="3" t="s">
        <v>21</v>
      </c>
      <c r="N148" s="3">
        <v>1.0</v>
      </c>
    </row>
    <row r="149">
      <c r="A149" s="3" t="s">
        <v>432</v>
      </c>
      <c r="B149" s="9" t="str">
        <f t="shared" si="1"/>
        <v>URHAJ</v>
      </c>
      <c r="C149" s="3">
        <v>8.2791162900018E13</v>
      </c>
      <c r="D149" s="3" t="s">
        <v>434</v>
      </c>
      <c r="E149" s="4">
        <v>43347.0</v>
      </c>
      <c r="F149" s="3" t="s">
        <v>16</v>
      </c>
      <c r="G149" s="3" t="s">
        <v>433</v>
      </c>
      <c r="H149" s="3" t="str">
        <f t="shared" si="2"/>
        <v>72200.00</v>
      </c>
      <c r="I149" s="3" t="s">
        <v>17</v>
      </c>
      <c r="J149" s="3" t="s">
        <v>18</v>
      </c>
      <c r="K149" s="3" t="s">
        <v>435</v>
      </c>
      <c r="L149" s="3" t="s">
        <v>20</v>
      </c>
      <c r="M149" s="3" t="s">
        <v>21</v>
      </c>
      <c r="N149" s="3">
        <v>1.0</v>
      </c>
    </row>
    <row r="150">
      <c r="A150" s="3" t="s">
        <v>0</v>
      </c>
      <c r="B150" s="9" t="str">
        <f t="shared" si="1"/>
        <v>idBeneficiaire</v>
      </c>
      <c r="C150" s="3" t="s">
        <v>2</v>
      </c>
      <c r="D150" s="3" t="s">
        <v>3</v>
      </c>
      <c r="E150" s="3" t="s">
        <v>4</v>
      </c>
      <c r="F150" s="3" t="s">
        <v>5</v>
      </c>
      <c r="G150" s="3" t="s">
        <v>1</v>
      </c>
      <c r="H150" s="3" t="str">
        <f t="shared" si="2"/>
        <v>montant</v>
      </c>
      <c r="I150" s="3" t="s">
        <v>6</v>
      </c>
      <c r="J150" s="3" t="s">
        <v>7</v>
      </c>
      <c r="K150" s="3" t="s">
        <v>8</v>
      </c>
      <c r="L150" s="3" t="s">
        <v>9</v>
      </c>
      <c r="M150" s="3" t="s">
        <v>10</v>
      </c>
      <c r="N150" s="3" t="s">
        <v>11</v>
      </c>
    </row>
    <row r="151">
      <c r="A151" s="3" t="s">
        <v>182</v>
      </c>
      <c r="B151" s="9" t="str">
        <f t="shared" si="1"/>
        <v>AQUITAINE ACTIVE</v>
      </c>
      <c r="C151" s="3">
        <v>4.515460970001E13</v>
      </c>
      <c r="D151" s="3" t="s">
        <v>436</v>
      </c>
      <c r="E151" s="4">
        <v>43417.0</v>
      </c>
      <c r="F151" s="3" t="s">
        <v>437</v>
      </c>
      <c r="G151" s="3" t="s">
        <v>201</v>
      </c>
      <c r="H151" s="3" t="str">
        <f t="shared" si="2"/>
        <v>50000.00</v>
      </c>
      <c r="I151" s="3" t="s">
        <v>17</v>
      </c>
      <c r="J151" s="3" t="s">
        <v>18</v>
      </c>
      <c r="K151" s="3" t="s">
        <v>438</v>
      </c>
      <c r="L151" s="3" t="s">
        <v>20</v>
      </c>
      <c r="M151" s="3" t="s">
        <v>21</v>
      </c>
      <c r="N151" s="3">
        <v>1.0</v>
      </c>
    </row>
    <row r="152">
      <c r="A152" s="3" t="s">
        <v>439</v>
      </c>
      <c r="B152" s="9" t="str">
        <f t="shared" si="1"/>
        <v>AEROSPACE VALLEY</v>
      </c>
      <c r="C152" s="3">
        <v>4.8428452600072E13</v>
      </c>
      <c r="D152" s="3" t="s">
        <v>441</v>
      </c>
      <c r="E152" s="4">
        <v>43417.0</v>
      </c>
      <c r="F152" s="3" t="s">
        <v>16</v>
      </c>
      <c r="G152" s="3" t="s">
        <v>440</v>
      </c>
      <c r="H152" s="3" t="str">
        <f t="shared" si="2"/>
        <v>90000.00</v>
      </c>
      <c r="I152" s="3" t="s">
        <v>17</v>
      </c>
      <c r="J152" s="3" t="s">
        <v>18</v>
      </c>
      <c r="K152" s="3" t="s">
        <v>438</v>
      </c>
      <c r="L152" s="3" t="s">
        <v>20</v>
      </c>
      <c r="M152" s="3" t="s">
        <v>21</v>
      </c>
      <c r="N152" s="3">
        <v>1.0</v>
      </c>
    </row>
    <row r="153">
      <c r="A153" s="3" t="s">
        <v>442</v>
      </c>
      <c r="B153" s="9" t="str">
        <f t="shared" si="1"/>
        <v>LA RONDE DES QUARTIERS DE BX</v>
      </c>
      <c r="C153" s="3">
        <v>5.2539664400011E13</v>
      </c>
      <c r="D153" s="3" t="s">
        <v>443</v>
      </c>
      <c r="E153" s="4">
        <v>43418.0</v>
      </c>
      <c r="F153" s="3" t="s">
        <v>444</v>
      </c>
      <c r="G153" s="3" t="s">
        <v>377</v>
      </c>
      <c r="H153" s="3" t="str">
        <f t="shared" si="2"/>
        <v>13000.00</v>
      </c>
      <c r="I153" s="3" t="s">
        <v>17</v>
      </c>
      <c r="J153" s="3" t="s">
        <v>18</v>
      </c>
      <c r="K153" s="3" t="s">
        <v>445</v>
      </c>
      <c r="L153" s="3" t="s">
        <v>20</v>
      </c>
      <c r="M153" s="3" t="s">
        <v>21</v>
      </c>
      <c r="N153" s="3">
        <v>1.0</v>
      </c>
    </row>
    <row r="154">
      <c r="A154" s="3" t="s">
        <v>442</v>
      </c>
      <c r="B154" s="9" t="str">
        <f t="shared" si="1"/>
        <v>LA RONDE DES QUARTIERS DE BX</v>
      </c>
      <c r="C154" s="3">
        <v>5.2539664400011E13</v>
      </c>
      <c r="D154" s="3" t="s">
        <v>443</v>
      </c>
      <c r="E154" s="4">
        <v>43418.0</v>
      </c>
      <c r="F154" s="3" t="s">
        <v>446</v>
      </c>
      <c r="G154" s="3" t="s">
        <v>105</v>
      </c>
      <c r="H154" s="3" t="str">
        <f t="shared" si="2"/>
        <v>15000.00</v>
      </c>
      <c r="I154" s="3" t="s">
        <v>17</v>
      </c>
      <c r="J154" s="3" t="s">
        <v>48</v>
      </c>
      <c r="K154" s="3" t="s">
        <v>445</v>
      </c>
      <c r="L154" s="3" t="s">
        <v>20</v>
      </c>
      <c r="M154" s="3" t="s">
        <v>21</v>
      </c>
      <c r="N154" s="3">
        <v>1.0</v>
      </c>
    </row>
    <row r="155">
      <c r="A155" s="3" t="s">
        <v>442</v>
      </c>
      <c r="B155" s="9" t="str">
        <f t="shared" si="1"/>
        <v>LA RONDE DES QUARTIERS DE BX</v>
      </c>
      <c r="C155" s="3">
        <v>5.2539664400011E13</v>
      </c>
      <c r="D155" s="3" t="s">
        <v>443</v>
      </c>
      <c r="E155" s="4">
        <v>43418.0</v>
      </c>
      <c r="F155" s="3" t="s">
        <v>312</v>
      </c>
      <c r="G155" s="3" t="s">
        <v>447</v>
      </c>
      <c r="H155" s="3" t="str">
        <f t="shared" si="2"/>
        <v>46318.00</v>
      </c>
      <c r="I155" s="3" t="s">
        <v>17</v>
      </c>
      <c r="J155" s="3" t="s">
        <v>18</v>
      </c>
      <c r="K155" s="3" t="s">
        <v>445</v>
      </c>
      <c r="L155" s="3" t="s">
        <v>20</v>
      </c>
      <c r="M155" s="3" t="s">
        <v>21</v>
      </c>
      <c r="N155" s="3">
        <v>1.0</v>
      </c>
    </row>
    <row r="156">
      <c r="A156" s="3" t="s">
        <v>448</v>
      </c>
      <c r="B156" s="9" t="str">
        <f t="shared" si="1"/>
        <v>COAEQUO</v>
      </c>
      <c r="C156" s="3">
        <v>8.312204960001E13</v>
      </c>
      <c r="D156" s="3" t="s">
        <v>449</v>
      </c>
      <c r="E156" s="4">
        <v>43419.0</v>
      </c>
      <c r="F156" s="3" t="s">
        <v>450</v>
      </c>
      <c r="G156" s="3" t="s">
        <v>416</v>
      </c>
      <c r="H156" s="3" t="str">
        <f t="shared" si="2"/>
        <v>14250.00</v>
      </c>
      <c r="I156" s="3" t="s">
        <v>17</v>
      </c>
      <c r="J156" s="3" t="s">
        <v>18</v>
      </c>
      <c r="K156" s="3" t="s">
        <v>451</v>
      </c>
      <c r="L156" s="3" t="s">
        <v>20</v>
      </c>
      <c r="M156" s="3" t="s">
        <v>21</v>
      </c>
      <c r="N156" s="3">
        <v>1.0</v>
      </c>
    </row>
    <row r="157">
      <c r="A157" s="3" t="s">
        <v>328</v>
      </c>
      <c r="B157" s="9" t="str">
        <f t="shared" si="1"/>
        <v>ADSI TECHNOWEST</v>
      </c>
      <c r="C157" s="3">
        <v>4.3403882400042E13</v>
      </c>
      <c r="D157" s="3" t="s">
        <v>452</v>
      </c>
      <c r="E157" s="4">
        <v>43420.0</v>
      </c>
      <c r="F157" s="3" t="s">
        <v>453</v>
      </c>
      <c r="G157" s="3" t="s">
        <v>209</v>
      </c>
      <c r="H157" s="3" t="str">
        <f t="shared" si="2"/>
        <v>14000.00</v>
      </c>
      <c r="I157" s="3" t="s">
        <v>17</v>
      </c>
      <c r="J157" s="3" t="s">
        <v>18</v>
      </c>
      <c r="K157" s="3" t="s">
        <v>454</v>
      </c>
      <c r="L157" s="3" t="s">
        <v>20</v>
      </c>
      <c r="M157" s="3" t="s">
        <v>21</v>
      </c>
      <c r="N157" s="3">
        <v>1.0</v>
      </c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6" max="6" width="18.63"/>
  </cols>
  <sheetData>
    <row r="1">
      <c r="A1" s="7" t="s">
        <v>755</v>
      </c>
      <c r="B1" s="1" t="s">
        <v>756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392</v>
      </c>
      <c r="B2" s="5">
        <v>25000.0</v>
      </c>
      <c r="C2" s="3">
        <v>4.3383539400027E13</v>
      </c>
      <c r="D2" s="3" t="s">
        <v>388</v>
      </c>
      <c r="E2" s="4">
        <v>43370.0</v>
      </c>
      <c r="F2" s="3" t="s">
        <v>330</v>
      </c>
      <c r="G2" s="3" t="s">
        <v>17</v>
      </c>
      <c r="H2" s="3" t="s">
        <v>18</v>
      </c>
      <c r="I2" s="3" t="s">
        <v>393</v>
      </c>
      <c r="J2" s="3" t="s">
        <v>20</v>
      </c>
      <c r="K2" s="3" t="s">
        <v>21</v>
      </c>
      <c r="L2" s="3">
        <v>1.0</v>
      </c>
    </row>
    <row r="3">
      <c r="A3" s="9" t="s">
        <v>235</v>
      </c>
      <c r="B3" s="5">
        <v>2100.0</v>
      </c>
      <c r="C3" s="3">
        <v>7.50447567E8</v>
      </c>
      <c r="D3" s="3" t="s">
        <v>220</v>
      </c>
      <c r="E3" s="4">
        <v>43279.0</v>
      </c>
      <c r="F3" s="3" t="s">
        <v>120</v>
      </c>
      <c r="G3" s="3" t="s">
        <v>17</v>
      </c>
      <c r="H3" s="3" t="s">
        <v>18</v>
      </c>
      <c r="I3" s="3" t="s">
        <v>237</v>
      </c>
      <c r="J3" s="3" t="s">
        <v>20</v>
      </c>
      <c r="K3" s="3" t="s">
        <v>21</v>
      </c>
      <c r="L3" s="3">
        <v>1.0</v>
      </c>
    </row>
    <row r="4">
      <c r="A4" s="9" t="s">
        <v>419</v>
      </c>
      <c r="B4" s="5">
        <v>87400.0</v>
      </c>
      <c r="C4" s="3">
        <v>3.0091783800025E13</v>
      </c>
      <c r="D4" s="3" t="s">
        <v>421</v>
      </c>
      <c r="E4" s="4">
        <v>43385.0</v>
      </c>
      <c r="F4" s="3" t="s">
        <v>16</v>
      </c>
      <c r="G4" s="3" t="s">
        <v>17</v>
      </c>
      <c r="H4" s="3" t="s">
        <v>18</v>
      </c>
      <c r="I4" s="3" t="s">
        <v>422</v>
      </c>
      <c r="J4" s="3" t="s">
        <v>20</v>
      </c>
      <c r="K4" s="3" t="s">
        <v>21</v>
      </c>
      <c r="L4" s="3">
        <v>1.0</v>
      </c>
    </row>
    <row r="5">
      <c r="A5" s="9" t="s">
        <v>293</v>
      </c>
      <c r="B5" s="5">
        <v>58000.0</v>
      </c>
      <c r="C5" s="3">
        <v>3.9811228400011E13</v>
      </c>
      <c r="D5" s="3" t="s">
        <v>295</v>
      </c>
      <c r="E5" s="4">
        <v>43319.0</v>
      </c>
      <c r="F5" s="3" t="s">
        <v>296</v>
      </c>
      <c r="G5" s="3" t="s">
        <v>17</v>
      </c>
      <c r="H5" s="3" t="s">
        <v>18</v>
      </c>
      <c r="I5" s="3" t="s">
        <v>297</v>
      </c>
      <c r="J5" s="3" t="s">
        <v>20</v>
      </c>
      <c r="K5" s="3" t="s">
        <v>21</v>
      </c>
      <c r="L5" s="3">
        <v>1.0</v>
      </c>
    </row>
    <row r="6">
      <c r="A6" s="9" t="s">
        <v>757</v>
      </c>
      <c r="B6" s="5">
        <v>24000.0</v>
      </c>
      <c r="C6" s="3">
        <v>8.203367330001E13</v>
      </c>
      <c r="D6" s="3" t="s">
        <v>346</v>
      </c>
      <c r="E6" s="4">
        <v>43339.0</v>
      </c>
      <c r="F6" s="3" t="s">
        <v>312</v>
      </c>
      <c r="G6" s="3" t="s">
        <v>17</v>
      </c>
      <c r="H6" s="3" t="s">
        <v>48</v>
      </c>
      <c r="I6" s="3" t="s">
        <v>347</v>
      </c>
      <c r="J6" s="3" t="s">
        <v>20</v>
      </c>
      <c r="K6" s="3" t="s">
        <v>21</v>
      </c>
      <c r="L6" s="3">
        <v>1.0</v>
      </c>
    </row>
    <row r="7">
      <c r="A7" s="9" t="s">
        <v>203</v>
      </c>
      <c r="B7" s="5">
        <v>45000.0</v>
      </c>
      <c r="C7" s="3">
        <v>3.52216873E8</v>
      </c>
      <c r="D7" s="3" t="s">
        <v>132</v>
      </c>
      <c r="E7" s="4">
        <v>43269.0</v>
      </c>
      <c r="F7" s="3" t="s">
        <v>205</v>
      </c>
      <c r="G7" s="3" t="s">
        <v>17</v>
      </c>
      <c r="H7" s="3" t="s">
        <v>18</v>
      </c>
      <c r="I7" s="3" t="s">
        <v>187</v>
      </c>
      <c r="J7" s="3" t="s">
        <v>20</v>
      </c>
      <c r="K7" s="3" t="s">
        <v>21</v>
      </c>
      <c r="L7" s="3">
        <v>1.0</v>
      </c>
    </row>
    <row r="8">
      <c r="A8" s="9" t="s">
        <v>203</v>
      </c>
      <c r="B8" s="5">
        <v>5000.0</v>
      </c>
      <c r="C8" s="3">
        <v>3.5221687300211E13</v>
      </c>
      <c r="D8" s="3" t="s">
        <v>336</v>
      </c>
      <c r="E8" s="4">
        <v>43312.0</v>
      </c>
      <c r="F8" s="3" t="s">
        <v>337</v>
      </c>
      <c r="G8" s="3" t="s">
        <v>17</v>
      </c>
      <c r="H8" s="3" t="s">
        <v>48</v>
      </c>
      <c r="I8" s="3" t="s">
        <v>338</v>
      </c>
      <c r="J8" s="3" t="s">
        <v>20</v>
      </c>
      <c r="K8" s="3" t="s">
        <v>21</v>
      </c>
      <c r="L8" s="3">
        <v>1.0</v>
      </c>
    </row>
    <row r="9">
      <c r="A9" s="9" t="s">
        <v>224</v>
      </c>
      <c r="B9" s="5">
        <v>7190.0</v>
      </c>
      <c r="C9" s="3">
        <v>8.28195339E8</v>
      </c>
      <c r="D9" s="3" t="s">
        <v>220</v>
      </c>
      <c r="E9" s="4">
        <v>43264.0</v>
      </c>
      <c r="F9" s="3" t="s">
        <v>120</v>
      </c>
      <c r="G9" s="3" t="s">
        <v>17</v>
      </c>
      <c r="H9" s="3" t="s">
        <v>18</v>
      </c>
      <c r="I9" s="3" t="s">
        <v>226</v>
      </c>
      <c r="J9" s="3" t="s">
        <v>20</v>
      </c>
      <c r="K9" s="3" t="s">
        <v>21</v>
      </c>
      <c r="L9" s="3">
        <v>1.0</v>
      </c>
    </row>
    <row r="10">
      <c r="A10" s="9" t="s">
        <v>758</v>
      </c>
      <c r="B10" s="5">
        <v>97740.0</v>
      </c>
      <c r="C10" s="3">
        <v>3.05378234E8</v>
      </c>
      <c r="D10" s="3" t="s">
        <v>15</v>
      </c>
      <c r="E10" s="4">
        <v>43069.0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>
        <v>1.0</v>
      </c>
    </row>
    <row r="11">
      <c r="A11" s="9" t="s">
        <v>759</v>
      </c>
      <c r="B11" s="5">
        <v>40000.0</v>
      </c>
      <c r="C11" s="3">
        <v>4.89563072E8</v>
      </c>
      <c r="D11" s="3" t="s">
        <v>38</v>
      </c>
      <c r="E11" s="4">
        <v>43133.0</v>
      </c>
      <c r="F11" s="3" t="s">
        <v>39</v>
      </c>
      <c r="G11" s="3" t="s">
        <v>17</v>
      </c>
      <c r="H11" s="3" t="s">
        <v>18</v>
      </c>
      <c r="I11" s="3" t="s">
        <v>40</v>
      </c>
      <c r="J11" s="3" t="s">
        <v>20</v>
      </c>
      <c r="K11" s="3" t="s">
        <v>21</v>
      </c>
      <c r="L11" s="3">
        <v>1.0</v>
      </c>
    </row>
    <row r="12">
      <c r="A12" s="9" t="s">
        <v>759</v>
      </c>
      <c r="B12" s="5">
        <v>20000.0</v>
      </c>
      <c r="C12" s="3">
        <v>4.89563072E8</v>
      </c>
      <c r="D12" s="3" t="s">
        <v>119</v>
      </c>
      <c r="E12" s="4">
        <v>43255.0</v>
      </c>
      <c r="F12" s="3" t="s">
        <v>120</v>
      </c>
      <c r="G12" s="3" t="s">
        <v>17</v>
      </c>
      <c r="H12" s="3" t="s">
        <v>18</v>
      </c>
      <c r="I12" s="3" t="s">
        <v>138</v>
      </c>
      <c r="J12" s="3" t="s">
        <v>20</v>
      </c>
      <c r="K12" s="3" t="s">
        <v>21</v>
      </c>
      <c r="L12" s="3">
        <v>1.0</v>
      </c>
    </row>
    <row r="13">
      <c r="A13" s="9" t="s">
        <v>759</v>
      </c>
      <c r="B13" s="5">
        <v>15000.0</v>
      </c>
      <c r="C13" s="3">
        <v>4.895630720002E13</v>
      </c>
      <c r="D13" s="3" t="s">
        <v>260</v>
      </c>
      <c r="E13" s="4">
        <v>43287.0</v>
      </c>
      <c r="F13" s="3" t="s">
        <v>261</v>
      </c>
      <c r="G13" s="3" t="s">
        <v>17</v>
      </c>
      <c r="H13" s="3" t="s">
        <v>18</v>
      </c>
      <c r="I13" s="3" t="s">
        <v>262</v>
      </c>
      <c r="J13" s="3" t="s">
        <v>20</v>
      </c>
      <c r="K13" s="3" t="s">
        <v>21</v>
      </c>
      <c r="L13" s="3">
        <v>1.0</v>
      </c>
    </row>
    <row r="14">
      <c r="A14" s="9" t="s">
        <v>328</v>
      </c>
      <c r="B14" s="5">
        <v>25000.0</v>
      </c>
      <c r="C14" s="3">
        <v>4.3403882400042E13</v>
      </c>
      <c r="D14" s="3" t="s">
        <v>329</v>
      </c>
      <c r="E14" s="4">
        <v>43332.0</v>
      </c>
      <c r="F14" s="3" t="s">
        <v>330</v>
      </c>
      <c r="G14" s="3" t="s">
        <v>17</v>
      </c>
      <c r="H14" s="3" t="s">
        <v>18</v>
      </c>
      <c r="I14" s="3" t="s">
        <v>331</v>
      </c>
      <c r="J14" s="3" t="s">
        <v>20</v>
      </c>
      <c r="K14" s="3" t="s">
        <v>21</v>
      </c>
      <c r="L14" s="3">
        <v>1.0</v>
      </c>
    </row>
    <row r="15">
      <c r="A15" s="9" t="s">
        <v>328</v>
      </c>
      <c r="B15" s="5">
        <v>14000.0</v>
      </c>
      <c r="C15" s="3">
        <v>4.3403882400042E13</v>
      </c>
      <c r="D15" s="3" t="s">
        <v>452</v>
      </c>
      <c r="E15" s="4">
        <v>43420.0</v>
      </c>
      <c r="F15" s="3" t="s">
        <v>453</v>
      </c>
      <c r="G15" s="3" t="s">
        <v>17</v>
      </c>
      <c r="H15" s="3" t="s">
        <v>18</v>
      </c>
      <c r="I15" s="3" t="s">
        <v>454</v>
      </c>
      <c r="J15" s="3" t="s">
        <v>20</v>
      </c>
      <c r="K15" s="3" t="s">
        <v>21</v>
      </c>
      <c r="L15" s="3">
        <v>1.0</v>
      </c>
    </row>
    <row r="16">
      <c r="A16" s="9" t="s">
        <v>439</v>
      </c>
      <c r="B16" s="5">
        <v>90000.0</v>
      </c>
      <c r="C16" s="3">
        <v>4.8428452600072E13</v>
      </c>
      <c r="D16" s="3" t="s">
        <v>441</v>
      </c>
      <c r="E16" s="4">
        <v>43417.0</v>
      </c>
      <c r="F16" s="3" t="s">
        <v>16</v>
      </c>
      <c r="G16" s="3" t="s">
        <v>17</v>
      </c>
      <c r="H16" s="3" t="s">
        <v>18</v>
      </c>
      <c r="I16" s="3" t="s">
        <v>438</v>
      </c>
      <c r="J16" s="3" t="s">
        <v>20</v>
      </c>
      <c r="K16" s="3" t="s">
        <v>21</v>
      </c>
      <c r="L16" s="3">
        <v>1.0</v>
      </c>
    </row>
    <row r="17">
      <c r="A17" s="9" t="s">
        <v>356</v>
      </c>
      <c r="B17" s="5">
        <v>60000.0</v>
      </c>
      <c r="C17" s="3">
        <v>3.0016423300037E13</v>
      </c>
      <c r="D17" s="3" t="s">
        <v>357</v>
      </c>
      <c r="E17" s="4">
        <v>43182.0</v>
      </c>
      <c r="F17" s="3" t="s">
        <v>16</v>
      </c>
      <c r="G17" s="3" t="s">
        <v>17</v>
      </c>
      <c r="H17" s="3" t="s">
        <v>18</v>
      </c>
      <c r="I17" s="3" t="s">
        <v>103</v>
      </c>
      <c r="J17" s="3" t="s">
        <v>20</v>
      </c>
      <c r="K17" s="3" t="s">
        <v>21</v>
      </c>
      <c r="L17" s="3">
        <v>1.0</v>
      </c>
    </row>
    <row r="18">
      <c r="A18" s="9" t="s">
        <v>415</v>
      </c>
      <c r="B18" s="5">
        <v>14250.0</v>
      </c>
      <c r="C18" s="3">
        <v>4.9848483100033E13</v>
      </c>
      <c r="D18" s="3" t="s">
        <v>417</v>
      </c>
      <c r="E18" s="4">
        <v>43391.0</v>
      </c>
      <c r="F18" s="3" t="s">
        <v>16</v>
      </c>
      <c r="G18" s="3" t="s">
        <v>17</v>
      </c>
      <c r="H18" s="3" t="s">
        <v>18</v>
      </c>
      <c r="I18" s="3" t="s">
        <v>418</v>
      </c>
      <c r="J18" s="3" t="s">
        <v>20</v>
      </c>
      <c r="K18" s="3" t="s">
        <v>21</v>
      </c>
      <c r="L18" s="3">
        <v>1.0</v>
      </c>
    </row>
    <row r="19">
      <c r="A19" s="9" t="s">
        <v>760</v>
      </c>
      <c r="B19" s="5">
        <v>180000.0</v>
      </c>
      <c r="C19" s="3">
        <v>7.8184375000048E13</v>
      </c>
      <c r="D19" s="3" t="s">
        <v>359</v>
      </c>
      <c r="E19" s="4">
        <v>43182.0</v>
      </c>
      <c r="F19" s="3" t="s">
        <v>16</v>
      </c>
      <c r="G19" s="3" t="s">
        <v>17</v>
      </c>
      <c r="H19" s="3" t="s">
        <v>18</v>
      </c>
      <c r="I19" s="3" t="s">
        <v>103</v>
      </c>
      <c r="J19" s="3" t="s">
        <v>20</v>
      </c>
      <c r="K19" s="3" t="s">
        <v>21</v>
      </c>
      <c r="L19" s="3">
        <v>1.0</v>
      </c>
    </row>
    <row r="20">
      <c r="A20" s="9" t="s">
        <v>761</v>
      </c>
      <c r="B20" s="5">
        <v>137000.0</v>
      </c>
      <c r="C20" s="3">
        <v>4.95009441E8</v>
      </c>
      <c r="D20" s="3" t="s">
        <v>115</v>
      </c>
      <c r="E20" s="4">
        <v>43235.0</v>
      </c>
      <c r="F20" s="3" t="s">
        <v>16</v>
      </c>
      <c r="G20" s="3" t="s">
        <v>17</v>
      </c>
      <c r="H20" s="3" t="s">
        <v>18</v>
      </c>
      <c r="I20" s="3" t="s">
        <v>116</v>
      </c>
      <c r="J20" s="3" t="s">
        <v>20</v>
      </c>
      <c r="K20" s="3" t="s">
        <v>21</v>
      </c>
      <c r="L20" s="3">
        <v>1.0</v>
      </c>
    </row>
    <row r="21">
      <c r="A21" s="9" t="s">
        <v>243</v>
      </c>
      <c r="B21" s="5">
        <v>57000.0</v>
      </c>
      <c r="C21" s="3">
        <v>4.7941474E8</v>
      </c>
      <c r="D21" s="3" t="s">
        <v>245</v>
      </c>
      <c r="E21" s="4">
        <v>43283.0</v>
      </c>
      <c r="F21" s="3" t="s">
        <v>16</v>
      </c>
      <c r="G21" s="3" t="s">
        <v>17</v>
      </c>
      <c r="H21" s="3" t="s">
        <v>18</v>
      </c>
      <c r="I21" s="3" t="s">
        <v>246</v>
      </c>
      <c r="J21" s="3" t="s">
        <v>20</v>
      </c>
      <c r="K21" s="3" t="s">
        <v>21</v>
      </c>
      <c r="L21" s="3">
        <v>1.0</v>
      </c>
    </row>
    <row r="22">
      <c r="A22" s="9" t="s">
        <v>733</v>
      </c>
      <c r="B22" s="5">
        <v>6500.0</v>
      </c>
      <c r="C22" s="3">
        <v>4.22839365E8</v>
      </c>
      <c r="D22" s="3" t="s">
        <v>143</v>
      </c>
      <c r="E22" s="4">
        <v>43269.0</v>
      </c>
      <c r="F22" s="3" t="s">
        <v>190</v>
      </c>
      <c r="G22" s="3" t="s">
        <v>17</v>
      </c>
      <c r="H22" s="3" t="s">
        <v>18</v>
      </c>
      <c r="I22" s="3" t="s">
        <v>187</v>
      </c>
      <c r="J22" s="3" t="s">
        <v>20</v>
      </c>
      <c r="K22" s="3" t="s">
        <v>21</v>
      </c>
      <c r="L22" s="3">
        <v>1.0</v>
      </c>
    </row>
    <row r="23">
      <c r="A23" s="9" t="s">
        <v>182</v>
      </c>
      <c r="B23" s="5">
        <v>33250.0</v>
      </c>
      <c r="C23" s="3">
        <v>4.51546097E8</v>
      </c>
      <c r="D23" s="3" t="s">
        <v>184</v>
      </c>
      <c r="E23" s="4">
        <v>43266.0</v>
      </c>
      <c r="F23" s="3" t="s">
        <v>133</v>
      </c>
      <c r="G23" s="3" t="s">
        <v>17</v>
      </c>
      <c r="H23" s="3" t="s">
        <v>18</v>
      </c>
      <c r="I23" s="3" t="s">
        <v>185</v>
      </c>
      <c r="J23" s="3" t="s">
        <v>20</v>
      </c>
      <c r="K23" s="3" t="s">
        <v>21</v>
      </c>
      <c r="L23" s="3">
        <v>1.0</v>
      </c>
    </row>
    <row r="24">
      <c r="A24" s="9" t="s">
        <v>182</v>
      </c>
      <c r="B24" s="5">
        <v>41000.0</v>
      </c>
      <c r="C24" s="3">
        <v>4.515469700001E13</v>
      </c>
      <c r="D24" s="3" t="s">
        <v>132</v>
      </c>
      <c r="E24" s="4">
        <v>43286.0</v>
      </c>
      <c r="F24" s="3" t="s">
        <v>258</v>
      </c>
      <c r="G24" s="3" t="s">
        <v>17</v>
      </c>
      <c r="H24" s="3" t="s">
        <v>18</v>
      </c>
      <c r="I24" s="3" t="s">
        <v>259</v>
      </c>
      <c r="J24" s="3" t="s">
        <v>20</v>
      </c>
      <c r="K24" s="3" t="s">
        <v>21</v>
      </c>
      <c r="L24" s="3">
        <v>1.0</v>
      </c>
    </row>
    <row r="25">
      <c r="A25" s="9" t="s">
        <v>182</v>
      </c>
      <c r="B25" s="5">
        <v>50000.0</v>
      </c>
      <c r="C25" s="3">
        <v>4.515460970001E13</v>
      </c>
      <c r="D25" s="3" t="s">
        <v>436</v>
      </c>
      <c r="E25" s="4">
        <v>43417.0</v>
      </c>
      <c r="F25" s="3" t="s">
        <v>437</v>
      </c>
      <c r="G25" s="3" t="s">
        <v>17</v>
      </c>
      <c r="H25" s="3" t="s">
        <v>18</v>
      </c>
      <c r="I25" s="3" t="s">
        <v>438</v>
      </c>
      <c r="J25" s="3" t="s">
        <v>20</v>
      </c>
      <c r="K25" s="3" t="s">
        <v>21</v>
      </c>
      <c r="L25" s="3">
        <v>1.0</v>
      </c>
    </row>
    <row r="26">
      <c r="A26" s="9" t="s">
        <v>179</v>
      </c>
      <c r="B26" s="5">
        <v>407253.0</v>
      </c>
      <c r="C26" s="3">
        <v>3.21237034E8</v>
      </c>
      <c r="D26" s="3" t="s">
        <v>181</v>
      </c>
      <c r="E26" s="4">
        <v>43259.0</v>
      </c>
      <c r="F26" s="3" t="s">
        <v>16</v>
      </c>
      <c r="G26" s="3" t="s">
        <v>17</v>
      </c>
      <c r="H26" s="3" t="s">
        <v>18</v>
      </c>
      <c r="I26" s="3" t="s">
        <v>172</v>
      </c>
      <c r="J26" s="3" t="s">
        <v>20</v>
      </c>
      <c r="K26" s="3" t="s">
        <v>21</v>
      </c>
      <c r="L26" s="3">
        <v>1.0</v>
      </c>
    </row>
    <row r="27">
      <c r="A27" s="9" t="s">
        <v>762</v>
      </c>
      <c r="B27" s="5">
        <v>47500.0</v>
      </c>
      <c r="C27" s="3">
        <v>4.21985235E8</v>
      </c>
      <c r="D27" s="3" t="s">
        <v>217</v>
      </c>
      <c r="E27" s="4">
        <v>43271.0</v>
      </c>
      <c r="F27" s="3" t="s">
        <v>16</v>
      </c>
      <c r="G27" s="3" t="s">
        <v>17</v>
      </c>
      <c r="H27" s="3" t="s">
        <v>18</v>
      </c>
      <c r="I27" s="3" t="s">
        <v>213</v>
      </c>
      <c r="J27" s="3" t="s">
        <v>20</v>
      </c>
      <c r="K27" s="3" t="s">
        <v>21</v>
      </c>
      <c r="L27" s="3">
        <v>1.0</v>
      </c>
    </row>
    <row r="28">
      <c r="A28" s="9" t="s">
        <v>763</v>
      </c>
      <c r="B28" s="5">
        <v>9610.0</v>
      </c>
      <c r="C28" s="3">
        <v>4.38794034E8</v>
      </c>
      <c r="D28" s="3" t="s">
        <v>119</v>
      </c>
      <c r="E28" s="4">
        <v>43244.0</v>
      </c>
      <c r="F28" s="3" t="s">
        <v>120</v>
      </c>
      <c r="G28" s="3" t="s">
        <v>17</v>
      </c>
      <c r="H28" s="3" t="s">
        <v>18</v>
      </c>
      <c r="I28" s="3" t="s">
        <v>121</v>
      </c>
      <c r="J28" s="3" t="s">
        <v>20</v>
      </c>
      <c r="K28" s="3" t="s">
        <v>21</v>
      </c>
      <c r="L28" s="3">
        <v>1.0</v>
      </c>
    </row>
    <row r="29">
      <c r="A29" s="9" t="s">
        <v>764</v>
      </c>
      <c r="B29" s="5">
        <v>7900.0</v>
      </c>
      <c r="C29" s="3">
        <v>3.06040312E8</v>
      </c>
      <c r="D29" s="3" t="s">
        <v>51</v>
      </c>
      <c r="E29" s="4">
        <v>43130.0</v>
      </c>
      <c r="F29" s="3" t="s">
        <v>16</v>
      </c>
      <c r="G29" s="3" t="s">
        <v>17</v>
      </c>
      <c r="H29" s="3" t="s">
        <v>18</v>
      </c>
      <c r="I29" s="3" t="s">
        <v>52</v>
      </c>
      <c r="J29" s="3" t="s">
        <v>20</v>
      </c>
      <c r="K29" s="3" t="s">
        <v>21</v>
      </c>
      <c r="L29" s="3">
        <v>1.0</v>
      </c>
    </row>
    <row r="30">
      <c r="A30" s="9" t="s">
        <v>765</v>
      </c>
      <c r="B30" s="5">
        <v>150000.0</v>
      </c>
      <c r="C30" s="3">
        <v>5.09079794E8</v>
      </c>
      <c r="D30" s="3" t="s">
        <v>91</v>
      </c>
      <c r="E30" s="4">
        <v>43185.0</v>
      </c>
      <c r="F30" s="3" t="s">
        <v>92</v>
      </c>
      <c r="G30" s="3" t="s">
        <v>17</v>
      </c>
      <c r="H30" s="3" t="s">
        <v>18</v>
      </c>
      <c r="I30" s="3" t="s">
        <v>93</v>
      </c>
      <c r="J30" s="3" t="s">
        <v>20</v>
      </c>
      <c r="K30" s="3" t="s">
        <v>21</v>
      </c>
      <c r="L30" s="3">
        <v>1.0</v>
      </c>
    </row>
    <row r="31">
      <c r="A31" s="9" t="s">
        <v>766</v>
      </c>
      <c r="B31" s="5">
        <v>23500.0</v>
      </c>
      <c r="C31" s="3">
        <v>7.89145869E8</v>
      </c>
      <c r="D31" s="3" t="s">
        <v>119</v>
      </c>
      <c r="E31" s="4">
        <v>43255.0</v>
      </c>
      <c r="F31" s="3" t="s">
        <v>159</v>
      </c>
      <c r="G31" s="3" t="s">
        <v>17</v>
      </c>
      <c r="H31" s="3" t="s">
        <v>18</v>
      </c>
      <c r="I31" s="3" t="s">
        <v>138</v>
      </c>
      <c r="J31" s="3" t="s">
        <v>20</v>
      </c>
      <c r="K31" s="3" t="s">
        <v>21</v>
      </c>
      <c r="L31" s="3">
        <v>1.0</v>
      </c>
    </row>
    <row r="32">
      <c r="A32" s="9" t="s">
        <v>767</v>
      </c>
      <c r="B32" s="5">
        <v>40000.0</v>
      </c>
      <c r="C32" s="3">
        <v>8.2343035000012E13</v>
      </c>
      <c r="D32" s="3" t="s">
        <v>260</v>
      </c>
      <c r="E32" s="4">
        <v>43280.0</v>
      </c>
      <c r="F32" s="3" t="s">
        <v>264</v>
      </c>
      <c r="G32" s="3" t="s">
        <v>17</v>
      </c>
      <c r="H32" s="3" t="s">
        <v>18</v>
      </c>
      <c r="I32" s="3" t="s">
        <v>265</v>
      </c>
      <c r="J32" s="3" t="s">
        <v>20</v>
      </c>
      <c r="K32" s="3" t="s">
        <v>21</v>
      </c>
      <c r="L32" s="3">
        <v>1.0</v>
      </c>
    </row>
    <row r="33">
      <c r="A33" s="9" t="s">
        <v>136</v>
      </c>
      <c r="B33" s="5">
        <v>42750.0</v>
      </c>
      <c r="C33" s="3">
        <v>5.22896091E8</v>
      </c>
      <c r="D33" s="3" t="s">
        <v>132</v>
      </c>
      <c r="E33" s="4">
        <v>43255.0</v>
      </c>
      <c r="F33" s="3" t="s">
        <v>133</v>
      </c>
      <c r="G33" s="3" t="s">
        <v>17</v>
      </c>
      <c r="H33" s="3" t="s">
        <v>18</v>
      </c>
      <c r="I33" s="3" t="s">
        <v>138</v>
      </c>
      <c r="J33" s="3" t="s">
        <v>20</v>
      </c>
      <c r="K33" s="3" t="s">
        <v>21</v>
      </c>
      <c r="L33" s="3">
        <v>1.0</v>
      </c>
    </row>
    <row r="34">
      <c r="A34" s="9" t="s">
        <v>136</v>
      </c>
      <c r="B34" s="5">
        <v>20000.0</v>
      </c>
      <c r="C34" s="3">
        <v>5.22896091E8</v>
      </c>
      <c r="D34" s="3" t="s">
        <v>214</v>
      </c>
      <c r="E34" s="4">
        <v>43271.0</v>
      </c>
      <c r="F34" s="3" t="s">
        <v>215</v>
      </c>
      <c r="G34" s="3" t="s">
        <v>17</v>
      </c>
      <c r="H34" s="3" t="s">
        <v>18</v>
      </c>
      <c r="I34" s="3" t="s">
        <v>213</v>
      </c>
      <c r="J34" s="3" t="s">
        <v>20</v>
      </c>
      <c r="K34" s="3" t="s">
        <v>21</v>
      </c>
      <c r="L34" s="3">
        <v>1.0</v>
      </c>
    </row>
    <row r="35">
      <c r="A35" s="9" t="s">
        <v>61</v>
      </c>
      <c r="B35" s="5">
        <v>4372007.0</v>
      </c>
      <c r="C35" s="3">
        <v>7.81814488E8</v>
      </c>
      <c r="D35" s="3" t="s">
        <v>63</v>
      </c>
      <c r="E35" s="4">
        <v>43136.0</v>
      </c>
      <c r="F35" s="3" t="s">
        <v>16</v>
      </c>
      <c r="G35" s="3" t="s">
        <v>17</v>
      </c>
      <c r="H35" s="3" t="s">
        <v>18</v>
      </c>
      <c r="I35" s="3" t="s">
        <v>64</v>
      </c>
      <c r="J35" s="3" t="s">
        <v>20</v>
      </c>
      <c r="K35" s="3" t="s">
        <v>21</v>
      </c>
      <c r="L35" s="3">
        <v>1.0</v>
      </c>
    </row>
    <row r="36">
      <c r="A36" s="9" t="s">
        <v>768</v>
      </c>
      <c r="B36" s="5">
        <v>25000.0</v>
      </c>
      <c r="C36" s="3">
        <v>3.4063725500027E13</v>
      </c>
      <c r="D36" s="3" t="s">
        <v>280</v>
      </c>
      <c r="E36" s="4">
        <v>43328.0</v>
      </c>
      <c r="F36" s="3" t="s">
        <v>16</v>
      </c>
      <c r="G36" s="3" t="s">
        <v>17</v>
      </c>
      <c r="H36" s="3" t="s">
        <v>18</v>
      </c>
      <c r="I36" s="3" t="s">
        <v>333</v>
      </c>
      <c r="J36" s="3" t="s">
        <v>20</v>
      </c>
      <c r="K36" s="3" t="s">
        <v>21</v>
      </c>
      <c r="L36" s="3">
        <v>1.0</v>
      </c>
    </row>
    <row r="37">
      <c r="A37" s="9" t="s">
        <v>769</v>
      </c>
      <c r="B37" s="5">
        <v>19025.0</v>
      </c>
      <c r="C37" s="3">
        <v>8.2239982E8</v>
      </c>
      <c r="D37" s="3" t="s">
        <v>119</v>
      </c>
      <c r="E37" s="4">
        <v>43247.0</v>
      </c>
      <c r="F37" s="3" t="s">
        <v>120</v>
      </c>
      <c r="G37" s="3" t="s">
        <v>17</v>
      </c>
      <c r="H37" s="3" t="s">
        <v>18</v>
      </c>
      <c r="I37" s="3" t="s">
        <v>152</v>
      </c>
      <c r="J37" s="3" t="s">
        <v>20</v>
      </c>
      <c r="K37" s="3" t="s">
        <v>21</v>
      </c>
      <c r="L37" s="3">
        <v>1.0</v>
      </c>
    </row>
    <row r="38">
      <c r="A38" s="9" t="s">
        <v>770</v>
      </c>
      <c r="B38" s="5">
        <v>200000.0</v>
      </c>
      <c r="C38" s="3">
        <v>4.8875025800011E13</v>
      </c>
      <c r="D38" s="3" t="s">
        <v>254</v>
      </c>
      <c r="E38" s="4">
        <v>43285.0</v>
      </c>
      <c r="F38" s="3" t="s">
        <v>255</v>
      </c>
      <c r="G38" s="3" t="s">
        <v>17</v>
      </c>
      <c r="H38" s="3" t="s">
        <v>18</v>
      </c>
      <c r="I38" s="3" t="s">
        <v>256</v>
      </c>
      <c r="J38" s="3" t="s">
        <v>20</v>
      </c>
      <c r="K38" s="3" t="s">
        <v>21</v>
      </c>
      <c r="L38" s="3">
        <v>1.0</v>
      </c>
    </row>
    <row r="39">
      <c r="A39" s="9" t="s">
        <v>625</v>
      </c>
      <c r="B39" s="5">
        <v>10000.0</v>
      </c>
      <c r="C39" s="3">
        <v>8.21354933E8</v>
      </c>
      <c r="D39" s="3" t="s">
        <v>119</v>
      </c>
      <c r="E39" s="4">
        <v>43244.0</v>
      </c>
      <c r="F39" s="3" t="s">
        <v>120</v>
      </c>
      <c r="G39" s="3" t="s">
        <v>17</v>
      </c>
      <c r="H39" s="3" t="s">
        <v>18</v>
      </c>
      <c r="I39" s="3" t="s">
        <v>121</v>
      </c>
      <c r="J39" s="3" t="s">
        <v>20</v>
      </c>
      <c r="K39" s="3" t="s">
        <v>21</v>
      </c>
      <c r="L39" s="3">
        <v>1.0</v>
      </c>
    </row>
    <row r="40">
      <c r="A40" s="9" t="s">
        <v>139</v>
      </c>
      <c r="B40" s="5">
        <v>5000.0</v>
      </c>
      <c r="C40" s="3">
        <v>4.80293711E8</v>
      </c>
      <c r="D40" s="3" t="s">
        <v>140</v>
      </c>
      <c r="E40" s="4">
        <v>43252.0</v>
      </c>
      <c r="F40" s="3" t="s">
        <v>141</v>
      </c>
      <c r="G40" s="3" t="s">
        <v>17</v>
      </c>
      <c r="H40" s="3" t="s">
        <v>18</v>
      </c>
      <c r="I40" s="3" t="s">
        <v>134</v>
      </c>
      <c r="J40" s="3" t="s">
        <v>20</v>
      </c>
      <c r="K40" s="3" t="s">
        <v>21</v>
      </c>
      <c r="L40" s="3">
        <v>1.0</v>
      </c>
    </row>
    <row r="41">
      <c r="A41" s="9" t="s">
        <v>613</v>
      </c>
      <c r="B41" s="5">
        <v>420000.0</v>
      </c>
      <c r="C41" s="3">
        <v>3.7781852100025E13</v>
      </c>
      <c r="D41" s="3" t="s">
        <v>307</v>
      </c>
      <c r="E41" s="4">
        <v>43306.0</v>
      </c>
      <c r="F41" s="3" t="s">
        <v>16</v>
      </c>
      <c r="G41" s="3" t="s">
        <v>17</v>
      </c>
      <c r="H41" s="3" t="s">
        <v>18</v>
      </c>
      <c r="I41" s="3" t="s">
        <v>308</v>
      </c>
      <c r="J41" s="3" t="s">
        <v>20</v>
      </c>
      <c r="K41" s="3" t="s">
        <v>21</v>
      </c>
      <c r="L41" s="3">
        <v>1.0</v>
      </c>
    </row>
    <row r="42">
      <c r="A42" s="9" t="s">
        <v>309</v>
      </c>
      <c r="B42" s="5">
        <v>139000.0</v>
      </c>
      <c r="C42" s="3">
        <v>3.7796404400038E13</v>
      </c>
      <c r="D42" s="3" t="s">
        <v>311</v>
      </c>
      <c r="E42" s="4">
        <v>43306.0</v>
      </c>
      <c r="F42" s="3" t="s">
        <v>312</v>
      </c>
      <c r="G42" s="3" t="s">
        <v>17</v>
      </c>
      <c r="H42" s="3" t="s">
        <v>18</v>
      </c>
      <c r="I42" s="3" t="s">
        <v>308</v>
      </c>
      <c r="J42" s="3" t="s">
        <v>20</v>
      </c>
      <c r="K42" s="3" t="s">
        <v>21</v>
      </c>
      <c r="L42" s="3">
        <v>1.0</v>
      </c>
    </row>
    <row r="43">
      <c r="A43" s="9" t="s">
        <v>771</v>
      </c>
      <c r="B43" s="5">
        <v>3500.0</v>
      </c>
      <c r="C43" s="3">
        <v>4.1900910500018E13</v>
      </c>
      <c r="D43" s="3" t="s">
        <v>336</v>
      </c>
      <c r="E43" s="4">
        <v>43335.0</v>
      </c>
      <c r="F43" s="3" t="s">
        <v>337</v>
      </c>
      <c r="G43" s="3" t="s">
        <v>17</v>
      </c>
      <c r="H43" s="3" t="s">
        <v>48</v>
      </c>
      <c r="I43" s="3" t="s">
        <v>343</v>
      </c>
      <c r="J43" s="3" t="s">
        <v>20</v>
      </c>
      <c r="K43" s="3" t="s">
        <v>21</v>
      </c>
      <c r="L43" s="3">
        <v>1.0</v>
      </c>
    </row>
    <row r="44">
      <c r="A44" s="9" t="s">
        <v>772</v>
      </c>
      <c r="B44" s="5">
        <v>133663.21</v>
      </c>
      <c r="C44" s="3">
        <v>7.8184992200021E13</v>
      </c>
      <c r="D44" s="3" t="s">
        <v>396</v>
      </c>
      <c r="E44" s="4">
        <v>43361.0</v>
      </c>
      <c r="F44" s="3" t="s">
        <v>397</v>
      </c>
      <c r="G44" s="3" t="s">
        <v>17</v>
      </c>
      <c r="H44" s="3" t="s">
        <v>48</v>
      </c>
      <c r="I44" s="3" t="s">
        <v>398</v>
      </c>
      <c r="J44" s="3" t="s">
        <v>20</v>
      </c>
      <c r="K44" s="3" t="s">
        <v>21</v>
      </c>
      <c r="L44" s="3">
        <v>1.0</v>
      </c>
    </row>
    <row r="45">
      <c r="A45" s="9" t="s">
        <v>380</v>
      </c>
      <c r="B45" s="5">
        <v>320000.0</v>
      </c>
      <c r="C45" s="3">
        <v>3.9988425300036E13</v>
      </c>
      <c r="D45" s="3" t="s">
        <v>382</v>
      </c>
      <c r="E45" s="4">
        <v>43353.0</v>
      </c>
      <c r="F45" s="3" t="s">
        <v>16</v>
      </c>
      <c r="G45" s="3" t="s">
        <v>17</v>
      </c>
      <c r="H45" s="3" t="s">
        <v>18</v>
      </c>
      <c r="I45" s="3" t="s">
        <v>383</v>
      </c>
      <c r="J45" s="3" t="s">
        <v>20</v>
      </c>
      <c r="K45" s="3" t="s">
        <v>21</v>
      </c>
      <c r="L45" s="3">
        <v>1.0</v>
      </c>
    </row>
    <row r="46">
      <c r="A46" s="9" t="s">
        <v>380</v>
      </c>
      <c r="B46" s="5">
        <v>120000.0</v>
      </c>
      <c r="C46" s="3">
        <v>3.9988425300036E13</v>
      </c>
      <c r="D46" s="3" t="s">
        <v>382</v>
      </c>
      <c r="E46" s="4">
        <v>43353.0</v>
      </c>
      <c r="F46" s="3" t="s">
        <v>276</v>
      </c>
      <c r="G46" s="3" t="s">
        <v>17</v>
      </c>
      <c r="H46" s="3" t="s">
        <v>18</v>
      </c>
      <c r="I46" s="3" t="s">
        <v>383</v>
      </c>
      <c r="J46" s="3" t="s">
        <v>20</v>
      </c>
      <c r="K46" s="3" t="s">
        <v>21</v>
      </c>
      <c r="L46" s="3">
        <v>1.0</v>
      </c>
    </row>
    <row r="47">
      <c r="A47" s="9" t="s">
        <v>368</v>
      </c>
      <c r="B47" s="5">
        <v>8500.0</v>
      </c>
      <c r="C47" s="3">
        <v>1.3002285800018E13</v>
      </c>
      <c r="D47" s="3" t="s">
        <v>370</v>
      </c>
      <c r="E47" s="4">
        <v>43342.0</v>
      </c>
      <c r="F47" s="3" t="s">
        <v>371</v>
      </c>
      <c r="G47" s="3" t="s">
        <v>17</v>
      </c>
      <c r="H47" s="3" t="s">
        <v>18</v>
      </c>
      <c r="I47" s="3" t="s">
        <v>372</v>
      </c>
      <c r="J47" s="3" t="s">
        <v>20</v>
      </c>
      <c r="K47" s="3" t="s">
        <v>21</v>
      </c>
      <c r="L47" s="3">
        <v>1.0</v>
      </c>
    </row>
    <row r="48">
      <c r="A48" s="9" t="s">
        <v>368</v>
      </c>
      <c r="B48" s="5">
        <v>9000.0</v>
      </c>
      <c r="C48" s="3">
        <v>1.3002285800019E13</v>
      </c>
      <c r="D48" s="3" t="s">
        <v>370</v>
      </c>
      <c r="E48" s="4">
        <v>43342.0</v>
      </c>
      <c r="F48" s="3" t="s">
        <v>373</v>
      </c>
      <c r="G48" s="3" t="s">
        <v>17</v>
      </c>
      <c r="H48" s="3" t="s">
        <v>18</v>
      </c>
      <c r="I48" s="3" t="s">
        <v>372</v>
      </c>
      <c r="J48" s="3" t="s">
        <v>20</v>
      </c>
      <c r="K48" s="3" t="s">
        <v>21</v>
      </c>
      <c r="L48" s="3">
        <v>1.0</v>
      </c>
    </row>
    <row r="49">
      <c r="A49" s="9" t="s">
        <v>401</v>
      </c>
      <c r="B49" s="5">
        <v>7500.0</v>
      </c>
      <c r="C49" s="3">
        <v>4.9322382000017E13</v>
      </c>
      <c r="D49" s="3" t="s">
        <v>403</v>
      </c>
      <c r="E49" s="4">
        <v>43364.0</v>
      </c>
      <c r="F49" s="3" t="s">
        <v>397</v>
      </c>
      <c r="G49" s="3" t="s">
        <v>17</v>
      </c>
      <c r="H49" s="3" t="s">
        <v>18</v>
      </c>
      <c r="I49" s="3" t="s">
        <v>404</v>
      </c>
      <c r="J49" s="3" t="s">
        <v>20</v>
      </c>
      <c r="K49" s="3" t="s">
        <v>21</v>
      </c>
      <c r="L49" s="3">
        <v>1.0</v>
      </c>
    </row>
    <row r="50">
      <c r="A50" s="9" t="s">
        <v>148</v>
      </c>
      <c r="B50" s="5">
        <v>30000.0</v>
      </c>
      <c r="C50" s="3">
        <v>4.02652853E8</v>
      </c>
      <c r="D50" s="3" t="s">
        <v>119</v>
      </c>
      <c r="E50" s="4">
        <v>43252.0</v>
      </c>
      <c r="F50" s="3" t="s">
        <v>120</v>
      </c>
      <c r="G50" s="3" t="s">
        <v>17</v>
      </c>
      <c r="H50" s="3" t="s">
        <v>18</v>
      </c>
      <c r="I50" s="3" t="s">
        <v>134</v>
      </c>
      <c r="J50" s="3" t="s">
        <v>20</v>
      </c>
      <c r="K50" s="3" t="s">
        <v>21</v>
      </c>
      <c r="L50" s="3">
        <v>1.0</v>
      </c>
    </row>
    <row r="51">
      <c r="A51" s="9" t="s">
        <v>148</v>
      </c>
      <c r="B51" s="5">
        <v>35000.0</v>
      </c>
      <c r="C51" s="3">
        <v>4.02652853E8</v>
      </c>
      <c r="D51" s="3" t="s">
        <v>143</v>
      </c>
      <c r="E51" s="4">
        <v>43269.0</v>
      </c>
      <c r="F51" s="3" t="s">
        <v>230</v>
      </c>
      <c r="G51" s="3" t="s">
        <v>17</v>
      </c>
      <c r="H51" s="3" t="s">
        <v>18</v>
      </c>
      <c r="I51" s="3" t="s">
        <v>187</v>
      </c>
      <c r="J51" s="3" t="s">
        <v>20</v>
      </c>
      <c r="K51" s="3" t="s">
        <v>21</v>
      </c>
      <c r="L51" s="3">
        <v>1.0</v>
      </c>
    </row>
    <row r="52">
      <c r="A52" s="9" t="s">
        <v>378</v>
      </c>
      <c r="B52" s="5">
        <v>10300.0</v>
      </c>
      <c r="C52" s="3">
        <v>3.3348540700014E13</v>
      </c>
      <c r="D52" s="3" t="s">
        <v>376</v>
      </c>
      <c r="E52" s="4">
        <v>43342.0</v>
      </c>
      <c r="F52" s="3" t="s">
        <v>337</v>
      </c>
      <c r="G52" s="3" t="s">
        <v>17</v>
      </c>
      <c r="H52" s="3" t="s">
        <v>48</v>
      </c>
      <c r="I52" s="3" t="s">
        <v>372</v>
      </c>
      <c r="J52" s="3" t="s">
        <v>20</v>
      </c>
      <c r="K52" s="3" t="s">
        <v>21</v>
      </c>
      <c r="L52" s="3">
        <v>1.0</v>
      </c>
    </row>
    <row r="53">
      <c r="A53" s="9" t="s">
        <v>773</v>
      </c>
      <c r="B53" s="5">
        <v>15000.0</v>
      </c>
      <c r="C53" s="3">
        <v>3.28480082E8</v>
      </c>
      <c r="D53" s="3" t="s">
        <v>143</v>
      </c>
      <c r="E53" s="4">
        <v>43252.0</v>
      </c>
      <c r="F53" s="3" t="s">
        <v>144</v>
      </c>
      <c r="G53" s="3" t="s">
        <v>17</v>
      </c>
      <c r="H53" s="3" t="s">
        <v>18</v>
      </c>
      <c r="I53" s="3" t="s">
        <v>134</v>
      </c>
      <c r="J53" s="3" t="s">
        <v>20</v>
      </c>
      <c r="K53" s="3" t="s">
        <v>21</v>
      </c>
      <c r="L53" s="3">
        <v>1.0</v>
      </c>
    </row>
    <row r="54">
      <c r="A54" s="9" t="s">
        <v>53</v>
      </c>
      <c r="B54" s="5">
        <v>32000.0</v>
      </c>
      <c r="C54" s="3">
        <v>3.06564279E8</v>
      </c>
      <c r="D54" s="3" t="s">
        <v>55</v>
      </c>
      <c r="E54" s="4">
        <v>43126.0</v>
      </c>
      <c r="F54" s="3" t="s">
        <v>16</v>
      </c>
      <c r="G54" s="3" t="s">
        <v>17</v>
      </c>
      <c r="H54" s="3" t="s">
        <v>18</v>
      </c>
      <c r="I54" s="3" t="s">
        <v>56</v>
      </c>
      <c r="J54" s="3" t="s">
        <v>20</v>
      </c>
      <c r="K54" s="3" t="s">
        <v>21</v>
      </c>
      <c r="L54" s="3">
        <v>1.0</v>
      </c>
    </row>
    <row r="55">
      <c r="A55" s="9" t="s">
        <v>374</v>
      </c>
      <c r="B55" s="5">
        <v>29000.0</v>
      </c>
      <c r="C55" s="3">
        <v>4.022835430007E13</v>
      </c>
      <c r="D55" s="3" t="s">
        <v>376</v>
      </c>
      <c r="E55" s="4">
        <v>43335.0</v>
      </c>
      <c r="F55" s="3" t="s">
        <v>337</v>
      </c>
      <c r="G55" s="3" t="s">
        <v>17</v>
      </c>
      <c r="H55" s="3" t="s">
        <v>48</v>
      </c>
      <c r="I55" s="3" t="s">
        <v>343</v>
      </c>
      <c r="J55" s="3" t="s">
        <v>20</v>
      </c>
      <c r="K55" s="3" t="s">
        <v>21</v>
      </c>
      <c r="L55" s="3">
        <v>1.0</v>
      </c>
    </row>
    <row r="56">
      <c r="A56" s="9" t="s">
        <v>774</v>
      </c>
      <c r="B56" s="5">
        <v>25000.0</v>
      </c>
      <c r="C56" s="3">
        <v>8.2071933400014E13</v>
      </c>
      <c r="D56" s="3" t="s">
        <v>428</v>
      </c>
      <c r="E56" s="4">
        <v>43411.0</v>
      </c>
      <c r="F56" s="3" t="s">
        <v>16</v>
      </c>
      <c r="G56" s="3" t="s">
        <v>17</v>
      </c>
      <c r="H56" s="3" t="s">
        <v>18</v>
      </c>
      <c r="I56" s="3" t="s">
        <v>429</v>
      </c>
      <c r="J56" s="3" t="s">
        <v>20</v>
      </c>
      <c r="K56" s="3" t="s">
        <v>21</v>
      </c>
      <c r="L56" s="3">
        <v>1.0</v>
      </c>
    </row>
    <row r="57">
      <c r="A57" s="9" t="s">
        <v>448</v>
      </c>
      <c r="B57" s="5">
        <v>14250.0</v>
      </c>
      <c r="C57" s="3">
        <v>8.312204960001E13</v>
      </c>
      <c r="D57" s="3" t="s">
        <v>449</v>
      </c>
      <c r="E57" s="4">
        <v>43419.0</v>
      </c>
      <c r="F57" s="3" t="s">
        <v>450</v>
      </c>
      <c r="G57" s="3" t="s">
        <v>17</v>
      </c>
      <c r="H57" s="3" t="s">
        <v>18</v>
      </c>
      <c r="I57" s="3" t="s">
        <v>451</v>
      </c>
      <c r="J57" s="3" t="s">
        <v>20</v>
      </c>
      <c r="K57" s="3" t="s">
        <v>21</v>
      </c>
      <c r="L57" s="3">
        <v>1.0</v>
      </c>
    </row>
    <row r="58">
      <c r="A58" s="9" t="s">
        <v>775</v>
      </c>
      <c r="B58" s="5">
        <v>95932.0</v>
      </c>
      <c r="C58" s="3">
        <v>4.88566613E8</v>
      </c>
      <c r="D58" s="3" t="s">
        <v>24</v>
      </c>
      <c r="E58" s="4">
        <v>43091.0</v>
      </c>
      <c r="F58" s="3" t="s">
        <v>25</v>
      </c>
      <c r="G58" s="3" t="s">
        <v>17</v>
      </c>
      <c r="H58" s="3" t="s">
        <v>18</v>
      </c>
      <c r="I58" s="3" t="s">
        <v>26</v>
      </c>
      <c r="J58" s="3" t="s">
        <v>20</v>
      </c>
      <c r="K58" s="3" t="s">
        <v>21</v>
      </c>
      <c r="L58" s="3">
        <v>1.0</v>
      </c>
    </row>
    <row r="59">
      <c r="A59" s="9" t="s">
        <v>775</v>
      </c>
      <c r="B59" s="5">
        <v>10000.0</v>
      </c>
      <c r="C59" s="3">
        <v>4.8856661300037E13</v>
      </c>
      <c r="D59" s="3" t="s">
        <v>303</v>
      </c>
      <c r="E59" s="4">
        <v>43285.0</v>
      </c>
      <c r="F59" s="3" t="s">
        <v>304</v>
      </c>
      <c r="G59" s="3" t="s">
        <v>17</v>
      </c>
      <c r="H59" s="3" t="s">
        <v>18</v>
      </c>
      <c r="I59" s="3" t="s">
        <v>256</v>
      </c>
      <c r="J59" s="3" t="s">
        <v>20</v>
      </c>
      <c r="K59" s="3" t="s">
        <v>21</v>
      </c>
      <c r="L59" s="3">
        <v>1.0</v>
      </c>
    </row>
    <row r="60">
      <c r="A60" s="9" t="s">
        <v>775</v>
      </c>
      <c r="B60" s="5">
        <v>13000.0</v>
      </c>
      <c r="C60" s="3">
        <v>4.8856661300037E13</v>
      </c>
      <c r="D60" s="3" t="s">
        <v>376</v>
      </c>
      <c r="E60" s="4">
        <v>43335.0</v>
      </c>
      <c r="F60" s="3" t="s">
        <v>337</v>
      </c>
      <c r="G60" s="3" t="s">
        <v>17</v>
      </c>
      <c r="H60" s="3" t="s">
        <v>48</v>
      </c>
      <c r="I60" s="3" t="s">
        <v>343</v>
      </c>
      <c r="J60" s="3" t="s">
        <v>20</v>
      </c>
      <c r="K60" s="3" t="s">
        <v>21</v>
      </c>
      <c r="L60" s="3">
        <v>1.0</v>
      </c>
    </row>
    <row r="61">
      <c r="A61" s="9" t="s">
        <v>249</v>
      </c>
      <c r="B61" s="5">
        <v>54000.0</v>
      </c>
      <c r="C61" s="3">
        <v>4.8237148100029E13</v>
      </c>
      <c r="D61" s="3" t="s">
        <v>132</v>
      </c>
      <c r="E61" s="4">
        <v>43264.0</v>
      </c>
      <c r="F61" s="3" t="s">
        <v>251</v>
      </c>
      <c r="G61" s="3" t="s">
        <v>17</v>
      </c>
      <c r="H61" s="3" t="s">
        <v>18</v>
      </c>
      <c r="I61" s="3" t="s">
        <v>226</v>
      </c>
      <c r="J61" s="3" t="s">
        <v>20</v>
      </c>
      <c r="K61" s="3" t="s">
        <v>21</v>
      </c>
      <c r="L61" s="3">
        <v>1.0</v>
      </c>
    </row>
    <row r="62">
      <c r="A62" s="9" t="s">
        <v>249</v>
      </c>
      <c r="B62" s="5">
        <v>4000.0</v>
      </c>
      <c r="C62" s="3">
        <v>4.8237148100029E13</v>
      </c>
      <c r="D62" s="3" t="s">
        <v>399</v>
      </c>
      <c r="E62" s="4">
        <v>43368.0</v>
      </c>
      <c r="F62" s="3" t="s">
        <v>337</v>
      </c>
      <c r="G62" s="3" t="s">
        <v>17</v>
      </c>
      <c r="H62" s="3" t="s">
        <v>48</v>
      </c>
      <c r="I62" s="3" t="s">
        <v>400</v>
      </c>
      <c r="J62" s="3" t="s">
        <v>20</v>
      </c>
      <c r="K62" s="3" t="s">
        <v>21</v>
      </c>
      <c r="L62" s="3">
        <v>1.0</v>
      </c>
    </row>
    <row r="63">
      <c r="A63" s="9" t="s">
        <v>249</v>
      </c>
      <c r="B63" s="5">
        <v>1500.0</v>
      </c>
      <c r="C63" s="3">
        <v>4.8237148100029E13</v>
      </c>
      <c r="D63" s="3" t="s">
        <v>303</v>
      </c>
      <c r="E63" s="4">
        <v>43368.0</v>
      </c>
      <c r="F63" s="3" t="s">
        <v>413</v>
      </c>
      <c r="G63" s="3" t="s">
        <v>17</v>
      </c>
      <c r="H63" s="3" t="s">
        <v>48</v>
      </c>
      <c r="I63" s="3" t="s">
        <v>400</v>
      </c>
      <c r="J63" s="3" t="s">
        <v>20</v>
      </c>
      <c r="K63" s="3" t="s">
        <v>21</v>
      </c>
      <c r="L63" s="3">
        <v>1.0</v>
      </c>
    </row>
    <row r="64">
      <c r="A64" s="9" t="s">
        <v>776</v>
      </c>
      <c r="B64" s="5">
        <v>1680000.0</v>
      </c>
      <c r="C64" s="3">
        <v>4.83013405E8</v>
      </c>
      <c r="D64" s="3" t="s">
        <v>44</v>
      </c>
      <c r="E64" s="4">
        <v>43091.0</v>
      </c>
      <c r="F64" s="3" t="s">
        <v>16</v>
      </c>
      <c r="G64" s="3" t="s">
        <v>17</v>
      </c>
      <c r="H64" s="3" t="s">
        <v>18</v>
      </c>
      <c r="I64" s="3" t="s">
        <v>26</v>
      </c>
      <c r="J64" s="3" t="s">
        <v>20</v>
      </c>
      <c r="K64" s="3" t="s">
        <v>21</v>
      </c>
      <c r="L64" s="3">
        <v>1.0</v>
      </c>
    </row>
    <row r="65">
      <c r="A65" s="9" t="s">
        <v>191</v>
      </c>
      <c r="B65" s="5">
        <v>47500.0</v>
      </c>
      <c r="C65" s="3">
        <v>3.78090633E8</v>
      </c>
      <c r="D65" s="3" t="s">
        <v>143</v>
      </c>
      <c r="E65" s="4">
        <v>43269.0</v>
      </c>
      <c r="F65" s="3" t="s">
        <v>193</v>
      </c>
      <c r="G65" s="3" t="s">
        <v>17</v>
      </c>
      <c r="H65" s="3" t="s">
        <v>18</v>
      </c>
      <c r="I65" s="3" t="s">
        <v>187</v>
      </c>
      <c r="J65" s="3" t="s">
        <v>20</v>
      </c>
      <c r="K65" s="3" t="s">
        <v>21</v>
      </c>
      <c r="L65" s="3">
        <v>1.0</v>
      </c>
    </row>
    <row r="66">
      <c r="A66" s="9" t="s">
        <v>191</v>
      </c>
      <c r="B66" s="5">
        <v>9000.0</v>
      </c>
      <c r="C66" s="3">
        <v>3.7809063300017E13</v>
      </c>
      <c r="D66" s="3" t="s">
        <v>314</v>
      </c>
      <c r="E66" s="4">
        <v>43306.0</v>
      </c>
      <c r="F66" s="3" t="s">
        <v>312</v>
      </c>
      <c r="G66" s="3" t="s">
        <v>17</v>
      </c>
      <c r="H66" s="3" t="s">
        <v>18</v>
      </c>
      <c r="I66" s="3" t="s">
        <v>308</v>
      </c>
      <c r="J66" s="3" t="s">
        <v>20</v>
      </c>
      <c r="K66" s="3" t="s">
        <v>21</v>
      </c>
      <c r="L66" s="3">
        <v>1.0</v>
      </c>
    </row>
    <row r="67">
      <c r="A67" s="9" t="s">
        <v>364</v>
      </c>
      <c r="B67" s="5">
        <v>3000.0</v>
      </c>
      <c r="C67" s="3">
        <v>4.1993219900013E13</v>
      </c>
      <c r="D67" s="3" t="s">
        <v>303</v>
      </c>
      <c r="E67" s="4">
        <v>43298.0</v>
      </c>
      <c r="F67" s="3" t="s">
        <v>365</v>
      </c>
      <c r="G67" s="3" t="s">
        <v>366</v>
      </c>
      <c r="H67" s="3" t="s">
        <v>367</v>
      </c>
      <c r="I67" s="3" t="s">
        <v>317</v>
      </c>
      <c r="J67" s="3" t="s">
        <v>20</v>
      </c>
      <c r="K67" s="3" t="s">
        <v>21</v>
      </c>
      <c r="L67" s="3">
        <v>1.0</v>
      </c>
    </row>
    <row r="68">
      <c r="A68" s="9" t="s">
        <v>777</v>
      </c>
      <c r="B68" s="5">
        <v>38000.0</v>
      </c>
      <c r="C68" s="3">
        <v>4.19009105E8</v>
      </c>
      <c r="D68" s="3" t="s">
        <v>76</v>
      </c>
      <c r="E68" s="4">
        <v>43161.0</v>
      </c>
      <c r="F68" s="3" t="s">
        <v>16</v>
      </c>
      <c r="G68" s="3" t="s">
        <v>17</v>
      </c>
      <c r="H68" s="3" t="s">
        <v>18</v>
      </c>
      <c r="I68" s="3" t="s">
        <v>77</v>
      </c>
      <c r="J68" s="3" t="s">
        <v>20</v>
      </c>
      <c r="K68" s="3" t="s">
        <v>21</v>
      </c>
      <c r="L68" s="3">
        <v>1.0</v>
      </c>
    </row>
    <row r="69">
      <c r="A69" s="9" t="s">
        <v>778</v>
      </c>
      <c r="B69" s="5">
        <v>38000.0</v>
      </c>
      <c r="C69" s="3">
        <v>4.19009105E8</v>
      </c>
      <c r="D69" s="3" t="s">
        <v>132</v>
      </c>
      <c r="E69" s="4">
        <v>43252.0</v>
      </c>
      <c r="F69" s="3" t="s">
        <v>133</v>
      </c>
      <c r="G69" s="3" t="s">
        <v>17</v>
      </c>
      <c r="H69" s="3" t="s">
        <v>18</v>
      </c>
      <c r="I69" s="3" t="s">
        <v>134</v>
      </c>
      <c r="J69" s="3" t="s">
        <v>20</v>
      </c>
      <c r="K69" s="3" t="s">
        <v>21</v>
      </c>
      <c r="L69" s="3">
        <v>1.0</v>
      </c>
    </row>
    <row r="70">
      <c r="A70" s="9" t="s">
        <v>779</v>
      </c>
      <c r="B70" s="5">
        <v>55000.0</v>
      </c>
      <c r="C70" s="3">
        <v>8.0077623900017E13</v>
      </c>
      <c r="D70" s="3" t="s">
        <v>300</v>
      </c>
      <c r="E70" s="4">
        <v>43318.0</v>
      </c>
      <c r="F70" s="3" t="s">
        <v>301</v>
      </c>
      <c r="G70" s="3" t="s">
        <v>17</v>
      </c>
      <c r="H70" s="3" t="s">
        <v>18</v>
      </c>
      <c r="I70" s="3" t="s">
        <v>302</v>
      </c>
      <c r="J70" s="3" t="s">
        <v>20</v>
      </c>
      <c r="K70" s="3" t="s">
        <v>21</v>
      </c>
      <c r="L70" s="3">
        <v>1.0</v>
      </c>
    </row>
    <row r="71">
      <c r="A71" s="9" t="s">
        <v>173</v>
      </c>
      <c r="B71" s="5">
        <v>8000.0</v>
      </c>
      <c r="C71" s="3">
        <v>8.1141156E8</v>
      </c>
      <c r="D71" s="3" t="s">
        <v>119</v>
      </c>
      <c r="E71" s="4">
        <v>43263.0</v>
      </c>
      <c r="F71" s="3" t="s">
        <v>174</v>
      </c>
      <c r="G71" s="3" t="s">
        <v>17</v>
      </c>
      <c r="H71" s="3" t="s">
        <v>18</v>
      </c>
      <c r="I71" s="3" t="s">
        <v>175</v>
      </c>
      <c r="J71" s="3" t="s">
        <v>20</v>
      </c>
      <c r="K71" s="3" t="s">
        <v>21</v>
      </c>
      <c r="L71" s="3">
        <v>1.0</v>
      </c>
    </row>
    <row r="72">
      <c r="A72" s="9" t="s">
        <v>348</v>
      </c>
      <c r="B72" s="5">
        <v>25000.0</v>
      </c>
      <c r="C72" s="3">
        <v>8.0961975200011E13</v>
      </c>
      <c r="D72" s="3" t="s">
        <v>349</v>
      </c>
      <c r="E72" s="4">
        <v>43334.0</v>
      </c>
      <c r="F72" s="3" t="s">
        <v>16</v>
      </c>
      <c r="G72" s="3" t="s">
        <v>17</v>
      </c>
      <c r="H72" s="3" t="s">
        <v>18</v>
      </c>
      <c r="I72" s="3" t="s">
        <v>350</v>
      </c>
      <c r="J72" s="3" t="s">
        <v>20</v>
      </c>
      <c r="K72" s="3" t="s">
        <v>21</v>
      </c>
      <c r="L72" s="3">
        <v>1.0</v>
      </c>
    </row>
    <row r="73">
      <c r="A73" s="9" t="s">
        <v>780</v>
      </c>
      <c r="B73" s="5">
        <v>7700.0</v>
      </c>
      <c r="C73" s="3">
        <v>4.44932446E8</v>
      </c>
      <c r="D73" s="3" t="s">
        <v>155</v>
      </c>
      <c r="E73" s="4">
        <v>43257.0</v>
      </c>
      <c r="F73" s="3" t="s">
        <v>120</v>
      </c>
      <c r="G73" s="3" t="s">
        <v>17</v>
      </c>
      <c r="H73" s="3" t="s">
        <v>18</v>
      </c>
      <c r="I73" s="3" t="s">
        <v>156</v>
      </c>
      <c r="J73" s="3" t="s">
        <v>20</v>
      </c>
      <c r="K73" s="3" t="s">
        <v>21</v>
      </c>
      <c r="L73" s="3">
        <v>1.0</v>
      </c>
    </row>
    <row r="74">
      <c r="A74" s="9" t="s">
        <v>781</v>
      </c>
      <c r="B74" s="5">
        <v>150000.0</v>
      </c>
      <c r="C74" s="3">
        <v>3.44264759E8</v>
      </c>
      <c r="D74" s="3" t="s">
        <v>143</v>
      </c>
      <c r="E74" s="4">
        <v>43259.0</v>
      </c>
      <c r="F74" s="3" t="s">
        <v>171</v>
      </c>
      <c r="G74" s="3" t="s">
        <v>17</v>
      </c>
      <c r="H74" s="3" t="s">
        <v>18</v>
      </c>
      <c r="I74" s="3" t="s">
        <v>172</v>
      </c>
      <c r="J74" s="3" t="s">
        <v>20</v>
      </c>
      <c r="K74" s="3" t="s">
        <v>21</v>
      </c>
      <c r="L74" s="3">
        <v>1.0</v>
      </c>
    </row>
    <row r="75">
      <c r="A75" s="9" t="s">
        <v>231</v>
      </c>
      <c r="B75" s="5">
        <v>20000.0</v>
      </c>
      <c r="C75" s="3">
        <v>4.20089567E8</v>
      </c>
      <c r="D75" s="3" t="s">
        <v>143</v>
      </c>
      <c r="E75" s="4">
        <v>43269.0</v>
      </c>
      <c r="F75" s="3" t="s">
        <v>232</v>
      </c>
      <c r="G75" s="3" t="s">
        <v>17</v>
      </c>
      <c r="H75" s="3" t="s">
        <v>18</v>
      </c>
      <c r="I75" s="3" t="s">
        <v>187</v>
      </c>
      <c r="J75" s="3" t="s">
        <v>20</v>
      </c>
      <c r="K75" s="3" t="s">
        <v>21</v>
      </c>
      <c r="L75" s="3">
        <v>1.0</v>
      </c>
    </row>
    <row r="76">
      <c r="A76" s="9" t="s">
        <v>289</v>
      </c>
      <c r="B76" s="5">
        <v>3000.0</v>
      </c>
      <c r="C76" s="3">
        <v>8.0127165100011E13</v>
      </c>
      <c r="D76" s="3" t="s">
        <v>267</v>
      </c>
      <c r="E76" s="4">
        <v>43301.0</v>
      </c>
      <c r="F76" s="3" t="s">
        <v>291</v>
      </c>
      <c r="G76" s="3" t="s">
        <v>17</v>
      </c>
      <c r="H76" s="3" t="s">
        <v>18</v>
      </c>
      <c r="I76" s="3" t="s">
        <v>292</v>
      </c>
      <c r="J76" s="3" t="s">
        <v>20</v>
      </c>
      <c r="K76" s="3" t="s">
        <v>21</v>
      </c>
      <c r="L76" s="3">
        <v>1.0</v>
      </c>
    </row>
    <row r="77">
      <c r="A77" s="9" t="s">
        <v>289</v>
      </c>
      <c r="B77" s="5">
        <v>13538.0</v>
      </c>
      <c r="C77" s="3">
        <v>8.0127165100011E13</v>
      </c>
      <c r="D77" s="3" t="s">
        <v>303</v>
      </c>
      <c r="E77" s="4">
        <v>43298.0</v>
      </c>
      <c r="F77" s="3" t="s">
        <v>316</v>
      </c>
      <c r="G77" s="3" t="s">
        <v>17</v>
      </c>
      <c r="H77" s="3" t="s">
        <v>18</v>
      </c>
      <c r="I77" s="3" t="s">
        <v>317</v>
      </c>
      <c r="J77" s="3" t="s">
        <v>20</v>
      </c>
      <c r="K77" s="3" t="s">
        <v>21</v>
      </c>
      <c r="L77" s="3">
        <v>1.0</v>
      </c>
    </row>
    <row r="78">
      <c r="A78" s="9" t="s">
        <v>289</v>
      </c>
      <c r="B78" s="5">
        <v>55000.0</v>
      </c>
      <c r="C78" s="3">
        <v>8.0127651000011E13</v>
      </c>
      <c r="D78" s="3" t="s">
        <v>300</v>
      </c>
      <c r="E78" s="4">
        <v>43356.0</v>
      </c>
      <c r="F78" s="3" t="s">
        <v>409</v>
      </c>
      <c r="G78" s="3" t="s">
        <v>17</v>
      </c>
      <c r="H78" s="3" t="s">
        <v>18</v>
      </c>
      <c r="I78" s="3" t="s">
        <v>410</v>
      </c>
      <c r="J78" s="3" t="s">
        <v>20</v>
      </c>
      <c r="K78" s="3" t="s">
        <v>21</v>
      </c>
      <c r="L78" s="3">
        <v>1.0</v>
      </c>
    </row>
    <row r="79">
      <c r="A79" s="9" t="s">
        <v>27</v>
      </c>
      <c r="B79" s="5">
        <v>114000.0</v>
      </c>
      <c r="C79" s="3">
        <v>4.44337588E8</v>
      </c>
      <c r="D79" s="3" t="s">
        <v>29</v>
      </c>
      <c r="E79" s="4">
        <v>43112.0</v>
      </c>
      <c r="F79" s="3" t="s">
        <v>30</v>
      </c>
      <c r="G79" s="3" t="s">
        <v>17</v>
      </c>
      <c r="H79" s="3" t="s">
        <v>18</v>
      </c>
      <c r="I79" s="3" t="s">
        <v>31</v>
      </c>
      <c r="J79" s="3" t="s">
        <v>20</v>
      </c>
      <c r="K79" s="3" t="s">
        <v>21</v>
      </c>
      <c r="L79" s="3">
        <v>1.0</v>
      </c>
    </row>
    <row r="80">
      <c r="A80" s="9" t="s">
        <v>27</v>
      </c>
      <c r="B80" s="5">
        <v>114000.0</v>
      </c>
      <c r="C80" s="3">
        <v>4.44337588E8</v>
      </c>
      <c r="D80" s="3" t="s">
        <v>82</v>
      </c>
      <c r="E80" s="4">
        <v>43172.0</v>
      </c>
      <c r="F80" s="3" t="s">
        <v>16</v>
      </c>
      <c r="G80" s="3" t="s">
        <v>17</v>
      </c>
      <c r="H80" s="3" t="s">
        <v>18</v>
      </c>
      <c r="I80" s="3" t="s">
        <v>83</v>
      </c>
      <c r="J80" s="3" t="s">
        <v>20</v>
      </c>
      <c r="K80" s="3" t="s">
        <v>21</v>
      </c>
      <c r="L80" s="3">
        <v>1.0</v>
      </c>
    </row>
    <row r="81">
      <c r="A81" s="9" t="s">
        <v>351</v>
      </c>
      <c r="B81" s="5">
        <v>15000.0</v>
      </c>
      <c r="C81" s="3">
        <v>3.9856806300059E13</v>
      </c>
      <c r="D81" s="3" t="s">
        <v>267</v>
      </c>
      <c r="E81" s="4">
        <v>43339.0</v>
      </c>
      <c r="F81" s="3" t="s">
        <v>352</v>
      </c>
      <c r="G81" s="3" t="s">
        <v>17</v>
      </c>
      <c r="H81" s="3" t="s">
        <v>18</v>
      </c>
      <c r="I81" s="3" t="s">
        <v>347</v>
      </c>
      <c r="J81" s="3" t="s">
        <v>20</v>
      </c>
      <c r="K81" s="3" t="s">
        <v>21</v>
      </c>
      <c r="L81" s="3">
        <v>1.0</v>
      </c>
    </row>
    <row r="82">
      <c r="A82" s="9" t="s">
        <v>782</v>
      </c>
      <c r="B82" s="5">
        <v>160000.0</v>
      </c>
      <c r="C82" s="3">
        <v>4.20089567E8</v>
      </c>
      <c r="D82" s="3" t="s">
        <v>143</v>
      </c>
      <c r="E82" s="4">
        <v>43269.0</v>
      </c>
      <c r="F82" s="3" t="s">
        <v>230</v>
      </c>
      <c r="G82" s="3" t="s">
        <v>17</v>
      </c>
      <c r="H82" s="3" t="s">
        <v>18</v>
      </c>
      <c r="I82" s="3" t="s">
        <v>187</v>
      </c>
      <c r="J82" s="3" t="s">
        <v>20</v>
      </c>
      <c r="K82" s="3" t="s">
        <v>21</v>
      </c>
      <c r="L82" s="3">
        <v>1.0</v>
      </c>
    </row>
    <row r="83">
      <c r="A83" s="9" t="s">
        <v>752</v>
      </c>
      <c r="B83" s="5">
        <v>50000.0</v>
      </c>
      <c r="C83" s="3">
        <v>3.79140221E8</v>
      </c>
      <c r="D83" s="3" t="s">
        <v>143</v>
      </c>
      <c r="E83" s="4">
        <v>43269.0</v>
      </c>
      <c r="F83" s="3" t="s">
        <v>202</v>
      </c>
      <c r="G83" s="3" t="s">
        <v>17</v>
      </c>
      <c r="H83" s="3" t="s">
        <v>18</v>
      </c>
      <c r="I83" s="3" t="s">
        <v>187</v>
      </c>
      <c r="J83" s="3" t="s">
        <v>20</v>
      </c>
      <c r="K83" s="3" t="s">
        <v>21</v>
      </c>
      <c r="L83" s="3">
        <v>1.0</v>
      </c>
    </row>
    <row r="84">
      <c r="A84" s="9" t="s">
        <v>210</v>
      </c>
      <c r="B84" s="5">
        <v>180000.0</v>
      </c>
      <c r="C84" s="3">
        <v>8.18313264E8</v>
      </c>
      <c r="D84" s="3" t="s">
        <v>212</v>
      </c>
      <c r="E84" s="4">
        <v>43271.0</v>
      </c>
      <c r="F84" s="3" t="s">
        <v>16</v>
      </c>
      <c r="G84" s="3" t="s">
        <v>17</v>
      </c>
      <c r="H84" s="3" t="s">
        <v>18</v>
      </c>
      <c r="I84" s="3" t="s">
        <v>213</v>
      </c>
      <c r="J84" s="3" t="s">
        <v>20</v>
      </c>
      <c r="K84" s="3" t="s">
        <v>21</v>
      </c>
      <c r="L84" s="3">
        <v>1.0</v>
      </c>
    </row>
    <row r="85">
      <c r="A85" s="9" t="s">
        <v>430</v>
      </c>
      <c r="B85" s="5">
        <v>30000.0</v>
      </c>
      <c r="C85" s="3">
        <v>4.3470528100021E13</v>
      </c>
      <c r="D85" s="3" t="s">
        <v>431</v>
      </c>
      <c r="E85" s="4">
        <v>43411.0</v>
      </c>
      <c r="F85" s="3" t="s">
        <v>16</v>
      </c>
      <c r="G85" s="3" t="s">
        <v>17</v>
      </c>
      <c r="H85" s="3" t="s">
        <v>18</v>
      </c>
      <c r="I85" s="3" t="s">
        <v>429</v>
      </c>
      <c r="J85" s="3" t="s">
        <v>20</v>
      </c>
      <c r="K85" s="3" t="s">
        <v>21</v>
      </c>
      <c r="L85" s="3">
        <v>1.0</v>
      </c>
    </row>
    <row r="86">
      <c r="A86" s="9" t="s">
        <v>266</v>
      </c>
      <c r="B86" s="5">
        <v>10000.0</v>
      </c>
      <c r="C86" s="3">
        <v>8.2982336800016E13</v>
      </c>
      <c r="D86" s="3" t="s">
        <v>267</v>
      </c>
      <c r="E86" s="4">
        <v>43263.0</v>
      </c>
      <c r="F86" s="3" t="s">
        <v>268</v>
      </c>
      <c r="G86" s="3" t="s">
        <v>17</v>
      </c>
      <c r="H86" s="3" t="s">
        <v>18</v>
      </c>
      <c r="I86" s="3" t="s">
        <v>175</v>
      </c>
      <c r="J86" s="3" t="s">
        <v>20</v>
      </c>
      <c r="K86" s="3" t="s">
        <v>21</v>
      </c>
      <c r="L86" s="3">
        <v>1.0</v>
      </c>
    </row>
    <row r="87">
      <c r="A87" s="9" t="s">
        <v>285</v>
      </c>
      <c r="B87" s="5">
        <v>52500.0</v>
      </c>
      <c r="C87" s="3">
        <v>3.8956456800027E13</v>
      </c>
      <c r="D87" s="3" t="s">
        <v>287</v>
      </c>
      <c r="E87" s="4">
        <v>43252.0</v>
      </c>
      <c r="F87" s="3" t="s">
        <v>288</v>
      </c>
      <c r="G87" s="3" t="s">
        <v>17</v>
      </c>
      <c r="H87" s="3" t="s">
        <v>18</v>
      </c>
      <c r="I87" s="3" t="s">
        <v>134</v>
      </c>
      <c r="J87" s="3" t="s">
        <v>20</v>
      </c>
      <c r="K87" s="3" t="s">
        <v>21</v>
      </c>
      <c r="L87" s="3">
        <v>1.0</v>
      </c>
    </row>
    <row r="88">
      <c r="A88" s="9" t="s">
        <v>681</v>
      </c>
      <c r="B88" s="5">
        <v>45000.0</v>
      </c>
      <c r="C88" s="3">
        <v>3.49753467E8</v>
      </c>
      <c r="D88" s="3" t="s">
        <v>239</v>
      </c>
      <c r="E88" s="4">
        <v>43279.0</v>
      </c>
      <c r="F88" s="3" t="s">
        <v>16</v>
      </c>
      <c r="G88" s="3" t="s">
        <v>17</v>
      </c>
      <c r="H88" s="3" t="s">
        <v>18</v>
      </c>
      <c r="I88" s="3" t="s">
        <v>237</v>
      </c>
      <c r="J88" s="3" t="s">
        <v>20</v>
      </c>
      <c r="K88" s="3" t="s">
        <v>21</v>
      </c>
      <c r="L88" s="3">
        <v>1.0</v>
      </c>
    </row>
    <row r="89">
      <c r="A89" s="9" t="s">
        <v>122</v>
      </c>
      <c r="B89" s="5">
        <v>17500.0</v>
      </c>
      <c r="C89" s="3">
        <v>3.83890233E8</v>
      </c>
      <c r="D89" s="3" t="s">
        <v>124</v>
      </c>
      <c r="E89" s="4">
        <v>43248.0</v>
      </c>
      <c r="F89" s="3" t="s">
        <v>125</v>
      </c>
      <c r="G89" s="3" t="s">
        <v>17</v>
      </c>
      <c r="H89" s="3" t="s">
        <v>18</v>
      </c>
      <c r="I89" s="3" t="s">
        <v>126</v>
      </c>
      <c r="J89" s="3" t="s">
        <v>20</v>
      </c>
      <c r="K89" s="3" t="s">
        <v>21</v>
      </c>
      <c r="L89" s="3">
        <v>1.0</v>
      </c>
    </row>
    <row r="90">
      <c r="A90" s="9" t="s">
        <v>122</v>
      </c>
      <c r="B90" s="5">
        <v>17000.0</v>
      </c>
      <c r="C90" s="3">
        <v>3.83890233E8</v>
      </c>
      <c r="D90" s="3" t="s">
        <v>119</v>
      </c>
      <c r="E90" s="4">
        <v>43252.0</v>
      </c>
      <c r="F90" s="3" t="s">
        <v>120</v>
      </c>
      <c r="G90" s="3" t="s">
        <v>17</v>
      </c>
      <c r="H90" s="3" t="s">
        <v>18</v>
      </c>
      <c r="I90" s="3" t="s">
        <v>134</v>
      </c>
      <c r="J90" s="3" t="s">
        <v>20</v>
      </c>
      <c r="K90" s="3" t="s">
        <v>21</v>
      </c>
      <c r="L90" s="3">
        <v>1.0</v>
      </c>
    </row>
    <row r="91">
      <c r="A91" s="9" t="s">
        <v>656</v>
      </c>
      <c r="B91" s="5">
        <v>332775.0</v>
      </c>
      <c r="C91" s="3">
        <v>4.09199817E8</v>
      </c>
      <c r="D91" s="3" t="s">
        <v>220</v>
      </c>
      <c r="E91" s="4">
        <v>43271.0</v>
      </c>
      <c r="F91" s="3" t="s">
        <v>16</v>
      </c>
      <c r="G91" s="3" t="s">
        <v>17</v>
      </c>
      <c r="H91" s="3" t="s">
        <v>18</v>
      </c>
      <c r="I91" s="3" t="s">
        <v>213</v>
      </c>
      <c r="J91" s="3" t="s">
        <v>20</v>
      </c>
      <c r="K91" s="3" t="s">
        <v>21</v>
      </c>
      <c r="L91" s="3">
        <v>1.0</v>
      </c>
    </row>
    <row r="92">
      <c r="A92" s="9" t="s">
        <v>281</v>
      </c>
      <c r="B92" s="5">
        <v>10000.0</v>
      </c>
      <c r="C92" s="3">
        <v>7.5198395800024E13</v>
      </c>
      <c r="D92" s="3" t="s">
        <v>267</v>
      </c>
      <c r="E92" s="4">
        <v>43276.0</v>
      </c>
      <c r="F92" s="3" t="s">
        <v>282</v>
      </c>
      <c r="G92" s="3" t="s">
        <v>17</v>
      </c>
      <c r="H92" s="3" t="s">
        <v>18</v>
      </c>
      <c r="I92" s="3" t="s">
        <v>283</v>
      </c>
      <c r="J92" s="3" t="s">
        <v>20</v>
      </c>
      <c r="K92" s="3" t="s">
        <v>21</v>
      </c>
      <c r="L92" s="3" t="s">
        <v>284</v>
      </c>
    </row>
    <row r="93">
      <c r="A93" s="9" t="s">
        <v>783</v>
      </c>
      <c r="B93" s="5">
        <v>34000.0</v>
      </c>
      <c r="C93" s="3">
        <v>4.20252348E8</v>
      </c>
      <c r="D93" s="3" t="s">
        <v>71</v>
      </c>
      <c r="E93" s="4">
        <v>43160.0</v>
      </c>
      <c r="F93" s="3" t="s">
        <v>72</v>
      </c>
      <c r="G93" s="3" t="s">
        <v>17</v>
      </c>
      <c r="H93" s="3" t="s">
        <v>18</v>
      </c>
      <c r="I93" s="3" t="s">
        <v>73</v>
      </c>
      <c r="J93" s="3" t="s">
        <v>20</v>
      </c>
      <c r="K93" s="3" t="s">
        <v>21</v>
      </c>
      <c r="L93" s="3">
        <v>1.0</v>
      </c>
    </row>
    <row r="94">
      <c r="A94" s="9" t="s">
        <v>318</v>
      </c>
      <c r="B94" s="5">
        <v>5000.0</v>
      </c>
      <c r="C94" s="3">
        <v>8.2138441900015E13</v>
      </c>
      <c r="D94" s="3" t="s">
        <v>303</v>
      </c>
      <c r="E94" s="4">
        <v>43298.0</v>
      </c>
      <c r="F94" s="3" t="s">
        <v>312</v>
      </c>
      <c r="G94" s="3" t="s">
        <v>17</v>
      </c>
      <c r="H94" s="3" t="s">
        <v>18</v>
      </c>
      <c r="I94" s="3" t="s">
        <v>317</v>
      </c>
      <c r="J94" s="3" t="s">
        <v>20</v>
      </c>
      <c r="K94" s="3" t="s">
        <v>21</v>
      </c>
      <c r="L94" s="3">
        <v>1.0</v>
      </c>
    </row>
    <row r="95">
      <c r="A95" s="9" t="s">
        <v>165</v>
      </c>
      <c r="B95" s="5">
        <v>8000.0</v>
      </c>
      <c r="C95" s="3">
        <v>8.33920077E8</v>
      </c>
      <c r="D95" s="3" t="s">
        <v>119</v>
      </c>
      <c r="E95" s="4">
        <v>43257.0</v>
      </c>
      <c r="F95" s="3" t="s">
        <v>120</v>
      </c>
      <c r="G95" s="3" t="s">
        <v>17</v>
      </c>
      <c r="H95" s="3" t="s">
        <v>18</v>
      </c>
      <c r="I95" s="3" t="s">
        <v>156</v>
      </c>
      <c r="J95" s="3" t="s">
        <v>20</v>
      </c>
      <c r="K95" s="3" t="s">
        <v>21</v>
      </c>
      <c r="L95" s="3">
        <v>1.0</v>
      </c>
    </row>
    <row r="96">
      <c r="A96" s="9" t="s">
        <v>635</v>
      </c>
      <c r="B96" s="5">
        <v>9900.0</v>
      </c>
      <c r="C96" s="3">
        <v>8.246985E8</v>
      </c>
      <c r="D96" s="3" t="s">
        <v>119</v>
      </c>
      <c r="E96" s="4">
        <v>43266.0</v>
      </c>
      <c r="F96" s="3" t="s">
        <v>16</v>
      </c>
      <c r="G96" s="3" t="s">
        <v>17</v>
      </c>
      <c r="H96" s="3" t="s">
        <v>18</v>
      </c>
      <c r="I96" s="3" t="s">
        <v>185</v>
      </c>
      <c r="J96" s="3" t="s">
        <v>20</v>
      </c>
      <c r="K96" s="3" t="s">
        <v>21</v>
      </c>
      <c r="L96" s="3">
        <v>1.0</v>
      </c>
    </row>
    <row r="97">
      <c r="A97" s="9" t="s">
        <v>784</v>
      </c>
      <c r="B97" s="5">
        <v>13000.0</v>
      </c>
      <c r="C97" s="3">
        <v>5.2539664400011E13</v>
      </c>
      <c r="D97" s="3" t="s">
        <v>443</v>
      </c>
      <c r="E97" s="4">
        <v>43418.0</v>
      </c>
      <c r="F97" s="3" t="s">
        <v>444</v>
      </c>
      <c r="G97" s="3" t="s">
        <v>17</v>
      </c>
      <c r="H97" s="3" t="s">
        <v>18</v>
      </c>
      <c r="I97" s="3" t="s">
        <v>445</v>
      </c>
      <c r="J97" s="3" t="s">
        <v>20</v>
      </c>
      <c r="K97" s="3" t="s">
        <v>21</v>
      </c>
      <c r="L97" s="3">
        <v>1.0</v>
      </c>
    </row>
    <row r="98">
      <c r="A98" s="9" t="s">
        <v>784</v>
      </c>
      <c r="B98" s="5">
        <v>15000.0</v>
      </c>
      <c r="C98" s="3">
        <v>5.2539664400011E13</v>
      </c>
      <c r="D98" s="3" t="s">
        <v>443</v>
      </c>
      <c r="E98" s="4">
        <v>43418.0</v>
      </c>
      <c r="F98" s="3" t="s">
        <v>446</v>
      </c>
      <c r="G98" s="3" t="s">
        <v>17</v>
      </c>
      <c r="H98" s="3" t="s">
        <v>48</v>
      </c>
      <c r="I98" s="3" t="s">
        <v>445</v>
      </c>
      <c r="J98" s="3" t="s">
        <v>20</v>
      </c>
      <c r="K98" s="3" t="s">
        <v>21</v>
      </c>
      <c r="L98" s="3">
        <v>1.0</v>
      </c>
    </row>
    <row r="99">
      <c r="A99" s="9" t="s">
        <v>784</v>
      </c>
      <c r="B99" s="5">
        <v>46318.0</v>
      </c>
      <c r="C99" s="3">
        <v>5.2539664400011E13</v>
      </c>
      <c r="D99" s="3" t="s">
        <v>443</v>
      </c>
      <c r="E99" s="4">
        <v>43418.0</v>
      </c>
      <c r="F99" s="3" t="s">
        <v>312</v>
      </c>
      <c r="G99" s="3" t="s">
        <v>17</v>
      </c>
      <c r="H99" s="3" t="s">
        <v>18</v>
      </c>
      <c r="I99" s="3" t="s">
        <v>445</v>
      </c>
      <c r="J99" s="3" t="s">
        <v>20</v>
      </c>
      <c r="K99" s="3" t="s">
        <v>21</v>
      </c>
      <c r="L99" s="3">
        <v>1.0</v>
      </c>
    </row>
    <row r="100">
      <c r="A100" s="9" t="s">
        <v>785</v>
      </c>
      <c r="B100" s="5">
        <v>5000.0</v>
      </c>
      <c r="C100" s="3">
        <v>8.10971283E8</v>
      </c>
      <c r="D100" s="3" t="s">
        <v>119</v>
      </c>
      <c r="E100" s="4">
        <v>43269.0</v>
      </c>
      <c r="F100" s="3" t="s">
        <v>120</v>
      </c>
      <c r="G100" s="3" t="s">
        <v>17</v>
      </c>
      <c r="H100" s="3" t="s">
        <v>18</v>
      </c>
      <c r="I100" s="3" t="s">
        <v>187</v>
      </c>
      <c r="J100" s="3" t="s">
        <v>20</v>
      </c>
      <c r="K100" s="3" t="s">
        <v>21</v>
      </c>
      <c r="L100" s="3">
        <v>1.0</v>
      </c>
    </row>
    <row r="101">
      <c r="A101" s="9" t="s">
        <v>277</v>
      </c>
      <c r="B101" s="5">
        <v>15000.0</v>
      </c>
      <c r="C101" s="3">
        <v>4.3434085700037E13</v>
      </c>
      <c r="D101" s="3" t="s">
        <v>143</v>
      </c>
      <c r="E101" s="4">
        <v>43300.0</v>
      </c>
      <c r="F101" s="3" t="s">
        <v>16</v>
      </c>
      <c r="G101" s="3" t="s">
        <v>17</v>
      </c>
      <c r="H101" s="3" t="s">
        <v>18</v>
      </c>
      <c r="I101" s="3" t="s">
        <v>278</v>
      </c>
      <c r="J101" s="3" t="s">
        <v>20</v>
      </c>
      <c r="K101" s="3" t="s">
        <v>21</v>
      </c>
      <c r="L101" s="3">
        <v>1.0</v>
      </c>
    </row>
    <row r="102">
      <c r="A102" s="9" t="s">
        <v>786</v>
      </c>
      <c r="B102" s="5">
        <v>14000.0</v>
      </c>
      <c r="C102" s="3">
        <v>8.09584576E8</v>
      </c>
      <c r="D102" s="3" t="s">
        <v>119</v>
      </c>
      <c r="E102" s="4">
        <v>43252.0</v>
      </c>
      <c r="F102" s="3" t="s">
        <v>120</v>
      </c>
      <c r="G102" s="3" t="s">
        <v>17</v>
      </c>
      <c r="H102" s="3" t="s">
        <v>18</v>
      </c>
      <c r="I102" s="3" t="s">
        <v>134</v>
      </c>
      <c r="J102" s="3" t="s">
        <v>20</v>
      </c>
      <c r="K102" s="3" t="s">
        <v>21</v>
      </c>
      <c r="L102" s="3">
        <v>1.0</v>
      </c>
    </row>
    <row r="103">
      <c r="A103" s="9" t="s">
        <v>787</v>
      </c>
      <c r="B103" s="5">
        <v>7000.0</v>
      </c>
      <c r="C103" s="3">
        <v>4.1087071100083E13</v>
      </c>
      <c r="D103" s="3" t="s">
        <v>336</v>
      </c>
      <c r="E103" s="4">
        <v>43312.0</v>
      </c>
      <c r="F103" s="3" t="s">
        <v>337</v>
      </c>
      <c r="G103" s="3" t="s">
        <v>17</v>
      </c>
      <c r="H103" s="3" t="s">
        <v>18</v>
      </c>
      <c r="I103" s="3" t="s">
        <v>338</v>
      </c>
      <c r="J103" s="3" t="s">
        <v>20</v>
      </c>
      <c r="K103" s="3" t="s">
        <v>21</v>
      </c>
      <c r="L103" s="3">
        <v>1.0</v>
      </c>
    </row>
    <row r="104">
      <c r="A104" s="9" t="s">
        <v>788</v>
      </c>
      <c r="B104" s="5">
        <v>25000.0</v>
      </c>
      <c r="C104" s="3">
        <v>3.7954994200025E13</v>
      </c>
      <c r="D104" s="3" t="s">
        <v>280</v>
      </c>
      <c r="E104" s="4">
        <v>43299.0</v>
      </c>
      <c r="F104" s="3" t="s">
        <v>16</v>
      </c>
      <c r="G104" s="3" t="s">
        <v>17</v>
      </c>
      <c r="H104" s="3" t="s">
        <v>18</v>
      </c>
      <c r="I104" s="3" t="s">
        <v>273</v>
      </c>
      <c r="J104" s="3" t="s">
        <v>20</v>
      </c>
      <c r="K104" s="3" t="s">
        <v>21</v>
      </c>
      <c r="L104" s="3">
        <v>1.0</v>
      </c>
    </row>
    <row r="105">
      <c r="A105" s="9" t="s">
        <v>164</v>
      </c>
      <c r="B105" s="5">
        <v>5000.0</v>
      </c>
      <c r="C105" s="3">
        <v>4.52274798E8</v>
      </c>
      <c r="D105" s="3" t="s">
        <v>119</v>
      </c>
      <c r="E105" s="4">
        <v>43250.0</v>
      </c>
      <c r="F105" s="3" t="s">
        <v>120</v>
      </c>
      <c r="G105" s="3" t="s">
        <v>17</v>
      </c>
      <c r="H105" s="3" t="s">
        <v>18</v>
      </c>
      <c r="I105" s="3" t="s">
        <v>128</v>
      </c>
      <c r="J105" s="3" t="s">
        <v>20</v>
      </c>
      <c r="K105" s="3" t="s">
        <v>21</v>
      </c>
      <c r="L105" s="3">
        <v>1.0</v>
      </c>
    </row>
    <row r="106">
      <c r="A106" s="9" t="s">
        <v>164</v>
      </c>
      <c r="B106" s="5">
        <v>9500.0</v>
      </c>
      <c r="C106" s="3">
        <v>4.5227479800035E13</v>
      </c>
      <c r="D106" s="3" t="s">
        <v>424</v>
      </c>
      <c r="E106" s="4">
        <v>43406.0</v>
      </c>
      <c r="F106" s="3" t="s">
        <v>425</v>
      </c>
      <c r="G106" s="3" t="s">
        <v>17</v>
      </c>
      <c r="H106" s="3" t="s">
        <v>18</v>
      </c>
      <c r="I106" s="3" t="s">
        <v>426</v>
      </c>
      <c r="J106" s="3" t="s">
        <v>20</v>
      </c>
      <c r="K106" s="3" t="s">
        <v>21</v>
      </c>
      <c r="L106" s="3">
        <v>1.0</v>
      </c>
    </row>
    <row r="107">
      <c r="A107" s="9" t="s">
        <v>789</v>
      </c>
      <c r="B107" s="5">
        <v>230000.0</v>
      </c>
      <c r="C107" s="3">
        <v>4.9058526200069E13</v>
      </c>
      <c r="D107" s="3" t="s">
        <v>355</v>
      </c>
      <c r="E107" s="4">
        <v>43182.0</v>
      </c>
      <c r="F107" s="3" t="s">
        <v>16</v>
      </c>
      <c r="G107" s="3" t="s">
        <v>17</v>
      </c>
      <c r="H107" s="3" t="s">
        <v>18</v>
      </c>
      <c r="I107" s="3" t="s">
        <v>103</v>
      </c>
      <c r="J107" s="3" t="s">
        <v>20</v>
      </c>
      <c r="K107" s="3" t="s">
        <v>21</v>
      </c>
      <c r="L107" s="3">
        <v>1.0</v>
      </c>
    </row>
    <row r="108">
      <c r="A108" s="9" t="s">
        <v>790</v>
      </c>
      <c r="B108" s="5">
        <v>20000.0</v>
      </c>
      <c r="C108" s="3">
        <v>4.9058526200069E13</v>
      </c>
      <c r="D108" s="3" t="s">
        <v>386</v>
      </c>
      <c r="E108" s="4">
        <v>43353.0</v>
      </c>
      <c r="F108" s="3" t="s">
        <v>387</v>
      </c>
      <c r="G108" s="3" t="s">
        <v>17</v>
      </c>
      <c r="H108" s="3" t="s">
        <v>18</v>
      </c>
      <c r="I108" s="3" t="s">
        <v>383</v>
      </c>
      <c r="J108" s="3" t="s">
        <v>20</v>
      </c>
      <c r="K108" s="3" t="s">
        <v>21</v>
      </c>
      <c r="L108" s="3">
        <v>1.0</v>
      </c>
    </row>
    <row r="109">
      <c r="A109" s="9" t="s">
        <v>790</v>
      </c>
      <c r="B109" s="5">
        <v>25000.0</v>
      </c>
      <c r="C109" s="3">
        <v>4.9058526200069E13</v>
      </c>
      <c r="D109" s="3" t="s">
        <v>388</v>
      </c>
      <c r="E109" s="4">
        <v>43353.0</v>
      </c>
      <c r="F109" s="3" t="s">
        <v>330</v>
      </c>
      <c r="G109" s="3" t="s">
        <v>17</v>
      </c>
      <c r="H109" s="3" t="s">
        <v>18</v>
      </c>
      <c r="I109" s="3" t="s">
        <v>383</v>
      </c>
      <c r="J109" s="3" t="s">
        <v>20</v>
      </c>
      <c r="K109" s="3" t="s">
        <v>21</v>
      </c>
      <c r="L109" s="3">
        <v>1.0</v>
      </c>
    </row>
    <row r="110">
      <c r="A110" s="9" t="s">
        <v>791</v>
      </c>
      <c r="B110" s="5">
        <v>59400.0</v>
      </c>
      <c r="C110" s="3">
        <v>5.1779186900012E13</v>
      </c>
      <c r="D110" s="3" t="s">
        <v>408</v>
      </c>
      <c r="E110" s="4">
        <v>43306.0</v>
      </c>
      <c r="F110" s="3" t="s">
        <v>16</v>
      </c>
      <c r="G110" s="3" t="s">
        <v>17</v>
      </c>
      <c r="H110" s="3" t="s">
        <v>18</v>
      </c>
      <c r="I110" s="3" t="s">
        <v>308</v>
      </c>
      <c r="J110" s="3" t="s">
        <v>20</v>
      </c>
      <c r="K110" s="3" t="s">
        <v>21</v>
      </c>
      <c r="L110" s="3">
        <v>1.0</v>
      </c>
    </row>
    <row r="111">
      <c r="A111" s="9" t="s">
        <v>176</v>
      </c>
      <c r="B111" s="5">
        <v>12600.0</v>
      </c>
      <c r="C111" s="3">
        <v>7.9836587E8</v>
      </c>
      <c r="D111" s="3" t="s">
        <v>119</v>
      </c>
      <c r="E111" s="4">
        <v>43264.0</v>
      </c>
      <c r="F111" s="3" t="s">
        <v>174</v>
      </c>
      <c r="G111" s="3" t="s">
        <v>17</v>
      </c>
      <c r="H111" s="3" t="s">
        <v>18</v>
      </c>
      <c r="I111" s="3" t="s">
        <v>178</v>
      </c>
      <c r="J111" s="3" t="s">
        <v>20</v>
      </c>
      <c r="K111" s="3" t="s">
        <v>21</v>
      </c>
      <c r="L111" s="3">
        <v>1.0</v>
      </c>
    </row>
    <row r="112">
      <c r="A112" s="9" t="s">
        <v>247</v>
      </c>
      <c r="B112" s="5">
        <v>8000.0</v>
      </c>
      <c r="C112" s="3">
        <v>5.24259363E8</v>
      </c>
      <c r="D112" s="3" t="s">
        <v>143</v>
      </c>
      <c r="E112" s="4">
        <v>43283.0</v>
      </c>
      <c r="F112" s="3" t="s">
        <v>230</v>
      </c>
      <c r="G112" s="3" t="s">
        <v>17</v>
      </c>
      <c r="H112" s="3" t="s">
        <v>18</v>
      </c>
      <c r="I112" s="3" t="s">
        <v>246</v>
      </c>
      <c r="J112" s="3" t="s">
        <v>20</v>
      </c>
      <c r="K112" s="3" t="s">
        <v>21</v>
      </c>
      <c r="L112" s="3">
        <v>1.0</v>
      </c>
    </row>
    <row r="113">
      <c r="A113" s="9" t="s">
        <v>577</v>
      </c>
      <c r="B113" s="5">
        <v>96187.5</v>
      </c>
      <c r="C113" s="3">
        <v>3.42215456E8</v>
      </c>
      <c r="D113" s="3" t="s">
        <v>59</v>
      </c>
      <c r="E113" s="4">
        <v>43126.0</v>
      </c>
      <c r="F113" s="3" t="s">
        <v>16</v>
      </c>
      <c r="G113" s="3" t="s">
        <v>17</v>
      </c>
      <c r="H113" s="3" t="s">
        <v>18</v>
      </c>
      <c r="I113" s="3" t="s">
        <v>60</v>
      </c>
      <c r="J113" s="3" t="s">
        <v>20</v>
      </c>
      <c r="K113" s="3" t="s">
        <v>21</v>
      </c>
      <c r="L113" s="3">
        <v>1.0</v>
      </c>
    </row>
    <row r="114">
      <c r="A114" s="9" t="s">
        <v>274</v>
      </c>
      <c r="B114" s="5">
        <v>10000.0</v>
      </c>
      <c r="C114" s="3">
        <v>8.221340780001E13</v>
      </c>
      <c r="D114" s="3" t="s">
        <v>275</v>
      </c>
      <c r="E114" s="4">
        <v>43299.0</v>
      </c>
      <c r="F114" s="3" t="s">
        <v>276</v>
      </c>
      <c r="G114" s="3" t="s">
        <v>17</v>
      </c>
      <c r="H114" s="3" t="s">
        <v>18</v>
      </c>
      <c r="I114" s="3" t="s">
        <v>273</v>
      </c>
      <c r="J114" s="3" t="s">
        <v>20</v>
      </c>
      <c r="K114" s="3" t="s">
        <v>21</v>
      </c>
      <c r="L114" s="3">
        <v>1.0</v>
      </c>
    </row>
    <row r="115">
      <c r="A115" s="9" t="s">
        <v>792</v>
      </c>
      <c r="B115" s="5">
        <v>40000.0</v>
      </c>
      <c r="C115" s="3">
        <v>3.4169319E8</v>
      </c>
      <c r="D115" s="3" t="s">
        <v>220</v>
      </c>
      <c r="E115" s="4">
        <v>43269.0</v>
      </c>
      <c r="F115" s="3" t="s">
        <v>120</v>
      </c>
      <c r="G115" s="3" t="s">
        <v>17</v>
      </c>
      <c r="H115" s="3" t="s">
        <v>18</v>
      </c>
      <c r="I115" s="3" t="s">
        <v>187</v>
      </c>
      <c r="J115" s="3" t="s">
        <v>20</v>
      </c>
      <c r="K115" s="3" t="s">
        <v>21</v>
      </c>
      <c r="L115" s="3">
        <v>1.0</v>
      </c>
    </row>
    <row r="116">
      <c r="A116" s="9" t="s">
        <v>792</v>
      </c>
      <c r="B116" s="5">
        <v>25000.0</v>
      </c>
      <c r="C116" s="3">
        <v>3.4169319E8</v>
      </c>
      <c r="D116" s="3" t="s">
        <v>143</v>
      </c>
      <c r="E116" s="4">
        <v>43269.0</v>
      </c>
      <c r="F116" s="3" t="s">
        <v>234</v>
      </c>
      <c r="G116" s="3" t="s">
        <v>17</v>
      </c>
      <c r="H116" s="3" t="s">
        <v>18</v>
      </c>
      <c r="I116" s="3" t="s">
        <v>187</v>
      </c>
      <c r="J116" s="3" t="s">
        <v>20</v>
      </c>
      <c r="K116" s="3" t="s">
        <v>21</v>
      </c>
      <c r="L116" s="3">
        <v>1.0</v>
      </c>
    </row>
    <row r="117">
      <c r="A117" s="9" t="s">
        <v>792</v>
      </c>
      <c r="B117" s="5">
        <v>11000.0</v>
      </c>
      <c r="C117" s="3">
        <v>3.4169319000033E13</v>
      </c>
      <c r="D117" s="3" t="s">
        <v>399</v>
      </c>
      <c r="E117" s="4">
        <v>43371.0</v>
      </c>
      <c r="F117" s="3" t="s">
        <v>337</v>
      </c>
      <c r="G117" s="3" t="s">
        <v>17</v>
      </c>
      <c r="H117" s="3" t="s">
        <v>48</v>
      </c>
      <c r="I117" s="3" t="s">
        <v>405</v>
      </c>
      <c r="J117" s="3" t="s">
        <v>20</v>
      </c>
      <c r="K117" s="3" t="s">
        <v>21</v>
      </c>
      <c r="L117" s="3">
        <v>1.0</v>
      </c>
    </row>
    <row r="118">
      <c r="A118" s="9" t="s">
        <v>793</v>
      </c>
      <c r="B118" s="5">
        <v>35000.0</v>
      </c>
      <c r="C118" s="3">
        <v>3.4169319E8</v>
      </c>
      <c r="D118" s="3" t="s">
        <v>86</v>
      </c>
      <c r="E118" s="4">
        <v>43174.0</v>
      </c>
      <c r="F118" s="3" t="s">
        <v>87</v>
      </c>
      <c r="G118" s="3" t="s">
        <v>17</v>
      </c>
      <c r="H118" s="3" t="s">
        <v>18</v>
      </c>
      <c r="I118" s="3" t="s">
        <v>88</v>
      </c>
      <c r="J118" s="3" t="s">
        <v>20</v>
      </c>
      <c r="K118" s="3" t="s">
        <v>21</v>
      </c>
      <c r="L118" s="3">
        <v>1.0</v>
      </c>
    </row>
    <row r="119">
      <c r="A119" s="9" t="s">
        <v>411</v>
      </c>
      <c r="B119" s="5">
        <v>2000.0</v>
      </c>
      <c r="C119" s="3">
        <v>8.1028483600014E13</v>
      </c>
      <c r="D119" s="3" t="s">
        <v>303</v>
      </c>
      <c r="E119" s="4">
        <v>43342.0</v>
      </c>
      <c r="F119" s="3" t="s">
        <v>413</v>
      </c>
      <c r="G119" s="3" t="s">
        <v>17</v>
      </c>
      <c r="H119" s="3" t="s">
        <v>48</v>
      </c>
      <c r="I119" s="3" t="s">
        <v>372</v>
      </c>
      <c r="J119" s="3" t="s">
        <v>20</v>
      </c>
      <c r="K119" s="3" t="s">
        <v>21</v>
      </c>
      <c r="L119" s="3">
        <v>1.0</v>
      </c>
    </row>
    <row r="120">
      <c r="A120" s="9" t="s">
        <v>794</v>
      </c>
      <c r="B120" s="5">
        <v>3000000.0</v>
      </c>
      <c r="C120" s="3">
        <v>7.8180455400017E13</v>
      </c>
      <c r="D120" s="3" t="s">
        <v>362</v>
      </c>
      <c r="E120" s="4">
        <v>43145.0</v>
      </c>
      <c r="F120" s="3" t="s">
        <v>16</v>
      </c>
      <c r="G120" s="3" t="s">
        <v>17</v>
      </c>
      <c r="H120" s="3" t="s">
        <v>18</v>
      </c>
      <c r="I120" s="3" t="s">
        <v>363</v>
      </c>
      <c r="J120" s="3" t="s">
        <v>20</v>
      </c>
      <c r="K120" s="3" t="s">
        <v>21</v>
      </c>
      <c r="L120" s="3">
        <v>1.0</v>
      </c>
    </row>
    <row r="121">
      <c r="A121" s="9" t="s">
        <v>78</v>
      </c>
      <c r="B121" s="5">
        <v>60000.0</v>
      </c>
      <c r="C121" s="3">
        <v>8.32333181E8</v>
      </c>
      <c r="D121" s="3" t="s">
        <v>80</v>
      </c>
      <c r="E121" s="4">
        <v>43161.0</v>
      </c>
      <c r="F121" s="3" t="s">
        <v>81</v>
      </c>
      <c r="G121" s="3" t="s">
        <v>17</v>
      </c>
      <c r="H121" s="3" t="s">
        <v>18</v>
      </c>
      <c r="I121" s="3" t="s">
        <v>77</v>
      </c>
      <c r="J121" s="3" t="s">
        <v>20</v>
      </c>
      <c r="K121" s="3" t="s">
        <v>21</v>
      </c>
      <c r="L121" s="3">
        <v>1.0</v>
      </c>
    </row>
    <row r="122">
      <c r="A122" s="9" t="s">
        <v>795</v>
      </c>
      <c r="B122" s="5">
        <v>15000.0</v>
      </c>
      <c r="C122" s="3">
        <v>3.50118865E8</v>
      </c>
      <c r="D122" s="3" t="s">
        <v>143</v>
      </c>
      <c r="E122" s="4">
        <v>43269.0</v>
      </c>
      <c r="F122" s="3" t="s">
        <v>199</v>
      </c>
      <c r="G122" s="3" t="s">
        <v>17</v>
      </c>
      <c r="H122" s="3" t="s">
        <v>18</v>
      </c>
      <c r="I122" s="3" t="s">
        <v>187</v>
      </c>
      <c r="J122" s="3" t="s">
        <v>20</v>
      </c>
      <c r="K122" s="3" t="s">
        <v>21</v>
      </c>
      <c r="L122" s="3">
        <v>1.0</v>
      </c>
    </row>
    <row r="123">
      <c r="A123" s="9" t="s">
        <v>240</v>
      </c>
      <c r="B123" s="5">
        <v>15200.0</v>
      </c>
      <c r="C123" s="3">
        <v>4.84382189E8</v>
      </c>
      <c r="D123" s="3" t="s">
        <v>143</v>
      </c>
      <c r="E123" s="4">
        <v>43279.0</v>
      </c>
      <c r="F123" s="3" t="s">
        <v>242</v>
      </c>
      <c r="G123" s="3" t="s">
        <v>17</v>
      </c>
      <c r="H123" s="3" t="s">
        <v>18</v>
      </c>
      <c r="I123" s="3" t="s">
        <v>237</v>
      </c>
      <c r="J123" s="3" t="s">
        <v>20</v>
      </c>
      <c r="K123" s="3" t="s">
        <v>21</v>
      </c>
      <c r="L123" s="3">
        <v>1.0</v>
      </c>
    </row>
    <row r="124">
      <c r="A124" s="9" t="s">
        <v>221</v>
      </c>
      <c r="B124" s="5">
        <v>5800.0</v>
      </c>
      <c r="C124" s="3">
        <v>4.38269631E8</v>
      </c>
      <c r="D124" s="3" t="s">
        <v>220</v>
      </c>
      <c r="E124" s="4">
        <v>43270.0</v>
      </c>
      <c r="F124" s="3" t="s">
        <v>120</v>
      </c>
      <c r="G124" s="3" t="s">
        <v>17</v>
      </c>
      <c r="H124" s="3" t="s">
        <v>18</v>
      </c>
      <c r="I124" s="3" t="s">
        <v>223</v>
      </c>
      <c r="J124" s="3" t="s">
        <v>20</v>
      </c>
      <c r="K124" s="3" t="s">
        <v>21</v>
      </c>
      <c r="L124" s="3">
        <v>1.0</v>
      </c>
    </row>
    <row r="125">
      <c r="A125" s="9" t="s">
        <v>389</v>
      </c>
      <c r="B125" s="5">
        <v>8000.0</v>
      </c>
      <c r="C125" s="3">
        <v>8.3176796700019E13</v>
      </c>
      <c r="D125" s="3" t="s">
        <v>275</v>
      </c>
      <c r="E125" s="4">
        <v>43353.0</v>
      </c>
      <c r="F125" s="3" t="s">
        <v>390</v>
      </c>
      <c r="G125" s="3" t="s">
        <v>17</v>
      </c>
      <c r="H125" s="3" t="s">
        <v>18</v>
      </c>
      <c r="I125" s="3" t="s">
        <v>383</v>
      </c>
      <c r="J125" s="3" t="s">
        <v>20</v>
      </c>
      <c r="K125" s="3" t="s">
        <v>21</v>
      </c>
      <c r="L125" s="3">
        <v>1.0</v>
      </c>
    </row>
    <row r="126">
      <c r="A126" s="9" t="s">
        <v>194</v>
      </c>
      <c r="B126" s="5">
        <v>14825.0</v>
      </c>
      <c r="C126" s="3">
        <v>8.0294758E8</v>
      </c>
      <c r="D126" s="3" t="s">
        <v>196</v>
      </c>
      <c r="E126" s="4">
        <v>43269.0</v>
      </c>
      <c r="F126" s="3" t="s">
        <v>197</v>
      </c>
      <c r="G126" s="3" t="s">
        <v>17</v>
      </c>
      <c r="H126" s="3" t="s">
        <v>18</v>
      </c>
      <c r="I126" s="3" t="s">
        <v>187</v>
      </c>
      <c r="J126" s="3" t="s">
        <v>20</v>
      </c>
      <c r="K126" s="3" t="s">
        <v>21</v>
      </c>
      <c r="L126" s="3">
        <v>1.0</v>
      </c>
    </row>
    <row r="127">
      <c r="A127" s="9" t="s">
        <v>168</v>
      </c>
      <c r="B127" s="5">
        <v>15000.0</v>
      </c>
      <c r="C127" s="3">
        <v>8.0910251E8</v>
      </c>
      <c r="D127" s="3" t="s">
        <v>119</v>
      </c>
      <c r="E127" s="4">
        <v>43262.0</v>
      </c>
      <c r="F127" s="3" t="s">
        <v>120</v>
      </c>
      <c r="G127" s="3" t="s">
        <v>17</v>
      </c>
      <c r="H127" s="3" t="s">
        <v>18</v>
      </c>
      <c r="I127" s="3" t="s">
        <v>169</v>
      </c>
      <c r="J127" s="3" t="s">
        <v>20</v>
      </c>
      <c r="K127" s="3" t="s">
        <v>21</v>
      </c>
      <c r="L127" s="3">
        <v>1.0</v>
      </c>
    </row>
    <row r="128">
      <c r="A128" s="9" t="s">
        <v>104</v>
      </c>
      <c r="B128" s="5">
        <v>15000.0</v>
      </c>
      <c r="C128" s="3">
        <v>5.33896825E8</v>
      </c>
      <c r="D128" s="3" t="s">
        <v>106</v>
      </c>
      <c r="E128" s="4">
        <v>43222.0</v>
      </c>
      <c r="F128" s="3" t="s">
        <v>107</v>
      </c>
      <c r="G128" s="3" t="s">
        <v>17</v>
      </c>
      <c r="H128" s="3" t="s">
        <v>18</v>
      </c>
      <c r="I128" s="3" t="s">
        <v>108</v>
      </c>
      <c r="J128" s="3" t="s">
        <v>20</v>
      </c>
      <c r="K128" s="3" t="s">
        <v>21</v>
      </c>
      <c r="L128" s="3">
        <v>1.0</v>
      </c>
    </row>
    <row r="129">
      <c r="A129" s="9" t="s">
        <v>104</v>
      </c>
      <c r="B129" s="5">
        <v>26000.0</v>
      </c>
      <c r="C129" s="3">
        <v>5.33896825E8</v>
      </c>
      <c r="D129" s="3" t="s">
        <v>143</v>
      </c>
      <c r="E129" s="4">
        <v>43257.0</v>
      </c>
      <c r="F129" s="3" t="s">
        <v>163</v>
      </c>
      <c r="G129" s="3" t="s">
        <v>17</v>
      </c>
      <c r="H129" s="3" t="s">
        <v>18</v>
      </c>
      <c r="I129" s="3" t="s">
        <v>156</v>
      </c>
      <c r="J129" s="3" t="s">
        <v>20</v>
      </c>
      <c r="K129" s="3" t="s">
        <v>21</v>
      </c>
      <c r="L129" s="3">
        <v>1.0</v>
      </c>
    </row>
    <row r="130">
      <c r="A130" s="9" t="s">
        <v>323</v>
      </c>
      <c r="B130" s="5">
        <v>17940.0</v>
      </c>
      <c r="C130" s="3">
        <v>5.3454877100037E13</v>
      </c>
      <c r="D130" s="3" t="s">
        <v>325</v>
      </c>
      <c r="E130" s="4">
        <v>43329.0</v>
      </c>
      <c r="F130" s="3" t="s">
        <v>326</v>
      </c>
      <c r="G130" s="3" t="s">
        <v>17</v>
      </c>
      <c r="H130" s="3" t="s">
        <v>18</v>
      </c>
      <c r="I130" s="3" t="s">
        <v>327</v>
      </c>
      <c r="J130" s="3" t="s">
        <v>20</v>
      </c>
      <c r="K130" s="3" t="s">
        <v>21</v>
      </c>
      <c r="L130" s="3">
        <v>1.0</v>
      </c>
    </row>
    <row r="131">
      <c r="A131" s="9" t="s">
        <v>323</v>
      </c>
      <c r="B131" s="5">
        <v>4000.0</v>
      </c>
      <c r="C131" s="3">
        <v>5.3454877100037E13</v>
      </c>
      <c r="D131" s="3" t="s">
        <v>336</v>
      </c>
      <c r="E131" s="4">
        <v>43311.0</v>
      </c>
      <c r="F131" s="3" t="s">
        <v>337</v>
      </c>
      <c r="G131" s="3" t="s">
        <v>17</v>
      </c>
      <c r="H131" s="3" t="s">
        <v>48</v>
      </c>
      <c r="I131" s="3" t="s">
        <v>340</v>
      </c>
      <c r="J131" s="3" t="s">
        <v>20</v>
      </c>
      <c r="K131" s="3" t="s">
        <v>21</v>
      </c>
      <c r="L131" s="3">
        <v>1.0</v>
      </c>
    </row>
    <row r="132">
      <c r="A132" s="9" t="s">
        <v>796</v>
      </c>
      <c r="B132" s="5">
        <v>65000.0</v>
      </c>
      <c r="C132" s="3">
        <v>7.81843594E8</v>
      </c>
      <c r="D132" s="3" t="s">
        <v>101</v>
      </c>
      <c r="E132" s="4">
        <v>43182.0</v>
      </c>
      <c r="F132" s="3" t="s">
        <v>102</v>
      </c>
      <c r="G132" s="3" t="s">
        <v>17</v>
      </c>
      <c r="H132" s="3" t="s">
        <v>18</v>
      </c>
      <c r="I132" s="3" t="s">
        <v>103</v>
      </c>
      <c r="J132" s="3" t="s">
        <v>20</v>
      </c>
      <c r="K132" s="3" t="s">
        <v>21</v>
      </c>
      <c r="L132" s="3">
        <v>1.0</v>
      </c>
    </row>
    <row r="133">
      <c r="A133" s="9" t="s">
        <v>109</v>
      </c>
      <c r="B133" s="5">
        <v>24176.0</v>
      </c>
      <c r="C133" s="3">
        <v>8.25241318E8</v>
      </c>
      <c r="D133" s="3" t="s">
        <v>111</v>
      </c>
      <c r="E133" s="4">
        <v>43208.0</v>
      </c>
      <c r="F133" s="3" t="s">
        <v>16</v>
      </c>
      <c r="G133" s="3" t="s">
        <v>17</v>
      </c>
      <c r="H133" s="3" t="s">
        <v>18</v>
      </c>
      <c r="I133" s="3" t="s">
        <v>112</v>
      </c>
      <c r="J133" s="3" t="s">
        <v>20</v>
      </c>
      <c r="K133" s="3" t="s">
        <v>21</v>
      </c>
      <c r="L133" s="3">
        <v>1.0</v>
      </c>
    </row>
    <row r="134">
      <c r="A134" s="9" t="s">
        <v>797</v>
      </c>
      <c r="B134" s="5">
        <v>42700.0</v>
      </c>
      <c r="C134" s="3">
        <v>4.2971672300011E13</v>
      </c>
      <c r="D134" s="3" t="s">
        <v>271</v>
      </c>
      <c r="E134" s="4">
        <v>43299.0</v>
      </c>
      <c r="F134" s="3" t="s">
        <v>272</v>
      </c>
      <c r="G134" s="3" t="s">
        <v>17</v>
      </c>
      <c r="H134" s="3" t="s">
        <v>18</v>
      </c>
      <c r="I134" s="3" t="s">
        <v>273</v>
      </c>
      <c r="J134" s="3" t="s">
        <v>20</v>
      </c>
      <c r="K134" s="3" t="s">
        <v>21</v>
      </c>
      <c r="L134" s="3">
        <v>1.0</v>
      </c>
    </row>
    <row r="135">
      <c r="A135" s="9" t="s">
        <v>160</v>
      </c>
      <c r="B135" s="5">
        <v>11000.0</v>
      </c>
      <c r="C135" s="3">
        <v>8.24274781E8</v>
      </c>
      <c r="D135" s="3" t="s">
        <v>119</v>
      </c>
      <c r="E135" s="4">
        <v>43252.0</v>
      </c>
      <c r="F135" s="3" t="s">
        <v>120</v>
      </c>
      <c r="G135" s="3" t="s">
        <v>17</v>
      </c>
      <c r="H135" s="3" t="s">
        <v>18</v>
      </c>
      <c r="I135" s="3" t="s">
        <v>134</v>
      </c>
      <c r="J135" s="3" t="s">
        <v>20</v>
      </c>
      <c r="K135" s="3" t="s">
        <v>21</v>
      </c>
      <c r="L135" s="3">
        <v>1.0</v>
      </c>
    </row>
    <row r="136">
      <c r="A136" s="9" t="s">
        <v>127</v>
      </c>
      <c r="B136" s="5">
        <v>10000.0</v>
      </c>
      <c r="C136" s="3">
        <v>7.89632254E8</v>
      </c>
      <c r="D136" s="3" t="s">
        <v>119</v>
      </c>
      <c r="E136" s="4">
        <v>43250.0</v>
      </c>
      <c r="F136" s="3" t="s">
        <v>120</v>
      </c>
      <c r="G136" s="3" t="s">
        <v>17</v>
      </c>
      <c r="H136" s="3" t="s">
        <v>18</v>
      </c>
      <c r="I136" s="3" t="s">
        <v>128</v>
      </c>
      <c r="J136" s="3" t="s">
        <v>20</v>
      </c>
      <c r="K136" s="3" t="s">
        <v>21</v>
      </c>
      <c r="L136" s="3">
        <v>1.0</v>
      </c>
    </row>
    <row r="137">
      <c r="A137" s="9" t="s">
        <v>65</v>
      </c>
      <c r="B137" s="5">
        <v>77000.0</v>
      </c>
      <c r="C137" s="3">
        <v>4.18921409E8</v>
      </c>
      <c r="D137" s="3" t="s">
        <v>67</v>
      </c>
      <c r="E137" s="4">
        <v>43143.0</v>
      </c>
      <c r="F137" s="3" t="s">
        <v>16</v>
      </c>
      <c r="G137" s="3" t="s">
        <v>17</v>
      </c>
      <c r="H137" s="3" t="s">
        <v>18</v>
      </c>
      <c r="I137" s="3" t="s">
        <v>68</v>
      </c>
      <c r="J137" s="3" t="s">
        <v>20</v>
      </c>
      <c r="K137" s="3" t="s">
        <v>21</v>
      </c>
      <c r="L137" s="3">
        <v>1.0</v>
      </c>
    </row>
    <row r="138">
      <c r="A138" s="9" t="s">
        <v>45</v>
      </c>
      <c r="B138" s="5">
        <v>10870.0</v>
      </c>
      <c r="C138" s="3">
        <v>7.89105954E8</v>
      </c>
      <c r="D138" s="3" t="s">
        <v>47</v>
      </c>
      <c r="E138" s="4">
        <v>43091.0</v>
      </c>
      <c r="F138" s="3" t="s">
        <v>16</v>
      </c>
      <c r="G138" s="3" t="s">
        <v>17</v>
      </c>
      <c r="H138" s="3" t="s">
        <v>48</v>
      </c>
      <c r="I138" s="3" t="s">
        <v>26</v>
      </c>
      <c r="J138" s="3" t="s">
        <v>20</v>
      </c>
      <c r="K138" s="3" t="s">
        <v>21</v>
      </c>
      <c r="L138" s="3">
        <v>1.0</v>
      </c>
    </row>
    <row r="139">
      <c r="A139" s="9" t="s">
        <v>95</v>
      </c>
      <c r="B139" s="5">
        <v>49000.0</v>
      </c>
      <c r="C139" s="3">
        <v>3.98191569E8</v>
      </c>
      <c r="D139" s="3" t="s">
        <v>97</v>
      </c>
      <c r="E139" s="4">
        <v>43124.0</v>
      </c>
      <c r="F139" s="3" t="s">
        <v>16</v>
      </c>
      <c r="G139" s="3" t="s">
        <v>17</v>
      </c>
      <c r="H139" s="3" t="s">
        <v>18</v>
      </c>
      <c r="I139" s="3" t="s">
        <v>98</v>
      </c>
      <c r="J139" s="3" t="s">
        <v>20</v>
      </c>
      <c r="K139" s="3" t="s">
        <v>21</v>
      </c>
      <c r="L139" s="3">
        <v>1.0</v>
      </c>
    </row>
    <row r="140">
      <c r="A140" s="9" t="s">
        <v>798</v>
      </c>
      <c r="B140" s="5">
        <v>5000.0</v>
      </c>
      <c r="C140" s="3">
        <v>4.34066577E8</v>
      </c>
      <c r="D140" s="3" t="s">
        <v>34</v>
      </c>
      <c r="E140" s="4">
        <v>43077.0</v>
      </c>
      <c r="F140" s="3" t="s">
        <v>16</v>
      </c>
      <c r="G140" s="3" t="s">
        <v>17</v>
      </c>
      <c r="H140" s="3" t="s">
        <v>18</v>
      </c>
      <c r="I140" s="3" t="s">
        <v>35</v>
      </c>
      <c r="J140" s="3" t="s">
        <v>20</v>
      </c>
      <c r="K140" s="3" t="s">
        <v>21</v>
      </c>
      <c r="L140" s="3">
        <v>1.0</v>
      </c>
    </row>
    <row r="141">
      <c r="A141" s="9" t="s">
        <v>432</v>
      </c>
      <c r="B141" s="5">
        <v>72200.0</v>
      </c>
      <c r="C141" s="3">
        <v>8.2791162900018E13</v>
      </c>
      <c r="D141" s="3" t="s">
        <v>434</v>
      </c>
      <c r="E141" s="4">
        <v>43347.0</v>
      </c>
      <c r="F141" s="3" t="s">
        <v>16</v>
      </c>
      <c r="G141" s="3" t="s">
        <v>17</v>
      </c>
      <c r="H141" s="3" t="s">
        <v>18</v>
      </c>
      <c r="I141" s="3" t="s">
        <v>435</v>
      </c>
      <c r="J141" s="3" t="s">
        <v>20</v>
      </c>
      <c r="K141" s="3" t="s">
        <v>21</v>
      </c>
      <c r="L141" s="3">
        <v>1.0</v>
      </c>
    </row>
    <row r="142">
      <c r="A142" s="9" t="s">
        <v>145</v>
      </c>
      <c r="B142" s="5">
        <v>5000.0</v>
      </c>
      <c r="C142" s="3">
        <v>4.32883825E8</v>
      </c>
      <c r="D142" s="3" t="s">
        <v>146</v>
      </c>
      <c r="E142" s="4">
        <v>43251.0</v>
      </c>
      <c r="F142" s="3" t="s">
        <v>16</v>
      </c>
      <c r="G142" s="3" t="s">
        <v>17</v>
      </c>
      <c r="H142" s="3" t="s">
        <v>18</v>
      </c>
      <c r="I142" s="3" t="s">
        <v>147</v>
      </c>
      <c r="J142" s="3" t="s">
        <v>20</v>
      </c>
      <c r="K142" s="3" t="s">
        <v>21</v>
      </c>
      <c r="L142" s="3">
        <v>1.0</v>
      </c>
    </row>
    <row r="143">
      <c r="A143" s="9" t="s">
        <v>145</v>
      </c>
      <c r="B143" s="5">
        <v>28000.0</v>
      </c>
      <c r="C143" s="3">
        <v>4.3288382500031E13</v>
      </c>
      <c r="D143" s="3" t="s">
        <v>320</v>
      </c>
      <c r="E143" s="4">
        <v>43304.0</v>
      </c>
      <c r="F143" s="3" t="s">
        <v>16</v>
      </c>
      <c r="G143" s="3" t="s">
        <v>17</v>
      </c>
      <c r="H143" s="3" t="s">
        <v>18</v>
      </c>
      <c r="I143" s="3" t="s">
        <v>321</v>
      </c>
      <c r="J143" s="3" t="s">
        <v>20</v>
      </c>
      <c r="K143" s="3" t="s">
        <v>21</v>
      </c>
      <c r="L143" s="3">
        <v>1.0</v>
      </c>
    </row>
    <row r="144">
      <c r="A144" s="9" t="s">
        <v>145</v>
      </c>
      <c r="B144" s="5">
        <v>55000.0</v>
      </c>
      <c r="C144" s="3">
        <v>4.3288382500031E13</v>
      </c>
      <c r="D144" s="3" t="s">
        <v>300</v>
      </c>
      <c r="E144" s="4">
        <v>43304.0</v>
      </c>
      <c r="F144" s="3" t="s">
        <v>322</v>
      </c>
      <c r="G144" s="3" t="s">
        <v>17</v>
      </c>
      <c r="H144" s="3" t="s">
        <v>18</v>
      </c>
      <c r="I144" s="3" t="s">
        <v>321</v>
      </c>
      <c r="J144" s="3" t="s">
        <v>20</v>
      </c>
      <c r="K144" s="3" t="s">
        <v>21</v>
      </c>
      <c r="L144" s="3">
        <v>1.0</v>
      </c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11" max="11" width="17.63"/>
  </cols>
  <sheetData>
    <row r="1" ht="29.25" customHeight="1">
      <c r="A1" s="1" t="s">
        <v>2</v>
      </c>
      <c r="B1" s="1" t="s">
        <v>1</v>
      </c>
      <c r="C1" s="1" t="s">
        <v>456</v>
      </c>
      <c r="D1" s="1" t="s">
        <v>457</v>
      </c>
      <c r="E1" s="1" t="s">
        <v>458</v>
      </c>
      <c r="F1" s="1" t="s">
        <v>4</v>
      </c>
      <c r="G1" s="1" t="s">
        <v>3</v>
      </c>
      <c r="H1" s="1" t="s">
        <v>0</v>
      </c>
      <c r="I1" s="1" t="s">
        <v>5</v>
      </c>
      <c r="J1" s="1" t="s">
        <v>6</v>
      </c>
      <c r="K1" s="1" t="s">
        <v>799</v>
      </c>
      <c r="L1" s="1" t="s">
        <v>8</v>
      </c>
      <c r="M1" s="1" t="s">
        <v>9</v>
      </c>
      <c r="N1" s="1" t="s">
        <v>800</v>
      </c>
      <c r="O1" s="1" t="s">
        <v>801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694</v>
      </c>
      <c r="B2" s="3">
        <v>12500.0</v>
      </c>
      <c r="C2" s="4">
        <v>43724.0</v>
      </c>
      <c r="D2" s="3" t="s">
        <v>461</v>
      </c>
      <c r="E2" s="3">
        <v>2.4330031600011E13</v>
      </c>
      <c r="F2" s="4">
        <v>43651.0</v>
      </c>
      <c r="G2" s="3" t="s">
        <v>644</v>
      </c>
      <c r="H2" s="3">
        <v>4.3383594000027E13</v>
      </c>
      <c r="I2" s="3" t="s">
        <v>695</v>
      </c>
      <c r="J2" s="3" t="s">
        <v>17</v>
      </c>
      <c r="K2" s="3" t="s">
        <v>18</v>
      </c>
      <c r="L2" s="3" t="s">
        <v>696</v>
      </c>
      <c r="M2" s="3" t="s">
        <v>20</v>
      </c>
      <c r="N2" s="3" t="s">
        <v>21</v>
      </c>
      <c r="O2" s="3">
        <v>1.0</v>
      </c>
    </row>
    <row r="3">
      <c r="A3" s="3" t="s">
        <v>293</v>
      </c>
      <c r="B3" s="3">
        <v>58000.0</v>
      </c>
      <c r="C3" s="4">
        <v>43636.0</v>
      </c>
      <c r="D3" s="3" t="s">
        <v>461</v>
      </c>
      <c r="E3" s="3">
        <v>2.4330031600011E13</v>
      </c>
      <c r="F3" s="4">
        <v>43556.0</v>
      </c>
      <c r="G3" s="3" t="s">
        <v>586</v>
      </c>
      <c r="H3" s="3">
        <v>3.9811228400011E13</v>
      </c>
      <c r="I3" s="3" t="s">
        <v>587</v>
      </c>
      <c r="J3" s="3" t="s">
        <v>17</v>
      </c>
      <c r="K3" s="3" t="s">
        <v>18</v>
      </c>
      <c r="L3" s="3" t="s">
        <v>588</v>
      </c>
      <c r="M3" s="3" t="s">
        <v>20</v>
      </c>
      <c r="N3" s="3" t="s">
        <v>21</v>
      </c>
      <c r="O3" s="3">
        <v>1.0</v>
      </c>
    </row>
    <row r="4">
      <c r="A4" s="3" t="s">
        <v>203</v>
      </c>
      <c r="B4" s="3">
        <v>15000.0</v>
      </c>
      <c r="C4" s="4">
        <v>43636.0</v>
      </c>
      <c r="D4" s="3" t="s">
        <v>461</v>
      </c>
      <c r="E4" s="3">
        <v>2.4330031600011E13</v>
      </c>
      <c r="F4" s="4">
        <v>43627.0</v>
      </c>
      <c r="G4" s="3" t="s">
        <v>645</v>
      </c>
      <c r="H4" s="3">
        <v>3.5221687300211E13</v>
      </c>
      <c r="I4" s="3" t="s">
        <v>652</v>
      </c>
      <c r="J4" s="3" t="s">
        <v>17</v>
      </c>
      <c r="K4" s="3" t="s">
        <v>465</v>
      </c>
      <c r="L4" s="3" t="s">
        <v>654</v>
      </c>
      <c r="M4" s="3" t="s">
        <v>20</v>
      </c>
      <c r="N4" s="3" t="s">
        <v>21</v>
      </c>
      <c r="O4" s="3">
        <v>1.0</v>
      </c>
    </row>
    <row r="5">
      <c r="A5" s="3" t="s">
        <v>203</v>
      </c>
      <c r="B5" s="3">
        <v>5000.0</v>
      </c>
      <c r="C5" s="4">
        <v>43724.0</v>
      </c>
      <c r="D5" s="3" t="s">
        <v>461</v>
      </c>
      <c r="E5" s="3">
        <v>2.4330031600011E13</v>
      </c>
      <c r="F5" s="4">
        <v>43677.0</v>
      </c>
      <c r="G5" s="3" t="s">
        <v>707</v>
      </c>
      <c r="H5" s="3">
        <v>3.5221687300015E13</v>
      </c>
      <c r="I5" s="3" t="s">
        <v>397</v>
      </c>
      <c r="J5" s="3" t="s">
        <v>17</v>
      </c>
      <c r="K5" s="3" t="s">
        <v>465</v>
      </c>
      <c r="L5" s="3" t="s">
        <v>711</v>
      </c>
      <c r="M5" s="3" t="s">
        <v>20</v>
      </c>
      <c r="N5" s="3" t="s">
        <v>21</v>
      </c>
      <c r="O5" s="3">
        <v>1.0</v>
      </c>
    </row>
    <row r="6">
      <c r="A6" s="3" t="s">
        <v>472</v>
      </c>
      <c r="B6" s="3">
        <v>97740.0</v>
      </c>
      <c r="C6" s="4">
        <v>43502.0</v>
      </c>
      <c r="D6" s="3" t="s">
        <v>461</v>
      </c>
      <c r="E6" s="3">
        <v>2.4330031600011E13</v>
      </c>
      <c r="F6" s="4">
        <v>43413.0</v>
      </c>
      <c r="G6" s="3" t="s">
        <v>471</v>
      </c>
      <c r="H6" s="3">
        <v>3.0537823400036E13</v>
      </c>
      <c r="I6" s="3" t="s">
        <v>397</v>
      </c>
      <c r="J6" s="3" t="s">
        <v>17</v>
      </c>
      <c r="K6" s="3" t="s">
        <v>18</v>
      </c>
      <c r="L6" s="3" t="s">
        <v>473</v>
      </c>
      <c r="M6" s="3" t="s">
        <v>20</v>
      </c>
      <c r="N6" s="3" t="s">
        <v>21</v>
      </c>
      <c r="O6" s="3">
        <v>1.0</v>
      </c>
    </row>
    <row r="7">
      <c r="A7" s="3" t="s">
        <v>627</v>
      </c>
      <c r="B7" s="3">
        <v>20000.0</v>
      </c>
      <c r="C7" s="4">
        <v>43636.0</v>
      </c>
      <c r="D7" s="3" t="s">
        <v>461</v>
      </c>
      <c r="E7" s="3">
        <v>2.4330031600011E13</v>
      </c>
      <c r="F7" s="4">
        <v>43612.0</v>
      </c>
      <c r="G7" s="3" t="s">
        <v>603</v>
      </c>
      <c r="H7" s="3">
        <v>4.8956307200029E13</v>
      </c>
      <c r="I7" s="3" t="s">
        <v>621</v>
      </c>
      <c r="J7" s="3" t="s">
        <v>17</v>
      </c>
      <c r="K7" s="3" t="s">
        <v>18</v>
      </c>
      <c r="L7" s="3" t="s">
        <v>622</v>
      </c>
      <c r="M7" s="3" t="s">
        <v>20</v>
      </c>
      <c r="N7" s="3" t="s">
        <v>21</v>
      </c>
      <c r="O7" s="3">
        <v>1.0</v>
      </c>
    </row>
    <row r="8">
      <c r="A8" s="3" t="s">
        <v>627</v>
      </c>
      <c r="B8" s="3">
        <v>15000.0</v>
      </c>
      <c r="C8" s="4">
        <v>43724.0</v>
      </c>
      <c r="D8" s="3" t="s">
        <v>461</v>
      </c>
      <c r="E8" s="3">
        <v>2.4330031600011E13</v>
      </c>
      <c r="F8" s="4">
        <v>43703.0</v>
      </c>
      <c r="G8" s="3" t="s">
        <v>724</v>
      </c>
      <c r="H8" s="3">
        <v>4.8956307200029E13</v>
      </c>
      <c r="I8" s="3" t="s">
        <v>729</v>
      </c>
      <c r="J8" s="3" t="s">
        <v>17</v>
      </c>
      <c r="K8" s="3" t="s">
        <v>18</v>
      </c>
      <c r="L8" s="3" t="s">
        <v>727</v>
      </c>
      <c r="M8" s="3" t="s">
        <v>20</v>
      </c>
      <c r="N8" s="3" t="s">
        <v>21</v>
      </c>
      <c r="O8" s="3">
        <v>1.0</v>
      </c>
    </row>
    <row r="9">
      <c r="A9" s="3" t="s">
        <v>328</v>
      </c>
      <c r="B9" s="3">
        <v>14500.0</v>
      </c>
      <c r="C9" s="4">
        <v>43636.0</v>
      </c>
      <c r="D9" s="3" t="s">
        <v>461</v>
      </c>
      <c r="E9" s="3">
        <v>2.4330031600011E13</v>
      </c>
      <c r="F9" s="4">
        <v>43619.0</v>
      </c>
      <c r="G9" s="3" t="s">
        <v>644</v>
      </c>
      <c r="H9" s="3">
        <v>4.3403882400042E13</v>
      </c>
      <c r="I9" s="3" t="s">
        <v>453</v>
      </c>
      <c r="J9" s="3" t="s">
        <v>17</v>
      </c>
      <c r="K9" s="3" t="s">
        <v>18</v>
      </c>
      <c r="L9" s="3" t="s">
        <v>636</v>
      </c>
      <c r="M9" s="3" t="s">
        <v>20</v>
      </c>
      <c r="N9" s="3" t="s">
        <v>21</v>
      </c>
      <c r="O9" s="3">
        <v>1.0</v>
      </c>
    </row>
    <row r="10">
      <c r="A10" s="3" t="s">
        <v>328</v>
      </c>
      <c r="B10" s="3">
        <v>25000.0</v>
      </c>
      <c r="C10" s="4">
        <v>43724.0</v>
      </c>
      <c r="D10" s="3" t="s">
        <v>461</v>
      </c>
      <c r="E10" s="3">
        <v>2.4330031600011E13</v>
      </c>
      <c r="F10" s="4">
        <v>43658.0</v>
      </c>
      <c r="G10" s="3" t="s">
        <v>709</v>
      </c>
      <c r="H10" s="3">
        <v>4.3403882400042E13</v>
      </c>
      <c r="I10" s="3" t="s">
        <v>719</v>
      </c>
      <c r="J10" s="3" t="s">
        <v>17</v>
      </c>
      <c r="K10" s="3" t="s">
        <v>18</v>
      </c>
      <c r="L10" s="3" t="s">
        <v>705</v>
      </c>
      <c r="M10" s="3" t="s">
        <v>20</v>
      </c>
      <c r="N10" s="3" t="s">
        <v>21</v>
      </c>
      <c r="O10" s="3">
        <v>1.0</v>
      </c>
    </row>
    <row r="11">
      <c r="A11" s="3" t="s">
        <v>439</v>
      </c>
      <c r="B11" s="3">
        <v>90000.0</v>
      </c>
      <c r="C11" s="4">
        <v>43784.0</v>
      </c>
      <c r="D11" s="3" t="s">
        <v>461</v>
      </c>
      <c r="E11" s="3">
        <v>2.4330031600011E13</v>
      </c>
      <c r="F11" s="4">
        <v>43769.0</v>
      </c>
      <c r="G11" s="3" t="s">
        <v>745</v>
      </c>
      <c r="H11" s="3">
        <v>4.8428452600072E13</v>
      </c>
      <c r="I11" s="3" t="s">
        <v>397</v>
      </c>
      <c r="J11" s="3" t="s">
        <v>17</v>
      </c>
      <c r="K11" s="3" t="s">
        <v>18</v>
      </c>
      <c r="L11" s="3" t="s">
        <v>746</v>
      </c>
      <c r="M11" s="3" t="s">
        <v>20</v>
      </c>
      <c r="N11" s="3" t="s">
        <v>21</v>
      </c>
      <c r="O11" s="3">
        <v>1.0</v>
      </c>
    </row>
    <row r="12">
      <c r="A12" s="3" t="s">
        <v>356</v>
      </c>
      <c r="B12" s="3">
        <v>58000.0</v>
      </c>
      <c r="C12" s="4">
        <v>43557.0</v>
      </c>
      <c r="D12" s="3" t="s">
        <v>461</v>
      </c>
      <c r="E12" s="3">
        <v>2.4330031600011E13</v>
      </c>
      <c r="F12" s="4">
        <v>43532.0</v>
      </c>
      <c r="G12" s="3" t="s">
        <v>547</v>
      </c>
      <c r="H12" s="3">
        <v>3.0016423300029E13</v>
      </c>
      <c r="I12" s="3" t="s">
        <v>397</v>
      </c>
      <c r="J12" s="3" t="s">
        <v>17</v>
      </c>
      <c r="K12" s="3" t="s">
        <v>18</v>
      </c>
      <c r="L12" s="3" t="s">
        <v>541</v>
      </c>
      <c r="M12" s="3" t="s">
        <v>20</v>
      </c>
      <c r="N12" s="3" t="s">
        <v>21</v>
      </c>
      <c r="O12" s="3">
        <v>1.0</v>
      </c>
    </row>
    <row r="13">
      <c r="A13" s="3" t="s">
        <v>638</v>
      </c>
      <c r="B13" s="3">
        <v>14250.0</v>
      </c>
      <c r="C13" s="4">
        <v>43636.0</v>
      </c>
      <c r="D13" s="3" t="s">
        <v>461</v>
      </c>
      <c r="E13" s="3">
        <v>2.4330031600011E13</v>
      </c>
      <c r="F13" s="4">
        <v>43614.0</v>
      </c>
      <c r="G13" s="3" t="s">
        <v>637</v>
      </c>
      <c r="H13" s="3">
        <v>4.9848483100033E13</v>
      </c>
      <c r="I13" s="3" t="s">
        <v>639</v>
      </c>
      <c r="J13" s="3" t="s">
        <v>17</v>
      </c>
      <c r="K13" s="3" t="s">
        <v>18</v>
      </c>
      <c r="L13" s="3" t="s">
        <v>634</v>
      </c>
      <c r="M13" s="3" t="s">
        <v>20</v>
      </c>
      <c r="N13" s="3" t="s">
        <v>21</v>
      </c>
      <c r="O13" s="3">
        <v>1.0</v>
      </c>
    </row>
    <row r="14">
      <c r="A14" s="3" t="s">
        <v>574</v>
      </c>
      <c r="B14" s="3">
        <v>180000.0</v>
      </c>
      <c r="C14" s="4">
        <v>43557.0</v>
      </c>
      <c r="D14" s="3" t="s">
        <v>461</v>
      </c>
      <c r="E14" s="3">
        <v>2.4330031600011E13</v>
      </c>
      <c r="F14" s="4">
        <v>43514.0</v>
      </c>
      <c r="G14" s="3" t="s">
        <v>573</v>
      </c>
      <c r="H14" s="3">
        <v>7.8184375000048E13</v>
      </c>
      <c r="I14" s="3" t="s">
        <v>397</v>
      </c>
      <c r="J14" s="3" t="s">
        <v>17</v>
      </c>
      <c r="K14" s="3" t="s">
        <v>18</v>
      </c>
      <c r="L14" s="3" t="s">
        <v>575</v>
      </c>
      <c r="M14" s="3" t="s">
        <v>20</v>
      </c>
      <c r="N14" s="3" t="s">
        <v>21</v>
      </c>
      <c r="O14" s="3">
        <v>1.0</v>
      </c>
    </row>
    <row r="15">
      <c r="A15" s="3" t="s">
        <v>498</v>
      </c>
      <c r="B15" s="3">
        <v>49000.0</v>
      </c>
      <c r="C15" s="4">
        <v>43502.0</v>
      </c>
      <c r="D15" s="3" t="s">
        <v>461</v>
      </c>
      <c r="E15" s="3">
        <v>2.4330031600011E13</v>
      </c>
      <c r="F15" s="4">
        <v>43480.0</v>
      </c>
      <c r="G15" s="3" t="s">
        <v>497</v>
      </c>
      <c r="H15" s="3">
        <v>3.2721569500047E13</v>
      </c>
      <c r="I15" s="3" t="s">
        <v>499</v>
      </c>
      <c r="J15" s="3" t="s">
        <v>17</v>
      </c>
      <c r="K15" s="3" t="s">
        <v>18</v>
      </c>
      <c r="L15" s="3" t="s">
        <v>500</v>
      </c>
      <c r="M15" s="3" t="s">
        <v>20</v>
      </c>
      <c r="N15" s="3" t="s">
        <v>21</v>
      </c>
      <c r="O15" s="3">
        <v>1.0</v>
      </c>
    </row>
    <row r="16">
      <c r="A16" s="3" t="s">
        <v>571</v>
      </c>
      <c r="B16" s="3">
        <v>82800.0</v>
      </c>
      <c r="C16" s="4">
        <v>43557.0</v>
      </c>
      <c r="D16" s="3" t="s">
        <v>461</v>
      </c>
      <c r="E16" s="3">
        <v>2.4330031600011E13</v>
      </c>
      <c r="F16" s="4">
        <v>43532.0</v>
      </c>
      <c r="G16" s="3" t="s">
        <v>570</v>
      </c>
      <c r="H16" s="3">
        <v>4.9500944100033E13</v>
      </c>
      <c r="I16" s="3" t="s">
        <v>572</v>
      </c>
      <c r="J16" s="3" t="s">
        <v>17</v>
      </c>
      <c r="K16" s="3" t="s">
        <v>18</v>
      </c>
      <c r="L16" s="3" t="s">
        <v>541</v>
      </c>
      <c r="M16" s="3" t="s">
        <v>20</v>
      </c>
      <c r="N16" s="3" t="s">
        <v>21</v>
      </c>
      <c r="O16" s="3">
        <v>1.0</v>
      </c>
    </row>
    <row r="17">
      <c r="A17" s="3" t="s">
        <v>571</v>
      </c>
      <c r="B17" s="3">
        <v>137000.0</v>
      </c>
      <c r="C17" s="4">
        <v>43724.0</v>
      </c>
      <c r="D17" s="3" t="s">
        <v>461</v>
      </c>
      <c r="E17" s="3">
        <v>2.4330031600011E13</v>
      </c>
      <c r="F17" s="4">
        <v>43628.0</v>
      </c>
      <c r="G17" s="3" t="s">
        <v>689</v>
      </c>
      <c r="H17" s="3">
        <v>4.9500944100033E13</v>
      </c>
      <c r="I17" s="3" t="s">
        <v>397</v>
      </c>
      <c r="J17" s="3" t="s">
        <v>17</v>
      </c>
      <c r="K17" s="3" t="s">
        <v>18</v>
      </c>
      <c r="L17" s="3" t="s">
        <v>650</v>
      </c>
      <c r="M17" s="3" t="s">
        <v>20</v>
      </c>
      <c r="N17" s="3" t="s">
        <v>21</v>
      </c>
      <c r="O17" s="3">
        <v>1.0</v>
      </c>
    </row>
    <row r="18">
      <c r="A18" s="3" t="s">
        <v>243</v>
      </c>
      <c r="B18" s="3">
        <v>57000.0</v>
      </c>
      <c r="C18" s="4">
        <v>43724.0</v>
      </c>
      <c r="D18" s="3" t="s">
        <v>461</v>
      </c>
      <c r="E18" s="3">
        <v>2.4330031600011E13</v>
      </c>
      <c r="F18" s="4">
        <v>43635.0</v>
      </c>
      <c r="G18" s="3" t="s">
        <v>675</v>
      </c>
      <c r="H18" s="3">
        <v>4.7941474000049E13</v>
      </c>
      <c r="I18" s="3" t="s">
        <v>397</v>
      </c>
      <c r="J18" s="3" t="s">
        <v>17</v>
      </c>
      <c r="K18" s="3" t="s">
        <v>18</v>
      </c>
      <c r="L18" s="3" t="s">
        <v>676</v>
      </c>
      <c r="M18" s="3" t="s">
        <v>20</v>
      </c>
      <c r="N18" s="3" t="s">
        <v>21</v>
      </c>
      <c r="O18" s="3">
        <v>1.0</v>
      </c>
    </row>
    <row r="19">
      <c r="A19" s="3" t="s">
        <v>733</v>
      </c>
      <c r="B19" s="3">
        <v>6500.0</v>
      </c>
      <c r="C19" s="4">
        <v>43724.0</v>
      </c>
      <c r="D19" s="3" t="s">
        <v>461</v>
      </c>
      <c r="E19" s="3">
        <v>2.4330031600011E13</v>
      </c>
      <c r="F19" s="4">
        <v>43703.0</v>
      </c>
      <c r="G19" s="3" t="s">
        <v>732</v>
      </c>
      <c r="H19" s="3">
        <v>4.2283936500018E13</v>
      </c>
      <c r="I19" s="3" t="s">
        <v>734</v>
      </c>
      <c r="J19" s="3" t="s">
        <v>17</v>
      </c>
      <c r="K19" s="3" t="s">
        <v>18</v>
      </c>
      <c r="L19" s="3" t="s">
        <v>727</v>
      </c>
      <c r="M19" s="3" t="s">
        <v>20</v>
      </c>
      <c r="N19" s="3" t="s">
        <v>21</v>
      </c>
      <c r="O19" s="3">
        <v>1.0</v>
      </c>
    </row>
    <row r="20">
      <c r="A20" s="3" t="s">
        <v>515</v>
      </c>
      <c r="B20" s="3">
        <v>20000.0</v>
      </c>
      <c r="C20" s="4">
        <v>43557.0</v>
      </c>
      <c r="D20" s="3" t="s">
        <v>461</v>
      </c>
      <c r="E20" s="3">
        <v>2.4330031600011E13</v>
      </c>
      <c r="F20" s="4">
        <v>43432.0</v>
      </c>
      <c r="G20" s="3" t="s">
        <v>514</v>
      </c>
      <c r="H20" s="3">
        <v>5.1482209700028E13</v>
      </c>
      <c r="I20" s="3" t="s">
        <v>516</v>
      </c>
      <c r="J20" s="3" t="s">
        <v>17</v>
      </c>
      <c r="K20" s="3" t="s">
        <v>18</v>
      </c>
      <c r="L20" s="3" t="s">
        <v>517</v>
      </c>
      <c r="M20" s="3" t="s">
        <v>20</v>
      </c>
      <c r="N20" s="3" t="s">
        <v>21</v>
      </c>
      <c r="O20" s="3">
        <v>1.0</v>
      </c>
    </row>
    <row r="21">
      <c r="A21" s="3" t="s">
        <v>506</v>
      </c>
      <c r="B21" s="3">
        <v>26000.0</v>
      </c>
      <c r="C21" s="4">
        <v>43502.0</v>
      </c>
      <c r="D21" s="3" t="s">
        <v>461</v>
      </c>
      <c r="E21" s="3">
        <v>2.4330031600011E13</v>
      </c>
      <c r="F21" s="4">
        <v>43496.0</v>
      </c>
      <c r="G21" s="3" t="s">
        <v>505</v>
      </c>
      <c r="H21" s="3">
        <v>3.9061052500029E13</v>
      </c>
      <c r="I21" s="3" t="s">
        <v>397</v>
      </c>
      <c r="J21" s="3" t="s">
        <v>17</v>
      </c>
      <c r="K21" s="3" t="s">
        <v>18</v>
      </c>
      <c r="L21" s="3" t="s">
        <v>507</v>
      </c>
      <c r="M21" s="3" t="s">
        <v>20</v>
      </c>
      <c r="N21" s="3" t="s">
        <v>21</v>
      </c>
      <c r="O21" s="3">
        <v>1.0</v>
      </c>
    </row>
    <row r="22">
      <c r="A22" s="3" t="s">
        <v>179</v>
      </c>
      <c r="B22" s="3">
        <v>407253.0</v>
      </c>
      <c r="C22" s="4">
        <v>43724.0</v>
      </c>
      <c r="D22" s="3" t="s">
        <v>461</v>
      </c>
      <c r="E22" s="3">
        <v>2.4330031600011E13</v>
      </c>
      <c r="F22" s="4">
        <v>43651.0</v>
      </c>
      <c r="G22" s="3" t="s">
        <v>706</v>
      </c>
      <c r="H22" s="3">
        <v>3.2123703400012E13</v>
      </c>
      <c r="I22" s="3" t="s">
        <v>312</v>
      </c>
      <c r="J22" s="3" t="s">
        <v>17</v>
      </c>
      <c r="K22" s="3" t="s">
        <v>18</v>
      </c>
      <c r="L22" s="3" t="s">
        <v>696</v>
      </c>
      <c r="M22" s="3" t="s">
        <v>20</v>
      </c>
      <c r="N22" s="3" t="s">
        <v>21</v>
      </c>
      <c r="O22" s="3">
        <v>1.0</v>
      </c>
    </row>
    <row r="23">
      <c r="A23" s="3" t="s">
        <v>216</v>
      </c>
      <c r="B23" s="3">
        <v>47500.0</v>
      </c>
      <c r="C23" s="4">
        <v>43724.0</v>
      </c>
      <c r="D23" s="3" t="s">
        <v>461</v>
      </c>
      <c r="E23" s="3">
        <v>2.4330031600011E13</v>
      </c>
      <c r="F23" s="4">
        <v>43642.0</v>
      </c>
      <c r="G23" s="3" t="s">
        <v>680</v>
      </c>
      <c r="H23" s="3">
        <v>4.2198523500017E13</v>
      </c>
      <c r="I23" s="3" t="s">
        <v>397</v>
      </c>
      <c r="J23" s="3" t="s">
        <v>17</v>
      </c>
      <c r="K23" s="3" t="s">
        <v>18</v>
      </c>
      <c r="L23" s="3" t="s">
        <v>674</v>
      </c>
      <c r="M23" s="3" t="s">
        <v>20</v>
      </c>
      <c r="N23" s="3" t="s">
        <v>21</v>
      </c>
      <c r="O23" s="3">
        <v>1.0</v>
      </c>
    </row>
    <row r="24">
      <c r="A24" s="3" t="s">
        <v>678</v>
      </c>
      <c r="B24" s="3">
        <v>30000.0</v>
      </c>
      <c r="C24" s="4">
        <v>43724.0</v>
      </c>
      <c r="D24" s="3" t="s">
        <v>461</v>
      </c>
      <c r="E24" s="3">
        <v>2.4330031600011E13</v>
      </c>
      <c r="F24" s="4">
        <v>43635.0</v>
      </c>
      <c r="G24" s="3" t="s">
        <v>677</v>
      </c>
      <c r="H24" s="3">
        <v>3.3230399900079E13</v>
      </c>
      <c r="I24" s="3" t="s">
        <v>679</v>
      </c>
      <c r="J24" s="3" t="s">
        <v>17</v>
      </c>
      <c r="K24" s="3" t="s">
        <v>18</v>
      </c>
      <c r="L24" s="3" t="s">
        <v>676</v>
      </c>
      <c r="M24" s="3" t="s">
        <v>20</v>
      </c>
      <c r="N24" s="3" t="s">
        <v>21</v>
      </c>
      <c r="O24" s="3">
        <v>1.0</v>
      </c>
    </row>
    <row r="25">
      <c r="A25" s="3" t="s">
        <v>565</v>
      </c>
      <c r="B25" s="3">
        <v>40000.0</v>
      </c>
      <c r="C25" s="4">
        <v>43557.0</v>
      </c>
      <c r="D25" s="3" t="s">
        <v>461</v>
      </c>
      <c r="E25" s="3">
        <v>2.4330031600011E13</v>
      </c>
      <c r="F25" s="4">
        <v>43530.0</v>
      </c>
      <c r="G25" s="3" t="s">
        <v>529</v>
      </c>
      <c r="H25" s="3">
        <v>8.2343035000012E13</v>
      </c>
      <c r="I25" s="3" t="s">
        <v>566</v>
      </c>
      <c r="J25" s="3" t="s">
        <v>17</v>
      </c>
      <c r="K25" s="3" t="s">
        <v>18</v>
      </c>
      <c r="L25" s="3" t="s">
        <v>564</v>
      </c>
      <c r="M25" s="3" t="s">
        <v>20</v>
      </c>
      <c r="N25" s="3" t="s">
        <v>21</v>
      </c>
      <c r="O25" s="3">
        <v>1.0</v>
      </c>
    </row>
    <row r="26">
      <c r="A26" s="3" t="s">
        <v>468</v>
      </c>
      <c r="B26" s="3">
        <v>25000.0</v>
      </c>
      <c r="C26" s="4">
        <v>43502.0</v>
      </c>
      <c r="D26" s="3" t="s">
        <v>461</v>
      </c>
      <c r="E26" s="3">
        <v>2.4330031600011E13</v>
      </c>
      <c r="F26" s="4">
        <v>43298.0</v>
      </c>
      <c r="G26" s="3" t="s">
        <v>467</v>
      </c>
      <c r="H26" s="3">
        <v>4.0285022600018E13</v>
      </c>
      <c r="I26" s="3" t="s">
        <v>469</v>
      </c>
      <c r="J26" s="3" t="s">
        <v>17</v>
      </c>
      <c r="K26" s="3" t="s">
        <v>18</v>
      </c>
      <c r="L26" s="3" t="s">
        <v>470</v>
      </c>
      <c r="M26" s="3" t="s">
        <v>20</v>
      </c>
      <c r="N26" s="3" t="s">
        <v>21</v>
      </c>
      <c r="O26" s="3">
        <v>1.0</v>
      </c>
    </row>
    <row r="27">
      <c r="A27" s="3" t="s">
        <v>580</v>
      </c>
      <c r="B27" s="3">
        <v>150000.0</v>
      </c>
      <c r="C27" s="4">
        <v>43557.0</v>
      </c>
      <c r="D27" s="3" t="s">
        <v>461</v>
      </c>
      <c r="E27" s="3">
        <v>2.4330031600011E13</v>
      </c>
      <c r="F27" s="4">
        <v>43514.0</v>
      </c>
      <c r="G27" s="3" t="s">
        <v>579</v>
      </c>
      <c r="H27" s="3">
        <v>5.0907979400012E13</v>
      </c>
      <c r="I27" s="3" t="s">
        <v>581</v>
      </c>
      <c r="J27" s="3" t="s">
        <v>17</v>
      </c>
      <c r="K27" s="3" t="s">
        <v>18</v>
      </c>
      <c r="L27" s="3" t="s">
        <v>575</v>
      </c>
      <c r="M27" s="3" t="s">
        <v>20</v>
      </c>
      <c r="N27" s="3" t="s">
        <v>21</v>
      </c>
      <c r="O27" s="3">
        <v>1.0</v>
      </c>
    </row>
    <row r="28">
      <c r="A28" s="3" t="s">
        <v>136</v>
      </c>
      <c r="B28" s="3">
        <v>42750.0</v>
      </c>
      <c r="C28" s="4">
        <v>43636.0</v>
      </c>
      <c r="D28" s="3" t="s">
        <v>461</v>
      </c>
      <c r="E28" s="3">
        <v>2.4330031600011E13</v>
      </c>
      <c r="F28" s="4">
        <v>43619.0</v>
      </c>
      <c r="G28" s="3" t="s">
        <v>645</v>
      </c>
      <c r="H28" s="3">
        <v>5.2289609100033E13</v>
      </c>
      <c r="I28" s="3" t="s">
        <v>646</v>
      </c>
      <c r="J28" s="3" t="s">
        <v>17</v>
      </c>
      <c r="K28" s="3" t="s">
        <v>18</v>
      </c>
      <c r="L28" s="3" t="s">
        <v>636</v>
      </c>
      <c r="M28" s="3" t="s">
        <v>20</v>
      </c>
      <c r="N28" s="3" t="s">
        <v>21</v>
      </c>
      <c r="O28" s="3">
        <v>1.0</v>
      </c>
    </row>
    <row r="29">
      <c r="A29" s="3" t="s">
        <v>136</v>
      </c>
      <c r="B29" s="3">
        <v>20000.0</v>
      </c>
      <c r="C29" s="4">
        <v>43724.0</v>
      </c>
      <c r="D29" s="3" t="s">
        <v>461</v>
      </c>
      <c r="E29" s="3">
        <v>2.4330031600011E13</v>
      </c>
      <c r="F29" s="4">
        <v>43642.0</v>
      </c>
      <c r="G29" s="3" t="s">
        <v>672</v>
      </c>
      <c r="H29" s="3">
        <v>5.2289609100033E13</v>
      </c>
      <c r="I29" s="3" t="s">
        <v>673</v>
      </c>
      <c r="J29" s="3" t="s">
        <v>17</v>
      </c>
      <c r="K29" s="3" t="s">
        <v>18</v>
      </c>
      <c r="L29" s="3" t="s">
        <v>674</v>
      </c>
      <c r="M29" s="3" t="s">
        <v>20</v>
      </c>
      <c r="N29" s="3" t="s">
        <v>21</v>
      </c>
      <c r="O29" s="3">
        <v>1.0</v>
      </c>
    </row>
    <row r="30">
      <c r="A30" s="3" t="s">
        <v>61</v>
      </c>
      <c r="B30" s="3">
        <v>4372000.0</v>
      </c>
      <c r="C30" s="4">
        <v>43557.0</v>
      </c>
      <c r="D30" s="3" t="s">
        <v>461</v>
      </c>
      <c r="E30" s="3">
        <v>2.4330031600011E13</v>
      </c>
      <c r="F30" s="4">
        <v>43530.0</v>
      </c>
      <c r="G30" s="3" t="s">
        <v>563</v>
      </c>
      <c r="H30" s="3">
        <v>7.818144880004E13</v>
      </c>
      <c r="I30" s="3" t="s">
        <v>397</v>
      </c>
      <c r="J30" s="3" t="s">
        <v>17</v>
      </c>
      <c r="K30" s="3" t="s">
        <v>18</v>
      </c>
      <c r="L30" s="3" t="s">
        <v>564</v>
      </c>
      <c r="M30" s="3" t="s">
        <v>20</v>
      </c>
      <c r="N30" s="3" t="s">
        <v>21</v>
      </c>
      <c r="O30" s="3">
        <v>1.0</v>
      </c>
    </row>
    <row r="31">
      <c r="A31" s="3" t="s">
        <v>747</v>
      </c>
      <c r="B31" s="3">
        <v>25000.0</v>
      </c>
      <c r="C31" s="4">
        <v>43784.0</v>
      </c>
      <c r="D31" s="3" t="s">
        <v>461</v>
      </c>
      <c r="E31" s="3">
        <v>2.4330031600011E13</v>
      </c>
      <c r="F31" s="4">
        <v>43774.0</v>
      </c>
      <c r="G31" s="3" t="s">
        <v>738</v>
      </c>
      <c r="H31" s="3">
        <v>3.4063725500027E13</v>
      </c>
      <c r="I31" s="3" t="s">
        <v>397</v>
      </c>
      <c r="J31" s="3" t="s">
        <v>17</v>
      </c>
      <c r="K31" s="3" t="s">
        <v>18</v>
      </c>
      <c r="L31" s="3" t="s">
        <v>748</v>
      </c>
      <c r="M31" s="3" t="s">
        <v>20</v>
      </c>
      <c r="N31" s="3" t="s">
        <v>21</v>
      </c>
      <c r="O31" s="3">
        <v>1.0</v>
      </c>
    </row>
    <row r="32">
      <c r="A32" s="3" t="s">
        <v>475</v>
      </c>
      <c r="B32" s="3">
        <v>88000.0</v>
      </c>
      <c r="C32" s="4">
        <v>43502.0</v>
      </c>
      <c r="D32" s="3" t="s">
        <v>461</v>
      </c>
      <c r="E32" s="3">
        <v>2.4330031600011E13</v>
      </c>
      <c r="F32" s="4">
        <v>43171.0</v>
      </c>
      <c r="G32" s="3" t="s">
        <v>474</v>
      </c>
      <c r="H32" s="3">
        <v>3.9484466600013E13</v>
      </c>
      <c r="I32" s="3" t="s">
        <v>397</v>
      </c>
      <c r="J32" s="3" t="s">
        <v>17</v>
      </c>
      <c r="K32" s="3" t="s">
        <v>18</v>
      </c>
      <c r="L32" s="3" t="s">
        <v>476</v>
      </c>
      <c r="M32" s="3" t="s">
        <v>20</v>
      </c>
      <c r="N32" s="3" t="s">
        <v>21</v>
      </c>
      <c r="O32" s="3">
        <v>1.0</v>
      </c>
    </row>
    <row r="33">
      <c r="A33" s="3" t="s">
        <v>633</v>
      </c>
      <c r="B33" s="3">
        <v>8000.0</v>
      </c>
      <c r="C33" s="4">
        <v>43636.0</v>
      </c>
      <c r="D33" s="3" t="s">
        <v>461</v>
      </c>
      <c r="E33" s="3">
        <v>2.4330031600011E13</v>
      </c>
      <c r="F33" s="4">
        <v>43614.0</v>
      </c>
      <c r="G33" s="3" t="s">
        <v>603</v>
      </c>
      <c r="H33" s="3">
        <v>8.2831200900016E13</v>
      </c>
      <c r="I33" s="3" t="s">
        <v>621</v>
      </c>
      <c r="J33" s="3" t="s">
        <v>17</v>
      </c>
      <c r="K33" s="3" t="s">
        <v>18</v>
      </c>
      <c r="L33" s="3" t="s">
        <v>634</v>
      </c>
      <c r="M33" s="3" t="s">
        <v>20</v>
      </c>
      <c r="N33" s="3" t="s">
        <v>21</v>
      </c>
      <c r="O33" s="3">
        <v>1.0</v>
      </c>
    </row>
    <row r="34">
      <c r="A34" s="3" t="s">
        <v>625</v>
      </c>
      <c r="B34" s="3">
        <v>10000.0</v>
      </c>
      <c r="C34" s="4">
        <v>43636.0</v>
      </c>
      <c r="D34" s="3" t="s">
        <v>461</v>
      </c>
      <c r="E34" s="3">
        <v>2.4330031600011E13</v>
      </c>
      <c r="F34" s="4">
        <v>43608.0</v>
      </c>
      <c r="G34" s="3" t="s">
        <v>603</v>
      </c>
      <c r="H34" s="3">
        <v>8.2135493300011E13</v>
      </c>
      <c r="I34" s="3" t="s">
        <v>621</v>
      </c>
      <c r="J34" s="3" t="s">
        <v>17</v>
      </c>
      <c r="K34" s="3" t="s">
        <v>18</v>
      </c>
      <c r="L34" s="3" t="s">
        <v>626</v>
      </c>
      <c r="M34" s="3" t="s">
        <v>20</v>
      </c>
      <c r="N34" s="3" t="s">
        <v>21</v>
      </c>
      <c r="O34" s="3">
        <v>1.0</v>
      </c>
    </row>
    <row r="35">
      <c r="A35" s="3" t="s">
        <v>139</v>
      </c>
      <c r="B35" s="3">
        <v>8000.0</v>
      </c>
      <c r="C35" s="4">
        <v>43636.0</v>
      </c>
      <c r="D35" s="3" t="s">
        <v>461</v>
      </c>
      <c r="E35" s="3">
        <v>2.4330031600011E13</v>
      </c>
      <c r="F35" s="4">
        <v>43612.0</v>
      </c>
      <c r="G35" s="3" t="s">
        <v>603</v>
      </c>
      <c r="H35" s="3">
        <v>4.8029371100028E13</v>
      </c>
      <c r="I35" s="3" t="s">
        <v>621</v>
      </c>
      <c r="J35" s="3" t="s">
        <v>17</v>
      </c>
      <c r="K35" s="3" t="s">
        <v>18</v>
      </c>
      <c r="L35" s="3" t="s">
        <v>622</v>
      </c>
      <c r="M35" s="3" t="s">
        <v>20</v>
      </c>
      <c r="N35" s="3" t="s">
        <v>21</v>
      </c>
      <c r="O35" s="3">
        <v>1.0</v>
      </c>
    </row>
    <row r="36">
      <c r="A36" s="3" t="s">
        <v>613</v>
      </c>
      <c r="B36" s="3">
        <v>440000.0</v>
      </c>
      <c r="C36" s="4">
        <v>43636.0</v>
      </c>
      <c r="D36" s="3" t="s">
        <v>461</v>
      </c>
      <c r="E36" s="3">
        <v>2.4330031600011E13</v>
      </c>
      <c r="F36" s="4">
        <v>43600.0</v>
      </c>
      <c r="G36" s="3" t="s">
        <v>612</v>
      </c>
      <c r="H36" s="3">
        <v>3.7781852100025E13</v>
      </c>
      <c r="I36" s="3" t="s">
        <v>614</v>
      </c>
      <c r="J36" s="3" t="s">
        <v>17</v>
      </c>
      <c r="K36" s="3" t="s">
        <v>18</v>
      </c>
      <c r="L36" s="3" t="s">
        <v>611</v>
      </c>
      <c r="M36" s="3" t="s">
        <v>20</v>
      </c>
      <c r="N36" s="3" t="s">
        <v>21</v>
      </c>
      <c r="O36" s="3">
        <v>1.0</v>
      </c>
    </row>
    <row r="37">
      <c r="A37" s="3" t="s">
        <v>309</v>
      </c>
      <c r="B37" s="3">
        <v>125000.0</v>
      </c>
      <c r="C37" s="4">
        <v>43636.0</v>
      </c>
      <c r="D37" s="3" t="s">
        <v>461</v>
      </c>
      <c r="E37" s="3">
        <v>2.4330031600011E13</v>
      </c>
      <c r="F37" s="4">
        <v>43609.0</v>
      </c>
      <c r="G37" s="3" t="s">
        <v>618</v>
      </c>
      <c r="H37" s="3">
        <v>3.7796404400038E13</v>
      </c>
      <c r="I37" s="3" t="s">
        <v>397</v>
      </c>
      <c r="J37" s="3" t="s">
        <v>17</v>
      </c>
      <c r="K37" s="3" t="s">
        <v>18</v>
      </c>
      <c r="L37" s="3" t="s">
        <v>619</v>
      </c>
      <c r="M37" s="3" t="s">
        <v>20</v>
      </c>
      <c r="N37" s="3" t="s">
        <v>21</v>
      </c>
      <c r="O37" s="3">
        <v>1.0</v>
      </c>
    </row>
    <row r="38">
      <c r="A38" s="3" t="s">
        <v>309</v>
      </c>
      <c r="B38" s="3">
        <v>15000.0</v>
      </c>
      <c r="C38" s="4">
        <v>43636.0</v>
      </c>
      <c r="D38" s="3" t="s">
        <v>461</v>
      </c>
      <c r="E38" s="3">
        <v>2.4330031600011E13</v>
      </c>
      <c r="F38" s="4">
        <v>43629.0</v>
      </c>
      <c r="G38" s="3" t="s">
        <v>618</v>
      </c>
      <c r="H38" s="3">
        <v>3.7796404400038E13</v>
      </c>
      <c r="I38" s="3" t="s">
        <v>662</v>
      </c>
      <c r="J38" s="3" t="s">
        <v>17</v>
      </c>
      <c r="K38" s="3" t="s">
        <v>18</v>
      </c>
      <c r="L38" s="3" t="s">
        <v>663</v>
      </c>
      <c r="M38" s="3" t="s">
        <v>20</v>
      </c>
      <c r="N38" s="3" t="s">
        <v>21</v>
      </c>
      <c r="O38" s="3">
        <v>1.0</v>
      </c>
    </row>
    <row r="39">
      <c r="A39" s="3" t="s">
        <v>380</v>
      </c>
      <c r="B39" s="3">
        <v>120000.0</v>
      </c>
      <c r="C39" s="4">
        <v>43557.0</v>
      </c>
      <c r="D39" s="3" t="s">
        <v>461</v>
      </c>
      <c r="E39" s="3">
        <v>2.4330031600011E13</v>
      </c>
      <c r="F39" s="4">
        <v>43353.0</v>
      </c>
      <c r="G39" s="3" t="s">
        <v>511</v>
      </c>
      <c r="H39" s="3">
        <v>3.9988425300036E13</v>
      </c>
      <c r="I39" s="3" t="s">
        <v>512</v>
      </c>
      <c r="J39" s="3" t="s">
        <v>17</v>
      </c>
      <c r="K39" s="3" t="s">
        <v>18</v>
      </c>
      <c r="L39" s="3" t="s">
        <v>513</v>
      </c>
      <c r="M39" s="3" t="s">
        <v>20</v>
      </c>
      <c r="N39" s="3" t="s">
        <v>21</v>
      </c>
      <c r="O39" s="3">
        <v>1.0</v>
      </c>
    </row>
    <row r="40">
      <c r="A40" s="3" t="s">
        <v>380</v>
      </c>
      <c r="B40" s="3">
        <v>5000.0</v>
      </c>
      <c r="C40" s="4">
        <v>43557.0</v>
      </c>
      <c r="D40" s="3" t="s">
        <v>461</v>
      </c>
      <c r="E40" s="3">
        <v>2.4330031600011E13</v>
      </c>
      <c r="F40" s="4">
        <v>43510.0</v>
      </c>
      <c r="G40" s="3" t="s">
        <v>522</v>
      </c>
      <c r="H40" s="3">
        <v>3.9988425300036E13</v>
      </c>
      <c r="I40" s="3" t="s">
        <v>523</v>
      </c>
      <c r="J40" s="3" t="s">
        <v>17</v>
      </c>
      <c r="K40" s="3" t="s">
        <v>18</v>
      </c>
      <c r="L40" s="3" t="s">
        <v>524</v>
      </c>
      <c r="M40" s="3" t="s">
        <v>20</v>
      </c>
      <c r="N40" s="3" t="s">
        <v>21</v>
      </c>
      <c r="O40" s="3">
        <v>1.0</v>
      </c>
    </row>
    <row r="41">
      <c r="A41" s="3" t="s">
        <v>380</v>
      </c>
      <c r="B41" s="3">
        <v>120000.0</v>
      </c>
      <c r="C41" s="4">
        <v>43724.0</v>
      </c>
      <c r="D41" s="3" t="s">
        <v>461</v>
      </c>
      <c r="E41" s="3">
        <v>2.4330031600011E13</v>
      </c>
      <c r="F41" s="4">
        <v>43641.0</v>
      </c>
      <c r="G41" s="3" t="s">
        <v>684</v>
      </c>
      <c r="H41" s="3">
        <v>3.9988425300036E13</v>
      </c>
      <c r="I41" s="3" t="s">
        <v>276</v>
      </c>
      <c r="J41" s="3" t="s">
        <v>17</v>
      </c>
      <c r="K41" s="3" t="s">
        <v>18</v>
      </c>
      <c r="L41" s="3" t="s">
        <v>685</v>
      </c>
      <c r="M41" s="3" t="s">
        <v>20</v>
      </c>
      <c r="N41" s="3" t="s">
        <v>21</v>
      </c>
      <c r="O41" s="3">
        <v>1.0</v>
      </c>
    </row>
    <row r="42">
      <c r="A42" s="3" t="s">
        <v>491</v>
      </c>
      <c r="B42" s="3">
        <v>18000.0</v>
      </c>
      <c r="C42" s="4">
        <v>43502.0</v>
      </c>
      <c r="D42" s="3" t="s">
        <v>461</v>
      </c>
      <c r="E42" s="3">
        <v>2.4330031600011E13</v>
      </c>
      <c r="F42" s="4">
        <v>43482.0</v>
      </c>
      <c r="G42" s="3" t="s">
        <v>490</v>
      </c>
      <c r="H42" s="3">
        <v>4.3294548300035E13</v>
      </c>
      <c r="I42" s="3" t="s">
        <v>397</v>
      </c>
      <c r="J42" s="3" t="s">
        <v>17</v>
      </c>
      <c r="K42" s="3" t="s">
        <v>18</v>
      </c>
      <c r="L42" s="3" t="s">
        <v>492</v>
      </c>
      <c r="M42" s="3" t="s">
        <v>20</v>
      </c>
      <c r="N42" s="3" t="s">
        <v>21</v>
      </c>
      <c r="O42" s="3">
        <v>1.0</v>
      </c>
    </row>
    <row r="43">
      <c r="A43" s="3" t="s">
        <v>590</v>
      </c>
      <c r="B43" s="3">
        <v>500000.0</v>
      </c>
      <c r="C43" s="4">
        <v>43636.0</v>
      </c>
      <c r="D43" s="3" t="s">
        <v>461</v>
      </c>
      <c r="E43" s="3">
        <v>2.4330031600011E13</v>
      </c>
      <c r="F43" s="4">
        <v>43574.0</v>
      </c>
      <c r="G43" s="3" t="s">
        <v>589</v>
      </c>
      <c r="H43" s="3">
        <v>1.3002285800018E13</v>
      </c>
      <c r="I43" s="3" t="s">
        <v>591</v>
      </c>
      <c r="J43" s="3" t="s">
        <v>17</v>
      </c>
      <c r="K43" s="3" t="s">
        <v>18</v>
      </c>
      <c r="L43" s="3" t="s">
        <v>592</v>
      </c>
      <c r="M43" s="3" t="s">
        <v>20</v>
      </c>
      <c r="N43" s="3" t="s">
        <v>21</v>
      </c>
      <c r="O43" s="3">
        <v>1.0</v>
      </c>
    </row>
    <row r="44">
      <c r="A44" s="3" t="s">
        <v>148</v>
      </c>
      <c r="B44" s="3">
        <v>35000.0</v>
      </c>
      <c r="C44" s="4">
        <v>43557.0</v>
      </c>
      <c r="D44" s="3" t="s">
        <v>461</v>
      </c>
      <c r="E44" s="3">
        <v>2.4330031600011E13</v>
      </c>
      <c r="F44" s="4">
        <v>43518.0</v>
      </c>
      <c r="G44" s="3" t="s">
        <v>529</v>
      </c>
      <c r="H44" s="3">
        <v>4.0265285300069E13</v>
      </c>
      <c r="I44" s="3" t="s">
        <v>551</v>
      </c>
      <c r="J44" s="3" t="s">
        <v>17</v>
      </c>
      <c r="K44" s="3" t="s">
        <v>18</v>
      </c>
      <c r="L44" s="3" t="s">
        <v>552</v>
      </c>
      <c r="M44" s="3" t="s">
        <v>20</v>
      </c>
      <c r="N44" s="3" t="s">
        <v>21</v>
      </c>
      <c r="O44" s="3">
        <v>1.0</v>
      </c>
    </row>
    <row r="45">
      <c r="A45" s="3" t="s">
        <v>148</v>
      </c>
      <c r="B45" s="3">
        <v>25000.0</v>
      </c>
      <c r="C45" s="4">
        <v>43636.0</v>
      </c>
      <c r="D45" s="3" t="s">
        <v>461</v>
      </c>
      <c r="E45" s="3">
        <v>2.4330031600011E13</v>
      </c>
      <c r="F45" s="4">
        <v>43612.0</v>
      </c>
      <c r="G45" s="3" t="s">
        <v>603</v>
      </c>
      <c r="H45" s="3">
        <v>4.0265285300019E13</v>
      </c>
      <c r="I45" s="3" t="s">
        <v>621</v>
      </c>
      <c r="J45" s="3" t="s">
        <v>17</v>
      </c>
      <c r="K45" s="3" t="s">
        <v>18</v>
      </c>
      <c r="L45" s="3" t="s">
        <v>622</v>
      </c>
      <c r="M45" s="3" t="s">
        <v>20</v>
      </c>
      <c r="N45" s="3" t="s">
        <v>21</v>
      </c>
      <c r="O45" s="3">
        <v>1.0</v>
      </c>
    </row>
    <row r="46">
      <c r="A46" s="3" t="s">
        <v>378</v>
      </c>
      <c r="B46" s="3">
        <v>8500.0</v>
      </c>
      <c r="C46" s="4">
        <v>43724.0</v>
      </c>
      <c r="D46" s="3" t="s">
        <v>461</v>
      </c>
      <c r="E46" s="3">
        <v>2.4330031600011E13</v>
      </c>
      <c r="F46" s="4">
        <v>43669.0</v>
      </c>
      <c r="G46" s="3" t="s">
        <v>707</v>
      </c>
      <c r="H46" s="3">
        <v>3.3348540700017E13</v>
      </c>
      <c r="I46" s="3" t="s">
        <v>715</v>
      </c>
      <c r="J46" s="3" t="s">
        <v>17</v>
      </c>
      <c r="K46" s="3" t="s">
        <v>465</v>
      </c>
      <c r="L46" s="3" t="s">
        <v>718</v>
      </c>
      <c r="M46" s="3" t="s">
        <v>20</v>
      </c>
      <c r="N46" s="3" t="s">
        <v>21</v>
      </c>
      <c r="O46" s="3">
        <v>1.0</v>
      </c>
    </row>
    <row r="47">
      <c r="A47" s="3" t="s">
        <v>374</v>
      </c>
      <c r="B47" s="3">
        <v>33000.0</v>
      </c>
      <c r="C47" s="4">
        <v>43724.0</v>
      </c>
      <c r="D47" s="3" t="s">
        <v>461</v>
      </c>
      <c r="E47" s="3">
        <v>2.4330031600011E13</v>
      </c>
      <c r="F47" s="4">
        <v>43677.0</v>
      </c>
      <c r="G47" s="3" t="s">
        <v>707</v>
      </c>
      <c r="H47" s="3">
        <v>4.022835430007E13</v>
      </c>
      <c r="I47" s="3" t="s">
        <v>715</v>
      </c>
      <c r="J47" s="3" t="s">
        <v>17</v>
      </c>
      <c r="K47" s="3" t="s">
        <v>465</v>
      </c>
      <c r="L47" s="3" t="s">
        <v>711</v>
      </c>
      <c r="M47" s="3" t="s">
        <v>20</v>
      </c>
      <c r="N47" s="3" t="s">
        <v>21</v>
      </c>
      <c r="O47" s="3">
        <v>1.0</v>
      </c>
    </row>
    <row r="48">
      <c r="A48" s="3" t="s">
        <v>374</v>
      </c>
      <c r="B48" s="3">
        <v>24000.0</v>
      </c>
      <c r="C48" s="4">
        <v>43784.0</v>
      </c>
      <c r="D48" s="3" t="s">
        <v>461</v>
      </c>
      <c r="E48" s="3">
        <v>2.4330031600011E13</v>
      </c>
      <c r="F48" s="4">
        <v>43677.0</v>
      </c>
      <c r="G48" s="3" t="s">
        <v>707</v>
      </c>
      <c r="H48" s="3">
        <v>4.022835430007E13</v>
      </c>
      <c r="I48" s="3" t="s">
        <v>749</v>
      </c>
      <c r="J48" s="3" t="s">
        <v>17</v>
      </c>
      <c r="K48" s="3" t="s">
        <v>465</v>
      </c>
      <c r="L48" s="3" t="s">
        <v>711</v>
      </c>
      <c r="M48" s="3" t="s">
        <v>20</v>
      </c>
      <c r="N48" s="3" t="s">
        <v>21</v>
      </c>
      <c r="O48" s="3">
        <v>1.0</v>
      </c>
    </row>
    <row r="49">
      <c r="A49" s="3" t="s">
        <v>374</v>
      </c>
      <c r="B49" s="3">
        <v>5000.0</v>
      </c>
      <c r="C49" s="4">
        <v>43784.0</v>
      </c>
      <c r="D49" s="3" t="s">
        <v>461</v>
      </c>
      <c r="E49" s="3">
        <v>2.4330031600011E13</v>
      </c>
      <c r="F49" s="4">
        <v>43677.0</v>
      </c>
      <c r="G49" s="3" t="s">
        <v>707</v>
      </c>
      <c r="H49" s="3">
        <v>4.022835430007E13</v>
      </c>
      <c r="I49" s="3" t="s">
        <v>750</v>
      </c>
      <c r="J49" s="3" t="s">
        <v>17</v>
      </c>
      <c r="K49" s="3" t="s">
        <v>465</v>
      </c>
      <c r="L49" s="3" t="s">
        <v>711</v>
      </c>
      <c r="M49" s="3" t="s">
        <v>20</v>
      </c>
      <c r="N49" s="3" t="s">
        <v>21</v>
      </c>
      <c r="O49" s="3">
        <v>1.0</v>
      </c>
    </row>
    <row r="50">
      <c r="A50" s="3" t="s">
        <v>600</v>
      </c>
      <c r="B50" s="3">
        <v>30000.0</v>
      </c>
      <c r="C50" s="4">
        <v>43636.0</v>
      </c>
      <c r="D50" s="3" t="s">
        <v>461</v>
      </c>
      <c r="E50" s="3">
        <v>2.4330031600011E13</v>
      </c>
      <c r="F50" s="4">
        <v>43546.0</v>
      </c>
      <c r="G50" s="3" t="s">
        <v>599</v>
      </c>
      <c r="H50" s="3">
        <v>7.8886877600022E13</v>
      </c>
      <c r="I50" s="3" t="s">
        <v>601</v>
      </c>
      <c r="J50" s="3" t="s">
        <v>17</v>
      </c>
      <c r="K50" s="3" t="s">
        <v>18</v>
      </c>
      <c r="L50" s="3" t="s">
        <v>602</v>
      </c>
      <c r="M50" s="3" t="s">
        <v>20</v>
      </c>
      <c r="N50" s="3" t="s">
        <v>21</v>
      </c>
      <c r="O50" s="3">
        <v>1.0</v>
      </c>
    </row>
    <row r="51">
      <c r="A51" s="3" t="s">
        <v>427</v>
      </c>
      <c r="B51" s="3">
        <v>25000.0</v>
      </c>
      <c r="C51" s="4">
        <v>43636.0</v>
      </c>
      <c r="D51" s="3" t="s">
        <v>461</v>
      </c>
      <c r="E51" s="3">
        <v>2.4330031600011E13</v>
      </c>
      <c r="F51" s="4">
        <v>43608.0</v>
      </c>
      <c r="G51" s="3" t="s">
        <v>628</v>
      </c>
      <c r="H51" s="3">
        <v>8.2071933400014E13</v>
      </c>
      <c r="I51" s="3" t="s">
        <v>397</v>
      </c>
      <c r="J51" s="3" t="s">
        <v>17</v>
      </c>
      <c r="K51" s="3" t="s">
        <v>18</v>
      </c>
      <c r="L51" s="3" t="s">
        <v>626</v>
      </c>
      <c r="M51" s="3" t="s">
        <v>20</v>
      </c>
      <c r="N51" s="3" t="s">
        <v>21</v>
      </c>
      <c r="O51" s="3">
        <v>1.0</v>
      </c>
    </row>
    <row r="52">
      <c r="A52" s="3" t="s">
        <v>448</v>
      </c>
      <c r="B52" s="3">
        <v>14250.0</v>
      </c>
      <c r="C52" s="4">
        <v>43636.0</v>
      </c>
      <c r="D52" s="3" t="s">
        <v>461</v>
      </c>
      <c r="E52" s="3">
        <v>2.4330031600011E13</v>
      </c>
      <c r="F52" s="4">
        <v>43623.0</v>
      </c>
      <c r="G52" s="3" t="s">
        <v>637</v>
      </c>
      <c r="H52" s="3">
        <v>8.312204960001E13</v>
      </c>
      <c r="I52" s="3" t="s">
        <v>659</v>
      </c>
      <c r="J52" s="3" t="s">
        <v>17</v>
      </c>
      <c r="K52" s="3" t="s">
        <v>18</v>
      </c>
      <c r="L52" s="3" t="s">
        <v>660</v>
      </c>
      <c r="M52" s="3" t="s">
        <v>20</v>
      </c>
      <c r="N52" s="3" t="s">
        <v>21</v>
      </c>
      <c r="O52" s="3">
        <v>1.0</v>
      </c>
    </row>
    <row r="53">
      <c r="A53" s="3" t="s">
        <v>716</v>
      </c>
      <c r="B53" s="3">
        <v>29000.0</v>
      </c>
      <c r="C53" s="4">
        <v>43724.0</v>
      </c>
      <c r="D53" s="3" t="s">
        <v>461</v>
      </c>
      <c r="E53" s="3">
        <v>2.4330031600011E13</v>
      </c>
      <c r="F53" s="4">
        <v>43671.0</v>
      </c>
      <c r="G53" s="3" t="s">
        <v>680</v>
      </c>
      <c r="H53" s="3">
        <v>8.4515945800023E13</v>
      </c>
      <c r="I53" s="3" t="s">
        <v>715</v>
      </c>
      <c r="J53" s="3" t="s">
        <v>17</v>
      </c>
      <c r="K53" s="3" t="s">
        <v>18</v>
      </c>
      <c r="L53" s="3" t="s">
        <v>717</v>
      </c>
      <c r="M53" s="3" t="s">
        <v>20</v>
      </c>
      <c r="N53" s="3" t="s">
        <v>21</v>
      </c>
      <c r="O53" s="3">
        <v>1.0</v>
      </c>
    </row>
    <row r="54">
      <c r="A54" s="3" t="s">
        <v>533</v>
      </c>
      <c r="B54" s="3">
        <v>15000.0</v>
      </c>
      <c r="C54" s="4">
        <v>43557.0</v>
      </c>
      <c r="D54" s="3" t="s">
        <v>461</v>
      </c>
      <c r="E54" s="3">
        <v>2.4330031600011E13</v>
      </c>
      <c r="F54" s="4">
        <v>43515.0</v>
      </c>
      <c r="G54" s="3" t="s">
        <v>529</v>
      </c>
      <c r="H54" s="3">
        <v>3.2848008200069E13</v>
      </c>
      <c r="I54" s="3" t="s">
        <v>534</v>
      </c>
      <c r="J54" s="3" t="s">
        <v>17</v>
      </c>
      <c r="K54" s="3" t="s">
        <v>18</v>
      </c>
      <c r="L54" s="3" t="s">
        <v>535</v>
      </c>
      <c r="M54" s="3" t="s">
        <v>20</v>
      </c>
      <c r="N54" s="3" t="s">
        <v>21</v>
      </c>
      <c r="O54" s="3">
        <v>1.0</v>
      </c>
    </row>
    <row r="55">
      <c r="A55" s="3" t="s">
        <v>624</v>
      </c>
      <c r="B55" s="3">
        <v>23500.0</v>
      </c>
      <c r="C55" s="4">
        <v>43636.0</v>
      </c>
      <c r="D55" s="3" t="s">
        <v>461</v>
      </c>
      <c r="E55" s="3">
        <v>2.4330031600011E13</v>
      </c>
      <c r="F55" s="4">
        <v>43606.0</v>
      </c>
      <c r="G55" s="3" t="s">
        <v>603</v>
      </c>
      <c r="H55" s="3">
        <v>4.1827063300021E13</v>
      </c>
      <c r="I55" s="3" t="s">
        <v>621</v>
      </c>
      <c r="J55" s="3" t="s">
        <v>17</v>
      </c>
      <c r="K55" s="3" t="s">
        <v>18</v>
      </c>
      <c r="L55" s="3" t="s">
        <v>605</v>
      </c>
      <c r="M55" s="3" t="s">
        <v>20</v>
      </c>
      <c r="N55" s="3" t="s">
        <v>21</v>
      </c>
      <c r="O55" s="3">
        <v>1.0</v>
      </c>
    </row>
    <row r="56">
      <c r="A56" s="3" t="s">
        <v>249</v>
      </c>
      <c r="B56" s="3">
        <v>52000.0</v>
      </c>
      <c r="C56" s="4">
        <v>43636.0</v>
      </c>
      <c r="D56" s="3" t="s">
        <v>461</v>
      </c>
      <c r="E56" s="3">
        <v>2.4330031600011E13</v>
      </c>
      <c r="F56" s="4">
        <v>43622.0</v>
      </c>
      <c r="G56" s="3" t="s">
        <v>645</v>
      </c>
      <c r="H56" s="3">
        <v>4.8237148100029E13</v>
      </c>
      <c r="I56" s="3" t="s">
        <v>652</v>
      </c>
      <c r="J56" s="3" t="s">
        <v>17</v>
      </c>
      <c r="K56" s="3" t="s">
        <v>18</v>
      </c>
      <c r="L56" s="3" t="s">
        <v>653</v>
      </c>
      <c r="M56" s="3" t="s">
        <v>20</v>
      </c>
      <c r="N56" s="3" t="s">
        <v>21</v>
      </c>
      <c r="O56" s="3">
        <v>1.0</v>
      </c>
    </row>
    <row r="57">
      <c r="A57" s="3" t="s">
        <v>249</v>
      </c>
      <c r="B57" s="3">
        <v>9000.0</v>
      </c>
      <c r="C57" s="4">
        <v>43724.0</v>
      </c>
      <c r="D57" s="3" t="s">
        <v>461</v>
      </c>
      <c r="E57" s="3">
        <v>2.4330031600011E13</v>
      </c>
      <c r="F57" s="4">
        <v>43655.0</v>
      </c>
      <c r="G57" s="3" t="s">
        <v>707</v>
      </c>
      <c r="H57" s="3">
        <v>4.8237148100029E13</v>
      </c>
      <c r="I57" s="3" t="s">
        <v>715</v>
      </c>
      <c r="J57" s="3" t="s">
        <v>17</v>
      </c>
      <c r="K57" s="3" t="s">
        <v>465</v>
      </c>
      <c r="L57" s="3" t="s">
        <v>701</v>
      </c>
      <c r="M57" s="3" t="s">
        <v>20</v>
      </c>
      <c r="N57" s="3" t="s">
        <v>21</v>
      </c>
      <c r="O57" s="3">
        <v>1.0</v>
      </c>
    </row>
    <row r="58">
      <c r="A58" s="3" t="s">
        <v>528</v>
      </c>
      <c r="B58" s="3">
        <v>1680000.0</v>
      </c>
      <c r="C58" s="4">
        <v>43557.0</v>
      </c>
      <c r="D58" s="3" t="s">
        <v>461</v>
      </c>
      <c r="E58" s="3">
        <v>2.4330031600011E13</v>
      </c>
      <c r="F58" s="4">
        <v>43510.0</v>
      </c>
      <c r="G58" s="3" t="s">
        <v>527</v>
      </c>
      <c r="H58" s="3">
        <v>4.8301340500012E13</v>
      </c>
      <c r="I58" s="3" t="s">
        <v>397</v>
      </c>
      <c r="J58" s="3" t="s">
        <v>17</v>
      </c>
      <c r="K58" s="3" t="s">
        <v>18</v>
      </c>
      <c r="L58" s="3" t="s">
        <v>524</v>
      </c>
      <c r="M58" s="3" t="s">
        <v>20</v>
      </c>
      <c r="N58" s="3" t="s">
        <v>21</v>
      </c>
      <c r="O58" s="3">
        <v>1.0</v>
      </c>
    </row>
    <row r="59">
      <c r="A59" s="3" t="s">
        <v>191</v>
      </c>
      <c r="B59" s="3">
        <v>47500.0</v>
      </c>
      <c r="C59" s="4">
        <v>43557.0</v>
      </c>
      <c r="D59" s="3" t="s">
        <v>461</v>
      </c>
      <c r="E59" s="3">
        <v>2.4330031600011E13</v>
      </c>
      <c r="F59" s="4">
        <v>43516.0</v>
      </c>
      <c r="G59" s="3" t="s">
        <v>529</v>
      </c>
      <c r="H59" s="3">
        <v>3.7809063300017E13</v>
      </c>
      <c r="I59" s="3" t="s">
        <v>536</v>
      </c>
      <c r="J59" s="3" t="s">
        <v>17</v>
      </c>
      <c r="K59" s="3" t="s">
        <v>18</v>
      </c>
      <c r="L59" s="3" t="s">
        <v>537</v>
      </c>
      <c r="M59" s="3" t="s">
        <v>20</v>
      </c>
      <c r="N59" s="3" t="s">
        <v>21</v>
      </c>
      <c r="O59" s="3">
        <v>1.0</v>
      </c>
    </row>
    <row r="60">
      <c r="A60" s="3" t="s">
        <v>364</v>
      </c>
      <c r="B60" s="3">
        <v>10000.0</v>
      </c>
      <c r="C60" s="4">
        <v>43636.0</v>
      </c>
      <c r="D60" s="3" t="s">
        <v>461</v>
      </c>
      <c r="E60" s="3">
        <v>2.4330031600011E13</v>
      </c>
      <c r="F60" s="4">
        <v>43587.0</v>
      </c>
      <c r="G60" s="3" t="s">
        <v>596</v>
      </c>
      <c r="H60" s="3">
        <v>4.1993219900021E13</v>
      </c>
      <c r="I60" s="3" t="s">
        <v>597</v>
      </c>
      <c r="J60" s="3" t="s">
        <v>17</v>
      </c>
      <c r="K60" s="3" t="s">
        <v>465</v>
      </c>
      <c r="L60" s="3" t="s">
        <v>598</v>
      </c>
      <c r="M60" s="3" t="s">
        <v>20</v>
      </c>
      <c r="N60" s="3" t="s">
        <v>21</v>
      </c>
      <c r="O60" s="3">
        <v>1.0</v>
      </c>
    </row>
    <row r="61">
      <c r="A61" s="3" t="s">
        <v>691</v>
      </c>
      <c r="B61" s="3">
        <v>4350.0</v>
      </c>
      <c r="C61" s="4">
        <v>43724.0</v>
      </c>
      <c r="D61" s="3" t="s">
        <v>461</v>
      </c>
      <c r="E61" s="3">
        <v>2.4330031600011E13</v>
      </c>
      <c r="F61" s="4">
        <v>43620.0</v>
      </c>
      <c r="G61" s="3" t="s">
        <v>690</v>
      </c>
      <c r="H61" s="3">
        <v>4.099689630001E13</v>
      </c>
      <c r="I61" s="3" t="s">
        <v>397</v>
      </c>
      <c r="J61" s="3" t="s">
        <v>17</v>
      </c>
      <c r="K61" s="3" t="s">
        <v>18</v>
      </c>
      <c r="L61" s="3" t="s">
        <v>647</v>
      </c>
      <c r="M61" s="3" t="s">
        <v>20</v>
      </c>
      <c r="N61" s="3" t="s">
        <v>21</v>
      </c>
      <c r="O61" s="3">
        <v>1.0</v>
      </c>
    </row>
    <row r="62">
      <c r="A62" s="3" t="s">
        <v>686</v>
      </c>
      <c r="B62" s="3">
        <v>3500.0</v>
      </c>
      <c r="C62" s="4">
        <v>43724.0</v>
      </c>
      <c r="D62" s="3" t="s">
        <v>461</v>
      </c>
      <c r="E62" s="3">
        <v>2.4330031600011E13</v>
      </c>
      <c r="F62" s="4">
        <v>43636.0</v>
      </c>
      <c r="G62" s="3" t="s">
        <v>664</v>
      </c>
      <c r="H62" s="3">
        <v>7.8184921100029E13</v>
      </c>
      <c r="I62" s="3" t="s">
        <v>397</v>
      </c>
      <c r="J62" s="3" t="s">
        <v>17</v>
      </c>
      <c r="K62" s="3" t="s">
        <v>18</v>
      </c>
      <c r="L62" s="3" t="s">
        <v>687</v>
      </c>
      <c r="M62" s="3" t="s">
        <v>20</v>
      </c>
      <c r="N62" s="3" t="s">
        <v>21</v>
      </c>
      <c r="O62" s="3">
        <v>1.0</v>
      </c>
    </row>
    <row r="63">
      <c r="A63" s="3" t="s">
        <v>651</v>
      </c>
      <c r="B63" s="3">
        <v>38000.0</v>
      </c>
      <c r="C63" s="4">
        <v>43636.0</v>
      </c>
      <c r="D63" s="3" t="s">
        <v>461</v>
      </c>
      <c r="E63" s="3">
        <v>2.4330031600011E13</v>
      </c>
      <c r="F63" s="4">
        <v>43622.0</v>
      </c>
      <c r="G63" s="3" t="s">
        <v>645</v>
      </c>
      <c r="H63" s="3">
        <v>4.1900910500018E13</v>
      </c>
      <c r="I63" s="3" t="s">
        <v>652</v>
      </c>
      <c r="J63" s="3" t="s">
        <v>17</v>
      </c>
      <c r="K63" s="3" t="s">
        <v>18</v>
      </c>
      <c r="L63" s="3" t="s">
        <v>653</v>
      </c>
      <c r="M63" s="3" t="s">
        <v>20</v>
      </c>
      <c r="N63" s="3" t="s">
        <v>21</v>
      </c>
      <c r="O63" s="3">
        <v>1.0</v>
      </c>
    </row>
    <row r="64">
      <c r="A64" s="3" t="s">
        <v>348</v>
      </c>
      <c r="B64" s="3">
        <v>25000.0</v>
      </c>
      <c r="C64" s="4">
        <v>43724.0</v>
      </c>
      <c r="D64" s="3" t="s">
        <v>461</v>
      </c>
      <c r="E64" s="3">
        <v>2.4330031600011E13</v>
      </c>
      <c r="F64" s="4">
        <v>43648.0</v>
      </c>
      <c r="G64" s="3" t="s">
        <v>692</v>
      </c>
      <c r="H64" s="3">
        <v>8.0961975200011E13</v>
      </c>
      <c r="I64" s="3" t="s">
        <v>397</v>
      </c>
      <c r="J64" s="3" t="s">
        <v>17</v>
      </c>
      <c r="K64" s="3" t="s">
        <v>18</v>
      </c>
      <c r="L64" s="3" t="s">
        <v>693</v>
      </c>
      <c r="M64" s="3" t="s">
        <v>20</v>
      </c>
      <c r="N64" s="3" t="s">
        <v>21</v>
      </c>
      <c r="O64" s="3">
        <v>1.0</v>
      </c>
    </row>
    <row r="65">
      <c r="A65" s="3" t="s">
        <v>703</v>
      </c>
      <c r="B65" s="3">
        <v>20000.0</v>
      </c>
      <c r="C65" s="4">
        <v>43724.0</v>
      </c>
      <c r="D65" s="3" t="s">
        <v>461</v>
      </c>
      <c r="E65" s="3">
        <v>2.4330031600011E13</v>
      </c>
      <c r="F65" s="4">
        <v>43658.0</v>
      </c>
      <c r="G65" s="3" t="s">
        <v>702</v>
      </c>
      <c r="H65" s="3">
        <v>8.0041897200017E13</v>
      </c>
      <c r="I65" s="3" t="s">
        <v>704</v>
      </c>
      <c r="J65" s="3" t="s">
        <v>17</v>
      </c>
      <c r="K65" s="3" t="s">
        <v>18</v>
      </c>
      <c r="L65" s="3" t="s">
        <v>705</v>
      </c>
      <c r="M65" s="3" t="s">
        <v>20</v>
      </c>
      <c r="N65" s="3" t="s">
        <v>21</v>
      </c>
      <c r="O65" s="3">
        <v>1.0</v>
      </c>
    </row>
    <row r="66">
      <c r="A66" s="3" t="s">
        <v>530</v>
      </c>
      <c r="B66" s="3">
        <v>150000.0</v>
      </c>
      <c r="C66" s="4">
        <v>43557.0</v>
      </c>
      <c r="D66" s="3" t="s">
        <v>461</v>
      </c>
      <c r="E66" s="3">
        <v>2.4330031600011E13</v>
      </c>
      <c r="F66" s="4">
        <v>43507.0</v>
      </c>
      <c r="G66" s="3" t="s">
        <v>529</v>
      </c>
      <c r="H66" s="3">
        <v>3.4426475900046E13</v>
      </c>
      <c r="I66" s="3" t="s">
        <v>531</v>
      </c>
      <c r="J66" s="3" t="s">
        <v>17</v>
      </c>
      <c r="K66" s="3" t="s">
        <v>18</v>
      </c>
      <c r="L66" s="3" t="s">
        <v>532</v>
      </c>
      <c r="M66" s="3" t="s">
        <v>20</v>
      </c>
      <c r="N66" s="3" t="s">
        <v>21</v>
      </c>
      <c r="O66" s="3">
        <v>1.0</v>
      </c>
    </row>
    <row r="67">
      <c r="A67" s="3" t="s">
        <v>231</v>
      </c>
      <c r="B67" s="3">
        <v>20000.0</v>
      </c>
      <c r="C67" s="4">
        <v>43557.0</v>
      </c>
      <c r="D67" s="3" t="s">
        <v>461</v>
      </c>
      <c r="E67" s="3">
        <v>2.4330031600011E13</v>
      </c>
      <c r="F67" s="4">
        <v>43535.0</v>
      </c>
      <c r="G67" s="3" t="s">
        <v>529</v>
      </c>
      <c r="H67" s="3">
        <v>4.2008956700036E13</v>
      </c>
      <c r="I67" s="3" t="s">
        <v>545</v>
      </c>
      <c r="J67" s="3" t="s">
        <v>17</v>
      </c>
      <c r="K67" s="3" t="s">
        <v>18</v>
      </c>
      <c r="L67" s="3" t="s">
        <v>546</v>
      </c>
      <c r="M67" s="3" t="s">
        <v>20</v>
      </c>
      <c r="N67" s="3" t="s">
        <v>21</v>
      </c>
      <c r="O67" s="3">
        <v>1.0</v>
      </c>
    </row>
    <row r="68">
      <c r="A68" s="3" t="s">
        <v>351</v>
      </c>
      <c r="B68" s="3">
        <v>14250.0</v>
      </c>
      <c r="C68" s="4">
        <v>43724.0</v>
      </c>
      <c r="D68" s="3" t="s">
        <v>461</v>
      </c>
      <c r="E68" s="3">
        <v>2.4330031600011E13</v>
      </c>
      <c r="F68" s="4">
        <v>43643.0</v>
      </c>
      <c r="G68" s="3" t="s">
        <v>664</v>
      </c>
      <c r="H68" s="3">
        <v>3.9856806300059E13</v>
      </c>
      <c r="I68" s="3" t="s">
        <v>397</v>
      </c>
      <c r="J68" s="3" t="s">
        <v>17</v>
      </c>
      <c r="K68" s="3" t="s">
        <v>18</v>
      </c>
      <c r="L68" s="3" t="s">
        <v>683</v>
      </c>
      <c r="M68" s="3" t="s">
        <v>20</v>
      </c>
      <c r="N68" s="3" t="s">
        <v>21</v>
      </c>
      <c r="O68" s="3">
        <v>1.0</v>
      </c>
    </row>
    <row r="69">
      <c r="A69" s="3" t="s">
        <v>725</v>
      </c>
      <c r="B69" s="3">
        <v>160000.0</v>
      </c>
      <c r="C69" s="4">
        <v>43724.0</v>
      </c>
      <c r="D69" s="3" t="s">
        <v>461</v>
      </c>
      <c r="E69" s="3">
        <v>2.4330031600011E13</v>
      </c>
      <c r="F69" s="4">
        <v>43703.0</v>
      </c>
      <c r="G69" s="3" t="s">
        <v>724</v>
      </c>
      <c r="H69" s="3">
        <v>4.4336259500037E13</v>
      </c>
      <c r="I69" s="3" t="s">
        <v>726</v>
      </c>
      <c r="J69" s="3" t="s">
        <v>17</v>
      </c>
      <c r="K69" s="3" t="s">
        <v>18</v>
      </c>
      <c r="L69" s="3" t="s">
        <v>727</v>
      </c>
      <c r="M69" s="3" t="s">
        <v>20</v>
      </c>
      <c r="N69" s="3" t="s">
        <v>21</v>
      </c>
      <c r="O69" s="3">
        <v>1.0</v>
      </c>
    </row>
    <row r="70">
      <c r="A70" s="3" t="s">
        <v>752</v>
      </c>
      <c r="B70" s="3">
        <v>50000.0</v>
      </c>
      <c r="C70" s="4">
        <v>43784.0</v>
      </c>
      <c r="D70" s="3" t="s">
        <v>461</v>
      </c>
      <c r="E70" s="3">
        <v>2.4330031600011E13</v>
      </c>
      <c r="F70" s="4">
        <v>43781.0</v>
      </c>
      <c r="G70" s="3" t="s">
        <v>751</v>
      </c>
      <c r="H70" s="3">
        <v>3.7914022100019E13</v>
      </c>
      <c r="I70" s="3" t="s">
        <v>753</v>
      </c>
      <c r="J70" s="3" t="s">
        <v>17</v>
      </c>
      <c r="K70" s="3" t="s">
        <v>18</v>
      </c>
      <c r="L70" s="3" t="s">
        <v>754</v>
      </c>
      <c r="M70" s="3" t="s">
        <v>20</v>
      </c>
      <c r="N70" s="3" t="s">
        <v>21</v>
      </c>
      <c r="O70" s="3">
        <v>1.0</v>
      </c>
    </row>
    <row r="71">
      <c r="A71" s="3" t="s">
        <v>661</v>
      </c>
      <c r="B71" s="3">
        <v>41250.0</v>
      </c>
      <c r="C71" s="4">
        <v>43636.0</v>
      </c>
      <c r="D71" s="3" t="s">
        <v>461</v>
      </c>
      <c r="E71" s="3">
        <v>2.4330031600011E13</v>
      </c>
      <c r="F71" s="4">
        <v>43628.0</v>
      </c>
      <c r="G71" s="3" t="s">
        <v>645</v>
      </c>
      <c r="H71" s="3">
        <v>4.5154609700028E13</v>
      </c>
      <c r="I71" s="3" t="s">
        <v>652</v>
      </c>
      <c r="J71" s="3" t="s">
        <v>17</v>
      </c>
      <c r="K71" s="3" t="s">
        <v>18</v>
      </c>
      <c r="L71" s="3" t="s">
        <v>650</v>
      </c>
      <c r="M71" s="3" t="s">
        <v>20</v>
      </c>
      <c r="N71" s="3" t="s">
        <v>21</v>
      </c>
      <c r="O71" s="3">
        <v>1.0</v>
      </c>
    </row>
    <row r="72">
      <c r="A72" s="3" t="s">
        <v>661</v>
      </c>
      <c r="B72" s="3">
        <v>30000.0</v>
      </c>
      <c r="C72" s="4">
        <v>43724.0</v>
      </c>
      <c r="D72" s="3" t="s">
        <v>461</v>
      </c>
      <c r="E72" s="3">
        <v>2.4330031600011E13</v>
      </c>
      <c r="F72" s="4">
        <v>43643.0</v>
      </c>
      <c r="G72" s="3" t="s">
        <v>645</v>
      </c>
      <c r="H72" s="3">
        <v>4.5154609700028E13</v>
      </c>
      <c r="I72" s="3" t="s">
        <v>682</v>
      </c>
      <c r="J72" s="3" t="s">
        <v>17</v>
      </c>
      <c r="K72" s="3" t="s">
        <v>465</v>
      </c>
      <c r="L72" s="3" t="s">
        <v>683</v>
      </c>
      <c r="M72" s="3" t="s">
        <v>20</v>
      </c>
      <c r="N72" s="3" t="s">
        <v>21</v>
      </c>
      <c r="O72" s="3">
        <v>1.0</v>
      </c>
    </row>
    <row r="73">
      <c r="A73" s="3" t="s">
        <v>658</v>
      </c>
      <c r="B73" s="3">
        <v>204000.0</v>
      </c>
      <c r="C73" s="4">
        <v>43636.0</v>
      </c>
      <c r="D73" s="3" t="s">
        <v>461</v>
      </c>
      <c r="E73" s="3">
        <v>2.4330031600011E13</v>
      </c>
      <c r="F73" s="4">
        <v>43628.0</v>
      </c>
      <c r="G73" s="3" t="s">
        <v>657</v>
      </c>
      <c r="H73" s="3">
        <v>8.1831326400025E13</v>
      </c>
      <c r="I73" s="3" t="s">
        <v>397</v>
      </c>
      <c r="J73" s="3" t="s">
        <v>17</v>
      </c>
      <c r="K73" s="3" t="s">
        <v>18</v>
      </c>
      <c r="L73" s="3" t="s">
        <v>650</v>
      </c>
      <c r="M73" s="3" t="s">
        <v>20</v>
      </c>
      <c r="N73" s="3" t="s">
        <v>21</v>
      </c>
      <c r="O73" s="3">
        <v>1.0</v>
      </c>
    </row>
    <row r="74">
      <c r="A74" s="3" t="s">
        <v>658</v>
      </c>
      <c r="B74" s="3">
        <v>15000.0</v>
      </c>
      <c r="C74" s="4">
        <v>43636.0</v>
      </c>
      <c r="D74" s="3" t="s">
        <v>461</v>
      </c>
      <c r="E74" s="3">
        <v>2.4330031600011E13</v>
      </c>
      <c r="F74" s="4">
        <v>43628.0</v>
      </c>
      <c r="G74" s="3" t="s">
        <v>657</v>
      </c>
      <c r="H74" s="3">
        <v>8.1831326400025E13</v>
      </c>
      <c r="I74" s="3" t="s">
        <v>312</v>
      </c>
      <c r="J74" s="3" t="s">
        <v>17</v>
      </c>
      <c r="K74" s="3" t="s">
        <v>18</v>
      </c>
      <c r="L74" s="3" t="s">
        <v>650</v>
      </c>
      <c r="M74" s="3" t="s">
        <v>20</v>
      </c>
      <c r="N74" s="3" t="s">
        <v>21</v>
      </c>
      <c r="O74" s="3">
        <v>1.0</v>
      </c>
    </row>
    <row r="75">
      <c r="A75" s="3" t="s">
        <v>615</v>
      </c>
      <c r="B75" s="3">
        <v>22310.0</v>
      </c>
      <c r="C75" s="4">
        <v>43636.0</v>
      </c>
      <c r="D75" s="3" t="s">
        <v>461</v>
      </c>
      <c r="E75" s="3">
        <v>2.4330031600011E13</v>
      </c>
      <c r="F75" s="4">
        <v>43607.0</v>
      </c>
      <c r="G75" s="3" t="s">
        <v>603</v>
      </c>
      <c r="H75" s="3">
        <v>8.3273861100017E13</v>
      </c>
      <c r="I75" s="3" t="s">
        <v>616</v>
      </c>
      <c r="J75" s="3" t="s">
        <v>17</v>
      </c>
      <c r="K75" s="3" t="s">
        <v>18</v>
      </c>
      <c r="L75" s="3" t="s">
        <v>617</v>
      </c>
      <c r="M75" s="3" t="s">
        <v>20</v>
      </c>
      <c r="N75" s="3" t="s">
        <v>21</v>
      </c>
      <c r="O75" s="3">
        <v>1.0</v>
      </c>
    </row>
    <row r="76">
      <c r="A76" s="3" t="s">
        <v>463</v>
      </c>
      <c r="B76" s="3">
        <v>5000.0</v>
      </c>
      <c r="C76" s="4">
        <v>43502.0</v>
      </c>
      <c r="D76" s="3" t="s">
        <v>461</v>
      </c>
      <c r="E76" s="3">
        <v>2.4330031600011E13</v>
      </c>
      <c r="F76" s="4">
        <v>43382.0</v>
      </c>
      <c r="G76" s="3" t="s">
        <v>462</v>
      </c>
      <c r="H76" s="3">
        <v>3.1231100400039E13</v>
      </c>
      <c r="I76" s="3" t="s">
        <v>464</v>
      </c>
      <c r="J76" s="3" t="s">
        <v>17</v>
      </c>
      <c r="K76" s="3" t="s">
        <v>465</v>
      </c>
      <c r="L76" s="3" t="s">
        <v>466</v>
      </c>
      <c r="M76" s="3" t="s">
        <v>20</v>
      </c>
      <c r="N76" s="3" t="s">
        <v>21</v>
      </c>
      <c r="O76" s="3">
        <v>1.0</v>
      </c>
    </row>
    <row r="77">
      <c r="A77" s="3" t="s">
        <v>665</v>
      </c>
      <c r="B77" s="3">
        <v>3000.0</v>
      </c>
      <c r="C77" s="4">
        <v>43636.0</v>
      </c>
      <c r="D77" s="3" t="s">
        <v>461</v>
      </c>
      <c r="E77" s="3">
        <v>2.4330031600011E13</v>
      </c>
      <c r="F77" s="4">
        <v>43571.0</v>
      </c>
      <c r="G77" s="3" t="s">
        <v>664</v>
      </c>
      <c r="H77" s="3">
        <v>8.1752354100016E13</v>
      </c>
      <c r="I77" s="3" t="s">
        <v>666</v>
      </c>
      <c r="J77" s="3" t="s">
        <v>17</v>
      </c>
      <c r="K77" s="3" t="s">
        <v>18</v>
      </c>
      <c r="L77" s="3" t="s">
        <v>667</v>
      </c>
      <c r="M77" s="3" t="s">
        <v>20</v>
      </c>
      <c r="N77" s="3" t="s">
        <v>21</v>
      </c>
      <c r="O77" s="3">
        <v>1.0</v>
      </c>
    </row>
    <row r="78">
      <c r="A78" s="3" t="s">
        <v>681</v>
      </c>
      <c r="B78" s="3">
        <v>45000.0</v>
      </c>
      <c r="C78" s="4">
        <v>43724.0</v>
      </c>
      <c r="D78" s="3" t="s">
        <v>461</v>
      </c>
      <c r="E78" s="3">
        <v>2.4330031600011E13</v>
      </c>
      <c r="F78" s="4">
        <v>43642.0</v>
      </c>
      <c r="G78" s="3" t="s">
        <v>680</v>
      </c>
      <c r="H78" s="3">
        <v>3.4975346700043E13</v>
      </c>
      <c r="I78" s="3" t="s">
        <v>512</v>
      </c>
      <c r="J78" s="3" t="s">
        <v>17</v>
      </c>
      <c r="K78" s="3" t="s">
        <v>18</v>
      </c>
      <c r="L78" s="3" t="s">
        <v>674</v>
      </c>
      <c r="M78" s="3" t="s">
        <v>20</v>
      </c>
      <c r="N78" s="3" t="s">
        <v>21</v>
      </c>
      <c r="O78" s="3">
        <v>1.0</v>
      </c>
    </row>
    <row r="79">
      <c r="A79" s="3" t="s">
        <v>681</v>
      </c>
      <c r="B79" s="3">
        <v>45000.0</v>
      </c>
      <c r="C79" s="4">
        <v>43724.0</v>
      </c>
      <c r="D79" s="3" t="s">
        <v>461</v>
      </c>
      <c r="E79" s="3">
        <v>2.4330031600011E13</v>
      </c>
      <c r="F79" s="4">
        <v>43642.0</v>
      </c>
      <c r="G79" s="3" t="s">
        <v>680</v>
      </c>
      <c r="H79" s="3">
        <v>3.4975346700043E13</v>
      </c>
      <c r="I79" s="3" t="s">
        <v>397</v>
      </c>
      <c r="J79" s="3" t="s">
        <v>17</v>
      </c>
      <c r="K79" s="3" t="s">
        <v>18</v>
      </c>
      <c r="L79" s="3" t="s">
        <v>674</v>
      </c>
      <c r="M79" s="3" t="s">
        <v>20</v>
      </c>
      <c r="N79" s="3" t="s">
        <v>21</v>
      </c>
      <c r="O79" s="3">
        <v>1.0</v>
      </c>
    </row>
    <row r="80">
      <c r="A80" s="3" t="s">
        <v>122</v>
      </c>
      <c r="B80" s="3">
        <v>17500.0</v>
      </c>
      <c r="C80" s="4">
        <v>43636.0</v>
      </c>
      <c r="D80" s="3" t="s">
        <v>461</v>
      </c>
      <c r="E80" s="3">
        <v>2.4330031600011E13</v>
      </c>
      <c r="F80" s="4">
        <v>43620.0</v>
      </c>
      <c r="G80" s="3" t="s">
        <v>668</v>
      </c>
      <c r="H80" s="3">
        <v>3.8389023300026E13</v>
      </c>
      <c r="I80" s="3" t="s">
        <v>397</v>
      </c>
      <c r="J80" s="3" t="s">
        <v>17</v>
      </c>
      <c r="K80" s="3" t="s">
        <v>18</v>
      </c>
      <c r="L80" s="3" t="s">
        <v>647</v>
      </c>
      <c r="M80" s="3" t="s">
        <v>20</v>
      </c>
      <c r="N80" s="3" t="s">
        <v>21</v>
      </c>
      <c r="O80" s="3">
        <v>1.0</v>
      </c>
    </row>
    <row r="81">
      <c r="A81" s="3" t="s">
        <v>656</v>
      </c>
      <c r="B81" s="3">
        <v>487775.0</v>
      </c>
      <c r="C81" s="4">
        <v>43636.0</v>
      </c>
      <c r="D81" s="3" t="s">
        <v>461</v>
      </c>
      <c r="E81" s="3">
        <v>2.4330031600011E13</v>
      </c>
      <c r="F81" s="4">
        <v>43621.0</v>
      </c>
      <c r="G81" s="3" t="s">
        <v>655</v>
      </c>
      <c r="H81" s="3">
        <v>4.091998170005E13</v>
      </c>
      <c r="I81" s="3" t="s">
        <v>397</v>
      </c>
      <c r="J81" s="3" t="s">
        <v>17</v>
      </c>
      <c r="K81" s="3" t="s">
        <v>18</v>
      </c>
      <c r="L81" s="3" t="s">
        <v>648</v>
      </c>
      <c r="M81" s="3" t="s">
        <v>20</v>
      </c>
      <c r="N81" s="3" t="s">
        <v>21</v>
      </c>
      <c r="O81" s="3">
        <v>1.0</v>
      </c>
    </row>
    <row r="82">
      <c r="A82" s="3" t="s">
        <v>558</v>
      </c>
      <c r="B82" s="3">
        <v>34000.0</v>
      </c>
      <c r="C82" s="4">
        <v>43557.0</v>
      </c>
      <c r="D82" s="3" t="s">
        <v>461</v>
      </c>
      <c r="E82" s="3">
        <v>2.4330031600011E13</v>
      </c>
      <c r="F82" s="4">
        <v>43523.0</v>
      </c>
      <c r="G82" s="6">
        <v>43647.0</v>
      </c>
      <c r="H82" s="3">
        <v>4.2052348000016E13</v>
      </c>
      <c r="I82" s="3" t="s">
        <v>559</v>
      </c>
      <c r="J82" s="3" t="s">
        <v>17</v>
      </c>
      <c r="K82" s="3" t="s">
        <v>18</v>
      </c>
      <c r="L82" s="3" t="s">
        <v>560</v>
      </c>
      <c r="M82" s="3" t="s">
        <v>20</v>
      </c>
      <c r="N82" s="3" t="s">
        <v>21</v>
      </c>
      <c r="O82" s="3">
        <v>1.0</v>
      </c>
    </row>
    <row r="83">
      <c r="A83" s="3" t="s">
        <v>649</v>
      </c>
      <c r="B83" s="3">
        <v>6600.0</v>
      </c>
      <c r="C83" s="4">
        <v>43636.0</v>
      </c>
      <c r="D83" s="3" t="s">
        <v>461</v>
      </c>
      <c r="E83" s="3">
        <v>2.4330031600011E13</v>
      </c>
      <c r="F83" s="4">
        <v>43628.0</v>
      </c>
      <c r="G83" s="3" t="s">
        <v>603</v>
      </c>
      <c r="H83" s="3">
        <v>8.2155741000015E13</v>
      </c>
      <c r="I83" s="3" t="s">
        <v>621</v>
      </c>
      <c r="J83" s="3" t="s">
        <v>17</v>
      </c>
      <c r="K83" s="3" t="s">
        <v>18</v>
      </c>
      <c r="L83" s="3" t="s">
        <v>650</v>
      </c>
      <c r="M83" s="3" t="s">
        <v>20</v>
      </c>
      <c r="N83" s="3" t="s">
        <v>21</v>
      </c>
      <c r="O83" s="3">
        <v>1.0</v>
      </c>
    </row>
    <row r="84">
      <c r="A84" s="3" t="s">
        <v>714</v>
      </c>
      <c r="B84" s="3">
        <v>4000.0</v>
      </c>
      <c r="C84" s="4">
        <v>43724.0</v>
      </c>
      <c r="D84" s="3" t="s">
        <v>461</v>
      </c>
      <c r="E84" s="3">
        <v>2.4330031600011E13</v>
      </c>
      <c r="F84" s="4">
        <v>43677.0</v>
      </c>
      <c r="G84" s="3" t="s">
        <v>707</v>
      </c>
      <c r="H84" s="3">
        <v>3.3483378700011E13</v>
      </c>
      <c r="I84" s="3" t="s">
        <v>397</v>
      </c>
      <c r="J84" s="3" t="s">
        <v>17</v>
      </c>
      <c r="K84" s="3" t="s">
        <v>465</v>
      </c>
      <c r="L84" s="3" t="s">
        <v>711</v>
      </c>
      <c r="M84" s="3" t="s">
        <v>20</v>
      </c>
      <c r="N84" s="3" t="s">
        <v>21</v>
      </c>
      <c r="O84" s="3">
        <v>1.0</v>
      </c>
    </row>
    <row r="85">
      <c r="A85" s="3" t="s">
        <v>620</v>
      </c>
      <c r="B85" s="3">
        <v>15000.0</v>
      </c>
      <c r="C85" s="4">
        <v>43636.0</v>
      </c>
      <c r="D85" s="3" t="s">
        <v>461</v>
      </c>
      <c r="E85" s="3">
        <v>2.4330031600011E13</v>
      </c>
      <c r="F85" s="4">
        <v>43606.0</v>
      </c>
      <c r="G85" s="3" t="s">
        <v>603</v>
      </c>
      <c r="H85" s="3">
        <v>8.0016249700039E13</v>
      </c>
      <c r="I85" s="3" t="s">
        <v>621</v>
      </c>
      <c r="J85" s="3" t="s">
        <v>17</v>
      </c>
      <c r="K85" s="3" t="s">
        <v>18</v>
      </c>
      <c r="L85" s="3" t="s">
        <v>605</v>
      </c>
      <c r="M85" s="3" t="s">
        <v>20</v>
      </c>
      <c r="N85" s="3" t="s">
        <v>21</v>
      </c>
      <c r="O85" s="3">
        <v>1.0</v>
      </c>
    </row>
    <row r="86">
      <c r="A86" s="3" t="s">
        <v>635</v>
      </c>
      <c r="B86" s="3">
        <v>12500.0</v>
      </c>
      <c r="C86" s="4">
        <v>43636.0</v>
      </c>
      <c r="D86" s="3" t="s">
        <v>461</v>
      </c>
      <c r="E86" s="3">
        <v>2.4330031600011E13</v>
      </c>
      <c r="F86" s="4">
        <v>43619.0</v>
      </c>
      <c r="G86" s="3" t="s">
        <v>603</v>
      </c>
      <c r="H86" s="3">
        <v>8.2469850000017E13</v>
      </c>
      <c r="I86" s="3" t="s">
        <v>621</v>
      </c>
      <c r="J86" s="3" t="s">
        <v>17</v>
      </c>
      <c r="K86" s="3" t="s">
        <v>18</v>
      </c>
      <c r="L86" s="3" t="s">
        <v>636</v>
      </c>
      <c r="M86" s="3" t="s">
        <v>20</v>
      </c>
      <c r="N86" s="3" t="s">
        <v>21</v>
      </c>
      <c r="O86" s="3">
        <v>1.0</v>
      </c>
    </row>
    <row r="87">
      <c r="A87" s="3" t="s">
        <v>583</v>
      </c>
      <c r="B87" s="3">
        <v>27500.0</v>
      </c>
      <c r="C87" s="4">
        <v>43636.0</v>
      </c>
      <c r="D87" s="3" t="s">
        <v>461</v>
      </c>
      <c r="E87" s="3">
        <v>2.4330031600011E13</v>
      </c>
      <c r="F87" s="4">
        <v>43557.0</v>
      </c>
      <c r="G87" s="3" t="s">
        <v>582</v>
      </c>
      <c r="H87" s="3">
        <v>8.4474944000013E13</v>
      </c>
      <c r="I87" s="3" t="s">
        <v>584</v>
      </c>
      <c r="J87" s="3" t="s">
        <v>17</v>
      </c>
      <c r="K87" s="3" t="s">
        <v>18</v>
      </c>
      <c r="L87" s="3" t="s">
        <v>585</v>
      </c>
      <c r="M87" s="3" t="s">
        <v>20</v>
      </c>
      <c r="N87" s="3" t="s">
        <v>21</v>
      </c>
      <c r="O87" s="3">
        <v>1.0</v>
      </c>
    </row>
    <row r="88">
      <c r="A88" s="3" t="s">
        <v>509</v>
      </c>
      <c r="B88" s="3">
        <v>14500.0</v>
      </c>
      <c r="C88" s="4">
        <v>43502.0</v>
      </c>
      <c r="D88" s="3" t="s">
        <v>461</v>
      </c>
      <c r="E88" s="3">
        <v>2.4330031600011E13</v>
      </c>
      <c r="F88" s="4">
        <v>43452.0</v>
      </c>
      <c r="G88" s="3" t="s">
        <v>508</v>
      </c>
      <c r="H88" s="3">
        <v>5.2539664400011E13</v>
      </c>
      <c r="I88" s="3" t="s">
        <v>510</v>
      </c>
      <c r="J88" s="3" t="s">
        <v>17</v>
      </c>
      <c r="K88" s="3" t="s">
        <v>465</v>
      </c>
      <c r="L88" s="3" t="s">
        <v>489</v>
      </c>
      <c r="M88" s="3" t="s">
        <v>20</v>
      </c>
      <c r="N88" s="3" t="s">
        <v>21</v>
      </c>
      <c r="O88" s="3">
        <v>1.0</v>
      </c>
    </row>
    <row r="89">
      <c r="A89" s="3" t="s">
        <v>509</v>
      </c>
      <c r="B89" s="3">
        <v>25000.0</v>
      </c>
      <c r="C89" s="4">
        <v>43784.0</v>
      </c>
      <c r="D89" s="3" t="s">
        <v>461</v>
      </c>
      <c r="E89" s="3">
        <v>2.4330031600011E13</v>
      </c>
      <c r="F89" s="4">
        <v>43763.0</v>
      </c>
      <c r="G89" s="3" t="s">
        <v>738</v>
      </c>
      <c r="H89" s="3">
        <v>5.2539664400011E13</v>
      </c>
      <c r="I89" s="3" t="s">
        <v>444</v>
      </c>
      <c r="J89" s="3" t="s">
        <v>17</v>
      </c>
      <c r="K89" s="3" t="s">
        <v>18</v>
      </c>
      <c r="L89" s="3" t="s">
        <v>741</v>
      </c>
      <c r="M89" s="3" t="s">
        <v>20</v>
      </c>
      <c r="N89" s="3" t="s">
        <v>21</v>
      </c>
      <c r="O89" s="3">
        <v>1.0</v>
      </c>
    </row>
    <row r="90">
      <c r="A90" s="3" t="s">
        <v>631</v>
      </c>
      <c r="B90" s="3">
        <v>9000.0</v>
      </c>
      <c r="C90" s="4">
        <v>43636.0</v>
      </c>
      <c r="D90" s="3" t="s">
        <v>461</v>
      </c>
      <c r="E90" s="3">
        <v>2.4330031600011E13</v>
      </c>
      <c r="F90" s="4">
        <v>43613.0</v>
      </c>
      <c r="G90" s="3" t="s">
        <v>603</v>
      </c>
      <c r="H90" s="3">
        <v>4.846680250003E13</v>
      </c>
      <c r="I90" s="3" t="s">
        <v>621</v>
      </c>
      <c r="J90" s="3" t="s">
        <v>17</v>
      </c>
      <c r="K90" s="3" t="s">
        <v>18</v>
      </c>
      <c r="L90" s="3" t="s">
        <v>630</v>
      </c>
      <c r="M90" s="3" t="s">
        <v>20</v>
      </c>
      <c r="N90" s="3" t="s">
        <v>21</v>
      </c>
      <c r="O90" s="3">
        <v>1.0</v>
      </c>
    </row>
    <row r="91">
      <c r="A91" s="3" t="s">
        <v>543</v>
      </c>
      <c r="B91" s="3">
        <v>7000.0</v>
      </c>
      <c r="C91" s="4">
        <v>43557.0</v>
      </c>
      <c r="D91" s="3" t="s">
        <v>461</v>
      </c>
      <c r="E91" s="3">
        <v>2.4330031600011E13</v>
      </c>
      <c r="F91" s="4">
        <v>43532.0</v>
      </c>
      <c r="G91" s="3" t="s">
        <v>542</v>
      </c>
      <c r="H91" s="3">
        <v>8.4217399900017E13</v>
      </c>
      <c r="I91" s="3" t="s">
        <v>544</v>
      </c>
      <c r="J91" s="3" t="s">
        <v>17</v>
      </c>
      <c r="K91" s="3" t="s">
        <v>18</v>
      </c>
      <c r="L91" s="3" t="s">
        <v>541</v>
      </c>
      <c r="M91" s="3" t="s">
        <v>20</v>
      </c>
      <c r="N91" s="3" t="s">
        <v>21</v>
      </c>
      <c r="O91" s="3">
        <v>1.0</v>
      </c>
    </row>
    <row r="92">
      <c r="A92" s="3" t="s">
        <v>488</v>
      </c>
      <c r="B92" s="3">
        <v>15000.0</v>
      </c>
      <c r="C92" s="4">
        <v>43502.0</v>
      </c>
      <c r="D92" s="3" t="s">
        <v>461</v>
      </c>
      <c r="E92" s="3">
        <v>2.4330031600011E13</v>
      </c>
      <c r="F92" s="4">
        <v>43452.0</v>
      </c>
      <c r="G92" s="3" t="s">
        <v>487</v>
      </c>
      <c r="H92" s="3">
        <v>7.9493089100013E13</v>
      </c>
      <c r="I92" s="3" t="s">
        <v>276</v>
      </c>
      <c r="J92" s="3" t="s">
        <v>17</v>
      </c>
      <c r="K92" s="3" t="s">
        <v>18</v>
      </c>
      <c r="L92" s="3" t="s">
        <v>489</v>
      </c>
      <c r="M92" s="3" t="s">
        <v>20</v>
      </c>
      <c r="N92" s="3" t="s">
        <v>21</v>
      </c>
      <c r="O92" s="3">
        <v>1.0</v>
      </c>
    </row>
    <row r="93">
      <c r="A93" s="3" t="s">
        <v>688</v>
      </c>
      <c r="B93" s="3">
        <v>4500.0</v>
      </c>
      <c r="C93" s="4">
        <v>43724.0</v>
      </c>
      <c r="D93" s="3" t="s">
        <v>461</v>
      </c>
      <c r="E93" s="3">
        <v>2.4330031600011E13</v>
      </c>
      <c r="F93" s="4">
        <v>43635.0</v>
      </c>
      <c r="G93" s="3" t="s">
        <v>664</v>
      </c>
      <c r="H93" s="3">
        <v>8.2978181400019E13</v>
      </c>
      <c r="I93" s="3" t="s">
        <v>397</v>
      </c>
      <c r="J93" s="3" t="s">
        <v>17</v>
      </c>
      <c r="K93" s="3" t="s">
        <v>18</v>
      </c>
      <c r="L93" s="3" t="s">
        <v>676</v>
      </c>
      <c r="M93" s="3" t="s">
        <v>20</v>
      </c>
      <c r="N93" s="3" t="s">
        <v>21</v>
      </c>
      <c r="O93" s="3">
        <v>1.0</v>
      </c>
    </row>
    <row r="94">
      <c r="A94" s="3" t="s">
        <v>607</v>
      </c>
      <c r="B94" s="3">
        <v>55000.0</v>
      </c>
      <c r="C94" s="4">
        <v>43636.0</v>
      </c>
      <c r="D94" s="3" t="s">
        <v>461</v>
      </c>
      <c r="E94" s="3">
        <v>2.4330031600011E13</v>
      </c>
      <c r="F94" s="4">
        <v>43585.0</v>
      </c>
      <c r="G94" s="3" t="s">
        <v>606</v>
      </c>
      <c r="H94" s="3">
        <v>8.2959066000017E13</v>
      </c>
      <c r="I94" s="3" t="s">
        <v>397</v>
      </c>
      <c r="J94" s="3" t="s">
        <v>17</v>
      </c>
      <c r="K94" s="3" t="s">
        <v>18</v>
      </c>
      <c r="L94" s="3" t="s">
        <v>608</v>
      </c>
      <c r="M94" s="3" t="s">
        <v>20</v>
      </c>
      <c r="N94" s="3" t="s">
        <v>21</v>
      </c>
      <c r="O94" s="3">
        <v>1.0</v>
      </c>
    </row>
    <row r="95">
      <c r="A95" s="3" t="s">
        <v>277</v>
      </c>
      <c r="B95" s="3">
        <v>15000.0</v>
      </c>
      <c r="C95" s="4">
        <v>43557.0</v>
      </c>
      <c r="D95" s="3" t="s">
        <v>461</v>
      </c>
      <c r="E95" s="3">
        <v>2.4330031600011E13</v>
      </c>
      <c r="F95" s="4">
        <v>43521.0</v>
      </c>
      <c r="G95" s="3" t="s">
        <v>529</v>
      </c>
      <c r="H95" s="3">
        <v>4.3434085700037E13</v>
      </c>
      <c r="I95" s="3" t="s">
        <v>561</v>
      </c>
      <c r="J95" s="3" t="s">
        <v>17</v>
      </c>
      <c r="K95" s="3" t="s">
        <v>18</v>
      </c>
      <c r="L95" s="3" t="s">
        <v>562</v>
      </c>
      <c r="M95" s="3" t="s">
        <v>20</v>
      </c>
      <c r="N95" s="3" t="s">
        <v>21</v>
      </c>
      <c r="O95" s="3">
        <v>1.0</v>
      </c>
    </row>
    <row r="96">
      <c r="A96" s="3" t="s">
        <v>632</v>
      </c>
      <c r="B96" s="3">
        <v>8826.0</v>
      </c>
      <c r="C96" s="4">
        <v>43636.0</v>
      </c>
      <c r="D96" s="3" t="s">
        <v>461</v>
      </c>
      <c r="E96" s="3">
        <v>2.4330031600011E13</v>
      </c>
      <c r="F96" s="4">
        <v>43613.0</v>
      </c>
      <c r="G96" s="3" t="s">
        <v>603</v>
      </c>
      <c r="H96" s="3">
        <v>4.9206573500028E13</v>
      </c>
      <c r="I96" s="3" t="s">
        <v>621</v>
      </c>
      <c r="J96" s="3" t="s">
        <v>17</v>
      </c>
      <c r="K96" s="3" t="s">
        <v>18</v>
      </c>
      <c r="L96" s="3" t="s">
        <v>630</v>
      </c>
      <c r="M96" s="3" t="s">
        <v>20</v>
      </c>
      <c r="N96" s="3" t="s">
        <v>21</v>
      </c>
      <c r="O96" s="3">
        <v>1.0</v>
      </c>
    </row>
    <row r="97">
      <c r="A97" s="3" t="s">
        <v>721</v>
      </c>
      <c r="B97" s="3">
        <v>50000.0</v>
      </c>
      <c r="C97" s="4">
        <v>43724.0</v>
      </c>
      <c r="D97" s="3" t="s">
        <v>461</v>
      </c>
      <c r="E97" s="3">
        <v>2.4330031600011E13</v>
      </c>
      <c r="F97" s="4">
        <v>43699.0</v>
      </c>
      <c r="G97" s="3" t="s">
        <v>720</v>
      </c>
      <c r="H97" s="3">
        <v>8.1292453800018E13</v>
      </c>
      <c r="I97" s="3" t="s">
        <v>722</v>
      </c>
      <c r="J97" s="3" t="s">
        <v>17</v>
      </c>
      <c r="K97" s="3" t="s">
        <v>18</v>
      </c>
      <c r="L97" s="3" t="s">
        <v>723</v>
      </c>
      <c r="M97" s="3" t="s">
        <v>20</v>
      </c>
      <c r="N97" s="3" t="s">
        <v>21</v>
      </c>
      <c r="O97" s="3">
        <v>1.0</v>
      </c>
    </row>
    <row r="98">
      <c r="A98" s="3" t="s">
        <v>519</v>
      </c>
      <c r="B98" s="3">
        <v>25000.0</v>
      </c>
      <c r="C98" s="4">
        <v>43557.0</v>
      </c>
      <c r="D98" s="3" t="s">
        <v>461</v>
      </c>
      <c r="E98" s="3">
        <v>2.4330031600011E13</v>
      </c>
      <c r="F98" s="4">
        <v>43515.0</v>
      </c>
      <c r="G98" s="3" t="s">
        <v>518</v>
      </c>
      <c r="H98" s="3">
        <v>3.3986341700418E13</v>
      </c>
      <c r="I98" s="3" t="s">
        <v>520</v>
      </c>
      <c r="J98" s="3" t="s">
        <v>17</v>
      </c>
      <c r="K98" s="3" t="s">
        <v>18</v>
      </c>
      <c r="L98" s="3" t="s">
        <v>521</v>
      </c>
      <c r="M98" s="3" t="s">
        <v>20</v>
      </c>
      <c r="N98" s="3" t="s">
        <v>21</v>
      </c>
      <c r="O98" s="3">
        <v>1.0</v>
      </c>
    </row>
    <row r="99">
      <c r="A99" s="3" t="s">
        <v>164</v>
      </c>
      <c r="B99" s="3">
        <v>6000.0</v>
      </c>
      <c r="C99" s="4">
        <v>43636.0</v>
      </c>
      <c r="D99" s="3" t="s">
        <v>461</v>
      </c>
      <c r="E99" s="3">
        <v>2.4330031600011E13</v>
      </c>
      <c r="F99" s="4">
        <v>43606.0</v>
      </c>
      <c r="G99" s="3" t="s">
        <v>603</v>
      </c>
      <c r="H99" s="3">
        <v>4.5227479800035E13</v>
      </c>
      <c r="I99" s="3" t="s">
        <v>604</v>
      </c>
      <c r="J99" s="3" t="s">
        <v>17</v>
      </c>
      <c r="K99" s="3" t="s">
        <v>18</v>
      </c>
      <c r="L99" s="3" t="s">
        <v>605</v>
      </c>
      <c r="M99" s="3" t="s">
        <v>20</v>
      </c>
      <c r="N99" s="3" t="s">
        <v>21</v>
      </c>
      <c r="O99" s="3">
        <v>1.0</v>
      </c>
    </row>
    <row r="100">
      <c r="A100" s="3" t="s">
        <v>710</v>
      </c>
      <c r="B100" s="3">
        <v>25000.0</v>
      </c>
      <c r="C100" s="4">
        <v>43724.0</v>
      </c>
      <c r="D100" s="3" t="s">
        <v>461</v>
      </c>
      <c r="E100" s="3">
        <v>2.4330031600011E13</v>
      </c>
      <c r="F100" s="4">
        <v>43677.0</v>
      </c>
      <c r="G100" s="3" t="s">
        <v>709</v>
      </c>
      <c r="H100" s="3">
        <v>4.9058526200069E13</v>
      </c>
      <c r="I100" s="3" t="s">
        <v>397</v>
      </c>
      <c r="J100" s="3" t="s">
        <v>17</v>
      </c>
      <c r="K100" s="3" t="s">
        <v>18</v>
      </c>
      <c r="L100" s="3" t="s">
        <v>711</v>
      </c>
      <c r="M100" s="3" t="s">
        <v>20</v>
      </c>
      <c r="N100" s="3" t="s">
        <v>21</v>
      </c>
      <c r="O100" s="3">
        <v>1.0</v>
      </c>
    </row>
    <row r="101">
      <c r="A101" s="3" t="s">
        <v>568</v>
      </c>
      <c r="B101" s="3">
        <v>230000.0</v>
      </c>
      <c r="C101" s="4">
        <v>43557.0</v>
      </c>
      <c r="D101" s="3" t="s">
        <v>461</v>
      </c>
      <c r="E101" s="3">
        <v>2.4330031600011E13</v>
      </c>
      <c r="F101" s="4">
        <v>43531.0</v>
      </c>
      <c r="G101" s="3" t="s">
        <v>567</v>
      </c>
      <c r="H101" s="3">
        <v>4.9058526200069E13</v>
      </c>
      <c r="I101" s="3" t="s">
        <v>397</v>
      </c>
      <c r="J101" s="3" t="s">
        <v>17</v>
      </c>
      <c r="K101" s="3" t="s">
        <v>18</v>
      </c>
      <c r="L101" s="3" t="s">
        <v>569</v>
      </c>
      <c r="M101" s="3" t="s">
        <v>20</v>
      </c>
      <c r="N101" s="3" t="s">
        <v>21</v>
      </c>
      <c r="O101" s="3">
        <v>1.0</v>
      </c>
    </row>
    <row r="102">
      <c r="A102" s="3" t="s">
        <v>568</v>
      </c>
      <c r="B102" s="3">
        <v>228000.0</v>
      </c>
      <c r="C102" s="4">
        <v>43636.0</v>
      </c>
      <c r="D102" s="3" t="s">
        <v>461</v>
      </c>
      <c r="E102" s="3">
        <v>2.4330031600011E13</v>
      </c>
      <c r="F102" s="4">
        <v>43620.0</v>
      </c>
      <c r="G102" s="3" t="s">
        <v>644</v>
      </c>
      <c r="H102" s="3">
        <v>4.9058526200069E13</v>
      </c>
      <c r="I102" s="3" t="s">
        <v>453</v>
      </c>
      <c r="J102" s="3" t="s">
        <v>17</v>
      </c>
      <c r="K102" s="3" t="s">
        <v>18</v>
      </c>
      <c r="L102" s="3" t="s">
        <v>647</v>
      </c>
      <c r="M102" s="3" t="s">
        <v>20</v>
      </c>
      <c r="N102" s="3" t="s">
        <v>21</v>
      </c>
      <c r="O102" s="3">
        <v>1.0</v>
      </c>
    </row>
    <row r="103">
      <c r="A103" s="3" t="s">
        <v>736</v>
      </c>
      <c r="B103" s="3">
        <v>56400.0</v>
      </c>
      <c r="C103" s="4">
        <v>43784.0</v>
      </c>
      <c r="D103" s="3" t="s">
        <v>461</v>
      </c>
      <c r="E103" s="3">
        <v>2.4330031600011E13</v>
      </c>
      <c r="F103" s="4">
        <v>43759.0</v>
      </c>
      <c r="G103" s="3" t="s">
        <v>735</v>
      </c>
      <c r="H103" s="3">
        <v>5.1779186900012E13</v>
      </c>
      <c r="I103" s="3" t="s">
        <v>397</v>
      </c>
      <c r="J103" s="3" t="s">
        <v>17</v>
      </c>
      <c r="K103" s="3" t="s">
        <v>18</v>
      </c>
      <c r="L103" s="3" t="s">
        <v>737</v>
      </c>
      <c r="M103" s="3" t="s">
        <v>20</v>
      </c>
      <c r="N103" s="3" t="s">
        <v>21</v>
      </c>
      <c r="O103" s="3">
        <v>1.0</v>
      </c>
    </row>
    <row r="104">
      <c r="A104" s="3" t="s">
        <v>730</v>
      </c>
      <c r="B104" s="3">
        <v>8000.0</v>
      </c>
      <c r="C104" s="4">
        <v>43724.0</v>
      </c>
      <c r="D104" s="3" t="s">
        <v>461</v>
      </c>
      <c r="E104" s="3">
        <v>2.4330031600011E13</v>
      </c>
      <c r="F104" s="4">
        <v>43703.0</v>
      </c>
      <c r="G104" s="3" t="s">
        <v>724</v>
      </c>
      <c r="H104" s="3">
        <v>5.2425936300017E13</v>
      </c>
      <c r="I104" s="3" t="s">
        <v>731</v>
      </c>
      <c r="J104" s="3" t="s">
        <v>17</v>
      </c>
      <c r="K104" s="3" t="s">
        <v>18</v>
      </c>
      <c r="L104" s="3" t="s">
        <v>727</v>
      </c>
      <c r="M104" s="3" t="s">
        <v>20</v>
      </c>
      <c r="N104" s="3" t="s">
        <v>21</v>
      </c>
      <c r="O104" s="3">
        <v>1.0</v>
      </c>
    </row>
    <row r="105">
      <c r="A105" s="3" t="s">
        <v>577</v>
      </c>
      <c r="B105" s="3">
        <v>91379.0</v>
      </c>
      <c r="C105" s="4">
        <v>43557.0</v>
      </c>
      <c r="D105" s="3" t="s">
        <v>461</v>
      </c>
      <c r="E105" s="3">
        <v>2.4330031600011E13</v>
      </c>
      <c r="F105" s="4">
        <v>43511.0</v>
      </c>
      <c r="G105" s="3" t="s">
        <v>576</v>
      </c>
      <c r="H105" s="3">
        <v>3.4221545600043E13</v>
      </c>
      <c r="I105" s="3" t="s">
        <v>397</v>
      </c>
      <c r="J105" s="3" t="s">
        <v>17</v>
      </c>
      <c r="K105" s="3" t="s">
        <v>18</v>
      </c>
      <c r="L105" s="3" t="s">
        <v>578</v>
      </c>
      <c r="M105" s="3" t="s">
        <v>20</v>
      </c>
      <c r="N105" s="3" t="s">
        <v>21</v>
      </c>
      <c r="O105" s="3">
        <v>1.0</v>
      </c>
    </row>
    <row r="106">
      <c r="A106" s="3" t="s">
        <v>629</v>
      </c>
      <c r="B106" s="3">
        <v>6700.0</v>
      </c>
      <c r="C106" s="4">
        <v>43636.0</v>
      </c>
      <c r="D106" s="3" t="s">
        <v>461</v>
      </c>
      <c r="E106" s="3">
        <v>2.4330031600011E13</v>
      </c>
      <c r="F106" s="4">
        <v>43613.0</v>
      </c>
      <c r="G106" s="3" t="s">
        <v>603</v>
      </c>
      <c r="H106" s="3">
        <v>5.1066013700033E13</v>
      </c>
      <c r="I106" s="3" t="s">
        <v>621</v>
      </c>
      <c r="J106" s="3" t="s">
        <v>17</v>
      </c>
      <c r="K106" s="3" t="s">
        <v>18</v>
      </c>
      <c r="L106" s="3" t="s">
        <v>630</v>
      </c>
      <c r="M106" s="3" t="s">
        <v>20</v>
      </c>
      <c r="N106" s="3" t="s">
        <v>21</v>
      </c>
      <c r="O106" s="3">
        <v>1.0</v>
      </c>
    </row>
    <row r="107">
      <c r="A107" s="3" t="s">
        <v>84</v>
      </c>
      <c r="B107" s="3">
        <v>25000.0</v>
      </c>
      <c r="C107" s="4">
        <v>43557.0</v>
      </c>
      <c r="D107" s="3" t="s">
        <v>461</v>
      </c>
      <c r="E107" s="3">
        <v>2.4330031600011E13</v>
      </c>
      <c r="F107" s="4">
        <v>43508.0</v>
      </c>
      <c r="G107" s="3" t="s">
        <v>529</v>
      </c>
      <c r="H107" s="3">
        <v>3.4169319000033E13</v>
      </c>
      <c r="I107" s="3" t="s">
        <v>553</v>
      </c>
      <c r="J107" s="3" t="s">
        <v>17</v>
      </c>
      <c r="K107" s="3" t="s">
        <v>18</v>
      </c>
      <c r="L107" s="3" t="s">
        <v>554</v>
      </c>
      <c r="M107" s="3" t="s">
        <v>20</v>
      </c>
      <c r="N107" s="3" t="s">
        <v>21</v>
      </c>
      <c r="O107" s="3">
        <v>1.0</v>
      </c>
    </row>
    <row r="108">
      <c r="A108" s="3" t="s">
        <v>84</v>
      </c>
      <c r="B108" s="3">
        <v>33250.0</v>
      </c>
      <c r="C108" s="4">
        <v>43557.0</v>
      </c>
      <c r="D108" s="3" t="s">
        <v>461</v>
      </c>
      <c r="E108" s="3">
        <v>2.4330031600011E13</v>
      </c>
      <c r="F108" s="4">
        <v>43441.0</v>
      </c>
      <c r="G108" s="3" t="s">
        <v>555</v>
      </c>
      <c r="H108" s="3">
        <v>3.4169319000033E13</v>
      </c>
      <c r="I108" s="3" t="s">
        <v>556</v>
      </c>
      <c r="J108" s="3" t="s">
        <v>17</v>
      </c>
      <c r="K108" s="3" t="s">
        <v>18</v>
      </c>
      <c r="L108" s="3" t="s">
        <v>557</v>
      </c>
      <c r="M108" s="3" t="s">
        <v>20</v>
      </c>
      <c r="N108" s="3" t="s">
        <v>21</v>
      </c>
      <c r="O108" s="3">
        <v>1.0</v>
      </c>
    </row>
    <row r="109">
      <c r="A109" s="3" t="s">
        <v>84</v>
      </c>
      <c r="B109" s="3">
        <v>40000.0</v>
      </c>
      <c r="C109" s="4">
        <v>43636.0</v>
      </c>
      <c r="D109" s="3" t="s">
        <v>461</v>
      </c>
      <c r="E109" s="3">
        <v>2.4330031600011E13</v>
      </c>
      <c r="F109" s="4">
        <v>43621.0</v>
      </c>
      <c r="G109" s="3" t="s">
        <v>603</v>
      </c>
      <c r="H109" s="3">
        <v>3.4169319000033E13</v>
      </c>
      <c r="I109" s="3" t="s">
        <v>621</v>
      </c>
      <c r="J109" s="3" t="s">
        <v>17</v>
      </c>
      <c r="K109" s="3" t="s">
        <v>18</v>
      </c>
      <c r="L109" s="3" t="s">
        <v>648</v>
      </c>
      <c r="M109" s="3" t="s">
        <v>20</v>
      </c>
      <c r="N109" s="3" t="s">
        <v>21</v>
      </c>
      <c r="O109" s="3">
        <v>1.0</v>
      </c>
    </row>
    <row r="110">
      <c r="A110" s="3" t="s">
        <v>481</v>
      </c>
      <c r="B110" s="3">
        <v>225000.0</v>
      </c>
      <c r="C110" s="4">
        <v>43502.0</v>
      </c>
      <c r="D110" s="3" t="s">
        <v>461</v>
      </c>
      <c r="E110" s="3">
        <v>2.4330031600011E13</v>
      </c>
      <c r="F110" s="4">
        <v>43444.0</v>
      </c>
      <c r="G110" s="3" t="s">
        <v>480</v>
      </c>
      <c r="H110" s="3">
        <v>8.1195928700012E13</v>
      </c>
      <c r="I110" s="3" t="s">
        <v>482</v>
      </c>
      <c r="J110" s="3" t="s">
        <v>17</v>
      </c>
      <c r="K110" s="3" t="s">
        <v>18</v>
      </c>
      <c r="L110" s="3" t="s">
        <v>483</v>
      </c>
      <c r="M110" s="3" t="s">
        <v>20</v>
      </c>
      <c r="N110" s="3" t="s">
        <v>21</v>
      </c>
      <c r="O110" s="3">
        <v>1.0</v>
      </c>
    </row>
    <row r="111">
      <c r="A111" s="3" t="s">
        <v>540</v>
      </c>
      <c r="B111" s="3">
        <v>3000000.0</v>
      </c>
      <c r="C111" s="4">
        <v>43557.0</v>
      </c>
      <c r="D111" s="3" t="s">
        <v>461</v>
      </c>
      <c r="E111" s="3">
        <v>2.4330031600011E13</v>
      </c>
      <c r="F111" s="4">
        <v>43532.0</v>
      </c>
      <c r="G111" s="3" t="s">
        <v>539</v>
      </c>
      <c r="H111" s="3">
        <v>7.8180455400017E13</v>
      </c>
      <c r="I111" s="3" t="s">
        <v>397</v>
      </c>
      <c r="J111" s="3" t="s">
        <v>17</v>
      </c>
      <c r="K111" s="3" t="s">
        <v>18</v>
      </c>
      <c r="L111" s="3" t="s">
        <v>541</v>
      </c>
      <c r="M111" s="3" t="s">
        <v>20</v>
      </c>
      <c r="N111" s="3" t="s">
        <v>21</v>
      </c>
      <c r="O111" s="3">
        <v>1.0</v>
      </c>
    </row>
    <row r="112">
      <c r="A112" s="3" t="s">
        <v>540</v>
      </c>
      <c r="B112" s="3">
        <v>141000.0</v>
      </c>
      <c r="C112" s="4">
        <v>43724.0</v>
      </c>
      <c r="D112" s="3" t="s">
        <v>461</v>
      </c>
      <c r="E112" s="3">
        <v>2.4330031600011E13</v>
      </c>
      <c r="F112" s="4">
        <v>43651.0</v>
      </c>
      <c r="G112" s="3" t="s">
        <v>697</v>
      </c>
      <c r="H112" s="3">
        <v>7.8180455400017E13</v>
      </c>
      <c r="I112" s="3" t="s">
        <v>698</v>
      </c>
      <c r="J112" s="3" t="s">
        <v>17</v>
      </c>
      <c r="K112" s="3" t="s">
        <v>18</v>
      </c>
      <c r="L112" s="3" t="s">
        <v>696</v>
      </c>
      <c r="M112" s="3" t="s">
        <v>20</v>
      </c>
      <c r="N112" s="3" t="s">
        <v>21</v>
      </c>
      <c r="O112" s="3">
        <v>1.0</v>
      </c>
    </row>
    <row r="113">
      <c r="A113" s="3" t="s">
        <v>712</v>
      </c>
      <c r="B113" s="3">
        <v>5800.0</v>
      </c>
      <c r="C113" s="4">
        <v>43724.0</v>
      </c>
      <c r="D113" s="3" t="s">
        <v>461</v>
      </c>
      <c r="E113" s="3">
        <v>2.4330031600011E13</v>
      </c>
      <c r="F113" s="4">
        <v>43684.0</v>
      </c>
      <c r="G113" s="3" t="s">
        <v>603</v>
      </c>
      <c r="H113" s="3">
        <v>7.9981016300011E13</v>
      </c>
      <c r="I113" s="3" t="s">
        <v>397</v>
      </c>
      <c r="J113" s="3" t="s">
        <v>17</v>
      </c>
      <c r="K113" s="3" t="s">
        <v>18</v>
      </c>
      <c r="L113" s="3" t="s">
        <v>713</v>
      </c>
      <c r="M113" s="3" t="s">
        <v>20</v>
      </c>
      <c r="N113" s="3" t="s">
        <v>21</v>
      </c>
      <c r="O113" s="3">
        <v>1.0</v>
      </c>
    </row>
    <row r="114">
      <c r="A114" s="3" t="s">
        <v>548</v>
      </c>
      <c r="B114" s="3">
        <v>15000.0</v>
      </c>
      <c r="C114" s="4">
        <v>43557.0</v>
      </c>
      <c r="D114" s="3" t="s">
        <v>461</v>
      </c>
      <c r="E114" s="3">
        <v>2.4330031600011E13</v>
      </c>
      <c r="F114" s="4">
        <v>43500.0</v>
      </c>
      <c r="G114" s="3" t="s">
        <v>529</v>
      </c>
      <c r="H114" s="3">
        <v>3.5011886500017E13</v>
      </c>
      <c r="I114" s="3" t="s">
        <v>549</v>
      </c>
      <c r="J114" s="3" t="s">
        <v>17</v>
      </c>
      <c r="K114" s="3" t="s">
        <v>18</v>
      </c>
      <c r="L114" s="3" t="s">
        <v>550</v>
      </c>
      <c r="M114" s="3" t="s">
        <v>20</v>
      </c>
      <c r="N114" s="3" t="s">
        <v>21</v>
      </c>
      <c r="O114" s="3">
        <v>1.0</v>
      </c>
    </row>
    <row r="115">
      <c r="A115" s="3" t="s">
        <v>240</v>
      </c>
      <c r="B115" s="3">
        <v>15200.0</v>
      </c>
      <c r="C115" s="4">
        <v>43636.0</v>
      </c>
      <c r="D115" s="3" t="s">
        <v>461</v>
      </c>
      <c r="E115" s="3">
        <v>2.4330031600011E13</v>
      </c>
      <c r="F115" s="4">
        <v>43633.0</v>
      </c>
      <c r="G115" s="3" t="s">
        <v>669</v>
      </c>
      <c r="H115" s="3">
        <v>4.8438218900021E13</v>
      </c>
      <c r="I115" s="3" t="s">
        <v>670</v>
      </c>
      <c r="J115" s="3" t="s">
        <v>17</v>
      </c>
      <c r="K115" s="3" t="s">
        <v>18</v>
      </c>
      <c r="L115" s="3" t="s">
        <v>671</v>
      </c>
      <c r="M115" s="3" t="s">
        <v>20</v>
      </c>
      <c r="N115" s="3" t="s">
        <v>21</v>
      </c>
      <c r="O115" s="3">
        <v>1.0</v>
      </c>
    </row>
    <row r="116">
      <c r="A116" s="3" t="s">
        <v>538</v>
      </c>
      <c r="B116" s="3">
        <v>114000.0</v>
      </c>
      <c r="C116" s="4">
        <v>43557.0</v>
      </c>
      <c r="D116" s="3" t="s">
        <v>461</v>
      </c>
      <c r="E116" s="3">
        <v>2.4330031600011E13</v>
      </c>
      <c r="F116" s="4">
        <v>43516.0</v>
      </c>
      <c r="G116" s="3" t="s">
        <v>529</v>
      </c>
      <c r="H116" s="3">
        <v>4.443375880004E13</v>
      </c>
      <c r="I116" s="3" t="s">
        <v>397</v>
      </c>
      <c r="J116" s="3" t="s">
        <v>17</v>
      </c>
      <c r="K116" s="3" t="s">
        <v>18</v>
      </c>
      <c r="L116" s="3" t="s">
        <v>537</v>
      </c>
      <c r="M116" s="3" t="s">
        <v>20</v>
      </c>
      <c r="N116" s="3" t="s">
        <v>21</v>
      </c>
      <c r="O116" s="3">
        <v>1.0</v>
      </c>
    </row>
    <row r="117">
      <c r="A117" s="3" t="s">
        <v>739</v>
      </c>
      <c r="B117" s="3">
        <v>25000.0</v>
      </c>
      <c r="C117" s="4">
        <v>43784.0</v>
      </c>
      <c r="D117" s="3" t="s">
        <v>461</v>
      </c>
      <c r="E117" s="3">
        <v>2.4330031600011E13</v>
      </c>
      <c r="F117" s="4">
        <v>43762.0</v>
      </c>
      <c r="G117" s="3" t="s">
        <v>738</v>
      </c>
      <c r="H117" s="3">
        <v>3.7954994200025E13</v>
      </c>
      <c r="I117" s="3" t="s">
        <v>397</v>
      </c>
      <c r="J117" s="3" t="s">
        <v>17</v>
      </c>
      <c r="K117" s="3" t="s">
        <v>18</v>
      </c>
      <c r="L117" s="3" t="s">
        <v>740</v>
      </c>
      <c r="M117" s="3" t="s">
        <v>20</v>
      </c>
      <c r="N117" s="3" t="s">
        <v>21</v>
      </c>
      <c r="O117" s="3">
        <v>1.0</v>
      </c>
    </row>
    <row r="118">
      <c r="A118" s="3" t="s">
        <v>593</v>
      </c>
      <c r="B118" s="3">
        <v>5000.0</v>
      </c>
      <c r="C118" s="4">
        <v>43636.0</v>
      </c>
      <c r="D118" s="3" t="s">
        <v>461</v>
      </c>
      <c r="E118" s="3">
        <v>2.4330031600011E13</v>
      </c>
      <c r="F118" s="4">
        <v>43579.0</v>
      </c>
      <c r="G118" s="3" t="s">
        <v>493</v>
      </c>
      <c r="H118" s="3">
        <v>4.8428659600032E13</v>
      </c>
      <c r="I118" s="3" t="s">
        <v>594</v>
      </c>
      <c r="J118" s="3" t="s">
        <v>17</v>
      </c>
      <c r="K118" s="3" t="s">
        <v>18</v>
      </c>
      <c r="L118" s="3" t="s">
        <v>595</v>
      </c>
      <c r="M118" s="3" t="s">
        <v>20</v>
      </c>
      <c r="N118" s="3" t="s">
        <v>21</v>
      </c>
      <c r="O118" s="3">
        <v>1.0</v>
      </c>
    </row>
    <row r="119">
      <c r="A119" s="3" t="s">
        <v>104</v>
      </c>
      <c r="B119" s="3">
        <v>26000.0</v>
      </c>
      <c r="C119" s="4">
        <v>43724.0</v>
      </c>
      <c r="D119" s="3" t="s">
        <v>461</v>
      </c>
      <c r="E119" s="3">
        <v>2.4330031600011E13</v>
      </c>
      <c r="F119" s="4">
        <v>43703.0</v>
      </c>
      <c r="G119" s="3" t="s">
        <v>724</v>
      </c>
      <c r="H119" s="3">
        <v>5.3389682500023E13</v>
      </c>
      <c r="I119" s="3" t="s">
        <v>728</v>
      </c>
      <c r="J119" s="3" t="s">
        <v>17</v>
      </c>
      <c r="K119" s="3" t="s">
        <v>18</v>
      </c>
      <c r="L119" s="3" t="s">
        <v>727</v>
      </c>
      <c r="M119" s="3" t="s">
        <v>20</v>
      </c>
      <c r="N119" s="3" t="s">
        <v>21</v>
      </c>
      <c r="O119" s="3">
        <v>1.0</v>
      </c>
    </row>
    <row r="120">
      <c r="A120" s="3" t="s">
        <v>502</v>
      </c>
      <c r="B120" s="3">
        <v>400000.0</v>
      </c>
      <c r="C120" s="4">
        <v>43502.0</v>
      </c>
      <c r="D120" s="3" t="s">
        <v>461</v>
      </c>
      <c r="E120" s="3">
        <v>2.4330031600011E13</v>
      </c>
      <c r="F120" s="4">
        <v>43367.0</v>
      </c>
      <c r="G120" s="3" t="s">
        <v>501</v>
      </c>
      <c r="H120" s="3">
        <v>3.2852574600017E13</v>
      </c>
      <c r="I120" s="3" t="s">
        <v>503</v>
      </c>
      <c r="J120" s="3" t="s">
        <v>17</v>
      </c>
      <c r="K120" s="3" t="s">
        <v>18</v>
      </c>
      <c r="L120" s="3" t="s">
        <v>504</v>
      </c>
      <c r="M120" s="3" t="s">
        <v>20</v>
      </c>
      <c r="N120" s="3" t="s">
        <v>21</v>
      </c>
      <c r="O120" s="3">
        <v>1.0</v>
      </c>
    </row>
    <row r="121">
      <c r="A121" s="3" t="s">
        <v>485</v>
      </c>
      <c r="B121" s="3">
        <v>216000.0</v>
      </c>
      <c r="C121" s="4">
        <v>43502.0</v>
      </c>
      <c r="D121" s="3" t="s">
        <v>461</v>
      </c>
      <c r="E121" s="3">
        <v>2.4330031600011E13</v>
      </c>
      <c r="F121" s="4">
        <v>43454.0</v>
      </c>
      <c r="G121" s="3" t="s">
        <v>484</v>
      </c>
      <c r="H121" s="3">
        <v>7.8184854400032E13</v>
      </c>
      <c r="I121" s="3" t="s">
        <v>397</v>
      </c>
      <c r="J121" s="3" t="s">
        <v>17</v>
      </c>
      <c r="K121" s="3" t="s">
        <v>18</v>
      </c>
      <c r="L121" s="3" t="s">
        <v>486</v>
      </c>
      <c r="M121" s="3" t="s">
        <v>20</v>
      </c>
      <c r="N121" s="3" t="s">
        <v>21</v>
      </c>
      <c r="O121" s="3">
        <v>1.0</v>
      </c>
    </row>
    <row r="122">
      <c r="A122" s="3" t="s">
        <v>478</v>
      </c>
      <c r="B122" s="3">
        <v>10000.0</v>
      </c>
      <c r="C122" s="4">
        <v>43502.0</v>
      </c>
      <c r="D122" s="3" t="s">
        <v>461</v>
      </c>
      <c r="E122" s="3">
        <v>2.4330031600011E13</v>
      </c>
      <c r="F122" s="4">
        <v>43363.0</v>
      </c>
      <c r="G122" s="3" t="s">
        <v>477</v>
      </c>
      <c r="H122" s="3">
        <v>4.8782378300013E13</v>
      </c>
      <c r="I122" s="3" t="s">
        <v>464</v>
      </c>
      <c r="J122" s="3" t="s">
        <v>17</v>
      </c>
      <c r="K122" s="3" t="s">
        <v>465</v>
      </c>
      <c r="L122" s="3" t="s">
        <v>479</v>
      </c>
      <c r="M122" s="3" t="s">
        <v>20</v>
      </c>
      <c r="N122" s="3" t="s">
        <v>21</v>
      </c>
      <c r="O122" s="3">
        <v>1.0</v>
      </c>
    </row>
    <row r="123">
      <c r="A123" s="3" t="s">
        <v>526</v>
      </c>
      <c r="B123" s="3">
        <v>165000.0</v>
      </c>
      <c r="C123" s="4">
        <v>43557.0</v>
      </c>
      <c r="D123" s="3" t="s">
        <v>461</v>
      </c>
      <c r="E123" s="3">
        <v>2.4330031600011E13</v>
      </c>
      <c r="F123" s="4">
        <v>43510.0</v>
      </c>
      <c r="G123" s="3" t="s">
        <v>525</v>
      </c>
      <c r="H123" s="3">
        <v>4.1892140900011E13</v>
      </c>
      <c r="I123" s="3" t="s">
        <v>397</v>
      </c>
      <c r="J123" s="3" t="s">
        <v>17</v>
      </c>
      <c r="K123" s="3" t="s">
        <v>18</v>
      </c>
      <c r="L123" s="3" t="s">
        <v>524</v>
      </c>
      <c r="M123" s="3" t="s">
        <v>20</v>
      </c>
      <c r="N123" s="3" t="s">
        <v>21</v>
      </c>
      <c r="O123" s="3">
        <v>1.0</v>
      </c>
    </row>
    <row r="124">
      <c r="A124" s="3" t="s">
        <v>641</v>
      </c>
      <c r="B124" s="3">
        <v>49000.0</v>
      </c>
      <c r="C124" s="4">
        <v>43636.0</v>
      </c>
      <c r="D124" s="3" t="s">
        <v>461</v>
      </c>
      <c r="E124" s="3">
        <v>2.4330031600011E13</v>
      </c>
      <c r="F124" s="4">
        <v>43488.0</v>
      </c>
      <c r="G124" s="3" t="s">
        <v>640</v>
      </c>
      <c r="H124" s="3">
        <v>3.9819156900142E13</v>
      </c>
      <c r="I124" s="3" t="s">
        <v>642</v>
      </c>
      <c r="J124" s="3" t="s">
        <v>17</v>
      </c>
      <c r="K124" s="3" t="s">
        <v>18</v>
      </c>
      <c r="L124" s="3" t="s">
        <v>643</v>
      </c>
      <c r="M124" s="3" t="s">
        <v>20</v>
      </c>
      <c r="N124" s="3" t="s">
        <v>21</v>
      </c>
      <c r="O124" s="3">
        <v>1.0</v>
      </c>
    </row>
    <row r="125">
      <c r="A125" s="3" t="s">
        <v>641</v>
      </c>
      <c r="B125" s="3">
        <v>1000.0</v>
      </c>
      <c r="C125" s="4">
        <v>43636.0</v>
      </c>
      <c r="D125" s="3" t="s">
        <v>461</v>
      </c>
      <c r="E125" s="3">
        <v>2.4330031600011E13</v>
      </c>
      <c r="F125" s="4">
        <v>43620.0</v>
      </c>
      <c r="G125" s="3" t="s">
        <v>664</v>
      </c>
      <c r="H125" s="3">
        <v>3.9819156900142E13</v>
      </c>
      <c r="I125" s="3" t="s">
        <v>666</v>
      </c>
      <c r="J125" s="3" t="s">
        <v>17</v>
      </c>
      <c r="K125" s="3" t="s">
        <v>18</v>
      </c>
      <c r="L125" s="3" t="s">
        <v>647</v>
      </c>
      <c r="M125" s="3" t="s">
        <v>20</v>
      </c>
      <c r="N125" s="3" t="s">
        <v>21</v>
      </c>
      <c r="O125" s="3">
        <v>1.0</v>
      </c>
    </row>
    <row r="126">
      <c r="A126" s="3" t="s">
        <v>641</v>
      </c>
      <c r="B126" s="3">
        <v>8000.0</v>
      </c>
      <c r="C126" s="4">
        <v>43724.0</v>
      </c>
      <c r="D126" s="3" t="s">
        <v>461</v>
      </c>
      <c r="E126" s="3">
        <v>2.4330031600011E13</v>
      </c>
      <c r="F126" s="4">
        <v>43679.0</v>
      </c>
      <c r="G126" s="3" t="s">
        <v>707</v>
      </c>
      <c r="H126" s="3">
        <v>3.9819156900142E13</v>
      </c>
      <c r="I126" s="3" t="s">
        <v>397</v>
      </c>
      <c r="J126" s="3" t="s">
        <v>17</v>
      </c>
      <c r="K126" s="3" t="s">
        <v>465</v>
      </c>
      <c r="L126" s="3" t="s">
        <v>708</v>
      </c>
      <c r="M126" s="3" t="s">
        <v>20</v>
      </c>
      <c r="N126" s="3" t="s">
        <v>21</v>
      </c>
      <c r="O126" s="3">
        <v>1.0</v>
      </c>
    </row>
    <row r="127">
      <c r="A127" s="3" t="s">
        <v>743</v>
      </c>
      <c r="B127" s="3">
        <v>69000.0</v>
      </c>
      <c r="C127" s="4">
        <v>43784.0</v>
      </c>
      <c r="D127" s="3" t="s">
        <v>461</v>
      </c>
      <c r="E127" s="3">
        <v>2.4330031600011E13</v>
      </c>
      <c r="F127" s="4">
        <v>43755.0</v>
      </c>
      <c r="G127" s="3" t="s">
        <v>742</v>
      </c>
      <c r="H127" s="3">
        <v>8.2791162900018E13</v>
      </c>
      <c r="I127" s="3" t="s">
        <v>397</v>
      </c>
      <c r="J127" s="3" t="s">
        <v>17</v>
      </c>
      <c r="K127" s="3" t="s">
        <v>18</v>
      </c>
      <c r="L127" s="3" t="s">
        <v>744</v>
      </c>
      <c r="M127" s="3" t="s">
        <v>20</v>
      </c>
      <c r="N127" s="3" t="s">
        <v>21</v>
      </c>
      <c r="O127" s="3">
        <v>1.0</v>
      </c>
    </row>
    <row r="128">
      <c r="A128" s="3" t="s">
        <v>145</v>
      </c>
      <c r="B128" s="3">
        <v>5000.0</v>
      </c>
      <c r="C128" s="4">
        <v>43636.0</v>
      </c>
      <c r="D128" s="3" t="s">
        <v>461</v>
      </c>
      <c r="E128" s="3">
        <v>2.4330031600011E13</v>
      </c>
      <c r="F128" s="4">
        <v>43600.0</v>
      </c>
      <c r="G128" s="3" t="s">
        <v>609</v>
      </c>
      <c r="H128" s="3">
        <v>4.3288382500031E13</v>
      </c>
      <c r="I128" s="3" t="s">
        <v>610</v>
      </c>
      <c r="J128" s="3" t="s">
        <v>17</v>
      </c>
      <c r="K128" s="3" t="s">
        <v>465</v>
      </c>
      <c r="L128" s="3" t="s">
        <v>611</v>
      </c>
      <c r="M128" s="3" t="s">
        <v>20</v>
      </c>
      <c r="N128" s="3" t="s">
        <v>21</v>
      </c>
      <c r="O128" s="3">
        <v>1.0</v>
      </c>
    </row>
    <row r="129">
      <c r="A129" s="3" t="s">
        <v>700</v>
      </c>
      <c r="B129" s="3">
        <v>25000.0</v>
      </c>
      <c r="C129" s="4">
        <v>43724.0</v>
      </c>
      <c r="D129" s="3" t="s">
        <v>461</v>
      </c>
      <c r="E129" s="3">
        <v>2.4330031600011E13</v>
      </c>
      <c r="F129" s="4">
        <v>43655.0</v>
      </c>
      <c r="G129" s="3" t="s">
        <v>699</v>
      </c>
      <c r="H129" s="3">
        <v>7.818761150001E13</v>
      </c>
      <c r="I129" s="3" t="s">
        <v>397</v>
      </c>
      <c r="J129" s="3" t="s">
        <v>17</v>
      </c>
      <c r="K129" s="3" t="s">
        <v>18</v>
      </c>
      <c r="L129" s="3" t="s">
        <v>701</v>
      </c>
      <c r="M129" s="3" t="s">
        <v>20</v>
      </c>
      <c r="N129" s="3" t="s">
        <v>21</v>
      </c>
      <c r="O129" s="3">
        <v>1.0</v>
      </c>
    </row>
    <row r="130">
      <c r="A130" s="3" t="s">
        <v>494</v>
      </c>
      <c r="B130" s="3">
        <v>55000.0</v>
      </c>
      <c r="C130" s="4">
        <v>43502.0</v>
      </c>
      <c r="D130" s="3" t="s">
        <v>461</v>
      </c>
      <c r="E130" s="3">
        <v>2.4330031600011E13</v>
      </c>
      <c r="F130" s="4">
        <v>43489.0</v>
      </c>
      <c r="G130" s="3" t="s">
        <v>493</v>
      </c>
      <c r="H130" s="3">
        <v>4.2213614300068E13</v>
      </c>
      <c r="I130" s="3" t="s">
        <v>495</v>
      </c>
      <c r="J130" s="3" t="s">
        <v>17</v>
      </c>
      <c r="K130" s="3" t="s">
        <v>18</v>
      </c>
      <c r="L130" s="3" t="s">
        <v>496</v>
      </c>
      <c r="M130" s="3" t="s">
        <v>20</v>
      </c>
      <c r="N130" s="3" t="s">
        <v>21</v>
      </c>
      <c r="O130" s="3">
        <v>1.0</v>
      </c>
    </row>
    <row r="131">
      <c r="A131" s="3" t="s">
        <v>623</v>
      </c>
      <c r="B131" s="3">
        <v>10000.0</v>
      </c>
      <c r="C131" s="4">
        <v>43636.0</v>
      </c>
      <c r="D131" s="3" t="s">
        <v>461</v>
      </c>
      <c r="E131" s="3">
        <v>2.4330031600011E13</v>
      </c>
      <c r="F131" s="4">
        <v>43606.0</v>
      </c>
      <c r="G131" s="3" t="s">
        <v>603</v>
      </c>
      <c r="H131" s="3">
        <v>7.8942066800012E13</v>
      </c>
      <c r="I131" s="3" t="s">
        <v>621</v>
      </c>
      <c r="J131" s="3" t="s">
        <v>17</v>
      </c>
      <c r="K131" s="3" t="s">
        <v>18</v>
      </c>
      <c r="L131" s="3" t="s">
        <v>605</v>
      </c>
      <c r="M131" s="3" t="s">
        <v>20</v>
      </c>
      <c r="N131" s="3" t="s">
        <v>21</v>
      </c>
      <c r="O131" s="3">
        <v>1.0</v>
      </c>
    </row>
  </sheetData>
  <customSheetViews>
    <customSheetView guid="{D98B8BFC-9BED-4DF9-B88F-EFE8593A9C1C}" filter="1" showAutoFilter="1">
      <autoFilter ref="$A$1:$O$131"/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</cols>
  <sheetData>
    <row r="1">
      <c r="C1" s="1" t="s">
        <v>804</v>
      </c>
      <c r="D1" s="1" t="s">
        <v>805</v>
      </c>
      <c r="E1" s="1" t="s">
        <v>806</v>
      </c>
    </row>
    <row r="2" hidden="1">
      <c r="A2" t="s">
        <v>694</v>
      </c>
      <c r="C2" t="str">
        <f t="array" ref="C2:C110">UNIQUE(A2:A1001)</f>
        <v>ADELE</v>
      </c>
      <c r="D2">
        <f t="array" ref="D2">iferror(INDEX('Pivot Table 2'!A3:B116,MATCH(C2,'Pivot Table 2'!A3:A116,0),2),0)</f>
        <v>0</v>
      </c>
      <c r="E2">
        <f t="array" ref="E2">INDEX('Pivot Table 3'!A2:B109,MATCH(C2,'Pivot Table 3'!A2:A109,0),2)</f>
        <v>12500</v>
      </c>
      <c r="F2" t="str">
        <f t="shared" ref="F2:F109" si="1">if(D2&gt;0, IF(E2&gt;1.2*D2,"OUI",""),"")</f>
        <v/>
      </c>
    </row>
    <row r="3" hidden="1">
      <c r="A3" t="s">
        <v>293</v>
      </c>
      <c r="C3" t="s">
        <v>293</v>
      </c>
      <c r="D3">
        <f t="array" ref="D3">iferror(INDEX('Pivot Table 2'!A4:B117,MATCH(C3,'Pivot Table 2'!A4:A117,0),2),0)</f>
        <v>58000</v>
      </c>
      <c r="E3">
        <f t="array" ref="E3">INDEX('Pivot Table 3'!A3:B110,MATCH(C3,'Pivot Table 3'!A3:A110,0),2)</f>
        <v>58000</v>
      </c>
      <c r="F3" t="str">
        <f t="shared" si="1"/>
        <v/>
      </c>
    </row>
    <row r="4" hidden="1">
      <c r="A4" t="s">
        <v>203</v>
      </c>
      <c r="C4" t="s">
        <v>203</v>
      </c>
      <c r="D4">
        <f t="array" ref="D4">iferror(INDEX('Pivot Table 2'!A5:B118,MATCH(C4,'Pivot Table 2'!A5:A118,0),2),0)</f>
        <v>50000</v>
      </c>
      <c r="E4">
        <f t="array" ref="E4">INDEX('Pivot Table 3'!A4:B111,MATCH(C4,'Pivot Table 3'!A4:A111,0),2)</f>
        <v>20000</v>
      </c>
      <c r="F4" t="str">
        <f t="shared" si="1"/>
        <v/>
      </c>
    </row>
    <row r="5" hidden="1">
      <c r="A5" t="s">
        <v>472</v>
      </c>
      <c r="C5" t="s">
        <v>472</v>
      </c>
      <c r="D5">
        <f t="array" ref="D5">iferror(INDEX('Pivot Table 2'!A6:B119,MATCH(C5,'Pivot Table 2'!A6:A119,0),2),0)</f>
        <v>0</v>
      </c>
      <c r="E5">
        <f t="array" ref="E5">INDEX('Pivot Table 3'!A5:B112,MATCH(C5,'Pivot Table 3'!A5:A112,0),2)</f>
        <v>97740</v>
      </c>
      <c r="F5" t="str">
        <f t="shared" si="1"/>
        <v/>
      </c>
    </row>
    <row r="6" hidden="1">
      <c r="A6" t="s">
        <v>627</v>
      </c>
      <c r="C6" t="s">
        <v>627</v>
      </c>
      <c r="D6">
        <f t="array" ref="D6">iferror(INDEX('Pivot Table 2'!A7:B120,MATCH(C6,'Pivot Table 2'!A7:A120,0),2),0)</f>
        <v>0</v>
      </c>
      <c r="E6">
        <f t="array" ref="E6">INDEX('Pivot Table 3'!A6:B113,MATCH(C6,'Pivot Table 3'!A6:A113,0),2)</f>
        <v>35000</v>
      </c>
      <c r="F6" t="str">
        <f t="shared" si="1"/>
        <v/>
      </c>
    </row>
    <row r="7" hidden="1">
      <c r="A7" t="s">
        <v>328</v>
      </c>
      <c r="C7" t="s">
        <v>328</v>
      </c>
      <c r="D7">
        <f t="array" ref="D7">iferror(INDEX('Pivot Table 2'!A8:B121,MATCH(C7,'Pivot Table 2'!A8:A121,0),2),0)</f>
        <v>39000</v>
      </c>
      <c r="E7">
        <f t="array" ref="E7">INDEX('Pivot Table 3'!A7:B114,MATCH(C7,'Pivot Table 3'!A7:A114,0),2)</f>
        <v>39500</v>
      </c>
      <c r="F7" t="str">
        <f t="shared" si="1"/>
        <v/>
      </c>
    </row>
    <row r="8" hidden="1">
      <c r="A8" t="s">
        <v>439</v>
      </c>
      <c r="C8" t="s">
        <v>439</v>
      </c>
      <c r="D8">
        <f t="array" ref="D8">iferror(INDEX('Pivot Table 2'!A9:B122,MATCH(C8,'Pivot Table 2'!A9:A122,0),2),0)</f>
        <v>90000</v>
      </c>
      <c r="E8">
        <f t="array" ref="E8">INDEX('Pivot Table 3'!A8:B115,MATCH(C8,'Pivot Table 3'!A8:A115,0),2)</f>
        <v>90000</v>
      </c>
      <c r="F8" t="str">
        <f t="shared" si="1"/>
        <v/>
      </c>
    </row>
    <row r="9" hidden="1">
      <c r="A9" t="s">
        <v>356</v>
      </c>
      <c r="C9" t="s">
        <v>356</v>
      </c>
      <c r="D9">
        <f t="array" ref="D9">iferror(INDEX('Pivot Table 2'!A10:B123,MATCH(C9,'Pivot Table 2'!A10:A123,0),2),0)</f>
        <v>60000</v>
      </c>
      <c r="E9">
        <f t="array" ref="E9">INDEX('Pivot Table 3'!A9:B116,MATCH(C9,'Pivot Table 3'!A9:A116,0),2)</f>
        <v>58000</v>
      </c>
      <c r="F9" t="str">
        <f t="shared" si="1"/>
        <v/>
      </c>
    </row>
    <row r="10" hidden="1">
      <c r="A10" t="s">
        <v>638</v>
      </c>
      <c r="C10" t="s">
        <v>638</v>
      </c>
      <c r="D10">
        <f t="array" ref="D10">iferror(INDEX('Pivot Table 2'!A11:B124,MATCH(C10,'Pivot Table 2'!A11:A124,0),2),0)</f>
        <v>0</v>
      </c>
      <c r="E10">
        <f t="array" ref="E10">INDEX('Pivot Table 3'!A10:B117,MATCH(C10,'Pivot Table 3'!A10:A117,0),2)</f>
        <v>14250</v>
      </c>
      <c r="F10" t="str">
        <f t="shared" si="1"/>
        <v/>
      </c>
    </row>
    <row r="11" hidden="1">
      <c r="A11" t="s">
        <v>574</v>
      </c>
      <c r="C11" t="s">
        <v>574</v>
      </c>
      <c r="D11">
        <f t="array" ref="D11">iferror(INDEX('Pivot Table 2'!A12:B125,MATCH(C11,'Pivot Table 2'!A12:A125,0),2),0)</f>
        <v>0</v>
      </c>
      <c r="E11">
        <f t="array" ref="E11">INDEX('Pivot Table 3'!A11:B118,MATCH(C11,'Pivot Table 3'!A11:A118,0),2)</f>
        <v>180000</v>
      </c>
      <c r="F11" t="str">
        <f t="shared" si="1"/>
        <v/>
      </c>
    </row>
    <row r="12" hidden="1">
      <c r="A12" t="s">
        <v>498</v>
      </c>
      <c r="C12" t="s">
        <v>498</v>
      </c>
      <c r="D12">
        <f t="array" ref="D12">iferror(INDEX('Pivot Table 2'!A13:B126,MATCH(C12,'Pivot Table 2'!A13:A126,0),2),0)</f>
        <v>0</v>
      </c>
      <c r="E12">
        <f t="array" ref="E12">INDEX('Pivot Table 3'!A12:B119,MATCH(C12,'Pivot Table 3'!A12:A119,0),2)</f>
        <v>49000</v>
      </c>
      <c r="F12" t="str">
        <f t="shared" si="1"/>
        <v/>
      </c>
    </row>
    <row r="13" hidden="1">
      <c r="A13" t="s">
        <v>571</v>
      </c>
      <c r="C13" t="s">
        <v>571</v>
      </c>
      <c r="D13">
        <f t="array" ref="D13">iferror(INDEX('Pivot Table 2'!A14:B127,MATCH(C13,'Pivot Table 2'!A14:A127,0),2),0)</f>
        <v>0</v>
      </c>
      <c r="E13">
        <f t="array" ref="E13">INDEX('Pivot Table 3'!A13:B120,MATCH(C13,'Pivot Table 3'!A13:A120,0),2)</f>
        <v>219800</v>
      </c>
      <c r="F13" t="str">
        <f t="shared" si="1"/>
        <v/>
      </c>
    </row>
    <row r="14" hidden="1">
      <c r="A14" t="s">
        <v>243</v>
      </c>
      <c r="C14" t="s">
        <v>243</v>
      </c>
      <c r="D14">
        <f t="array" ref="D14">iferror(INDEX('Pivot Table 2'!A15:B128,MATCH(C14,'Pivot Table 2'!A15:A128,0),2),0)</f>
        <v>57000</v>
      </c>
      <c r="E14">
        <f t="array" ref="E14">INDEX('Pivot Table 3'!A14:B121,MATCH(C14,'Pivot Table 3'!A14:A121,0),2)</f>
        <v>57000</v>
      </c>
      <c r="F14" t="str">
        <f t="shared" si="1"/>
        <v/>
      </c>
    </row>
    <row r="15" hidden="1">
      <c r="A15" t="s">
        <v>733</v>
      </c>
      <c r="C15" t="s">
        <v>733</v>
      </c>
      <c r="D15">
        <f t="array" ref="D15">iferror(INDEX('Pivot Table 2'!A16:B129,MATCH(C15,'Pivot Table 2'!A16:A129,0),2),0)</f>
        <v>0</v>
      </c>
      <c r="E15">
        <f t="array" ref="E15">INDEX('Pivot Table 3'!A15:B122,MATCH(C15,'Pivot Table 3'!A15:A122,0),2)</f>
        <v>6500</v>
      </c>
      <c r="F15" t="str">
        <f t="shared" si="1"/>
        <v/>
      </c>
    </row>
    <row r="16" hidden="1">
      <c r="A16" t="s">
        <v>515</v>
      </c>
      <c r="C16" t="s">
        <v>515</v>
      </c>
      <c r="D16">
        <f t="array" ref="D16">iferror(INDEX('Pivot Table 2'!A17:B130,MATCH(C16,'Pivot Table 2'!A17:A130,0),2),0)</f>
        <v>0</v>
      </c>
      <c r="E16">
        <f t="array" ref="E16">INDEX('Pivot Table 3'!A16:B123,MATCH(C16,'Pivot Table 3'!A16:A123,0),2)</f>
        <v>20000</v>
      </c>
      <c r="F16" t="str">
        <f t="shared" si="1"/>
        <v/>
      </c>
    </row>
    <row r="17" hidden="1">
      <c r="A17" t="s">
        <v>506</v>
      </c>
      <c r="C17" t="s">
        <v>506</v>
      </c>
      <c r="D17">
        <f t="array" ref="D17">iferror(INDEX('Pivot Table 2'!A18:B131,MATCH(C17,'Pivot Table 2'!A18:A131,0),2),0)</f>
        <v>0</v>
      </c>
      <c r="E17">
        <f t="array" ref="E17">INDEX('Pivot Table 3'!A17:B124,MATCH(C17,'Pivot Table 3'!A17:A124,0),2)</f>
        <v>26000</v>
      </c>
      <c r="F17" t="str">
        <f t="shared" si="1"/>
        <v/>
      </c>
    </row>
    <row r="18" hidden="1">
      <c r="A18" t="s">
        <v>179</v>
      </c>
      <c r="C18" t="s">
        <v>179</v>
      </c>
      <c r="D18">
        <f t="array" ref="D18">iferror(INDEX('Pivot Table 2'!A19:B132,MATCH(C18,'Pivot Table 2'!A19:A132,0),2),0)</f>
        <v>407253</v>
      </c>
      <c r="E18">
        <f t="array" ref="E18">INDEX('Pivot Table 3'!A18:B125,MATCH(C18,'Pivot Table 3'!A18:A125,0),2)</f>
        <v>407253</v>
      </c>
      <c r="F18" t="str">
        <f t="shared" si="1"/>
        <v/>
      </c>
    </row>
    <row r="19" hidden="1">
      <c r="A19" t="s">
        <v>216</v>
      </c>
      <c r="C19" t="s">
        <v>216</v>
      </c>
      <c r="D19">
        <f t="array" ref="D19">iferror(INDEX('Pivot Table 2'!A20:B133,MATCH(C19,'Pivot Table 2'!A20:A133,0),2),0)</f>
        <v>47500</v>
      </c>
      <c r="E19">
        <f t="array" ref="E19">INDEX('Pivot Table 3'!A19:B126,MATCH(C19,'Pivot Table 3'!A19:A126,0),2)</f>
        <v>47500</v>
      </c>
      <c r="F19" t="str">
        <f t="shared" si="1"/>
        <v/>
      </c>
    </row>
    <row r="20" hidden="1">
      <c r="A20" t="s">
        <v>678</v>
      </c>
      <c r="C20" t="s">
        <v>678</v>
      </c>
      <c r="D20">
        <f t="array" ref="D20">iferror(INDEX('Pivot Table 2'!A21:B134,MATCH(C20,'Pivot Table 2'!A21:A134,0),2),0)</f>
        <v>0</v>
      </c>
      <c r="E20">
        <f t="array" ref="E20">INDEX('Pivot Table 3'!A20:B127,MATCH(C20,'Pivot Table 3'!A20:A127,0),2)</f>
        <v>30000</v>
      </c>
      <c r="F20" t="str">
        <f t="shared" si="1"/>
        <v/>
      </c>
    </row>
    <row r="21" hidden="1">
      <c r="A21" t="s">
        <v>565</v>
      </c>
      <c r="C21" t="s">
        <v>565</v>
      </c>
      <c r="D21">
        <f t="array" ref="D21">iferror(INDEX('Pivot Table 2'!A22:B135,MATCH(C21,'Pivot Table 2'!A22:A135,0),2),0)</f>
        <v>0</v>
      </c>
      <c r="E21">
        <f t="array" ref="E21">INDEX('Pivot Table 3'!A21:B128,MATCH(C21,'Pivot Table 3'!A21:A128,0),2)</f>
        <v>40000</v>
      </c>
      <c r="F21" t="str">
        <f t="shared" si="1"/>
        <v/>
      </c>
    </row>
    <row r="22" hidden="1">
      <c r="A22" t="s">
        <v>468</v>
      </c>
      <c r="C22" t="s">
        <v>468</v>
      </c>
      <c r="D22">
        <f t="array" ref="D22">iferror(INDEX('Pivot Table 2'!A23:B136,MATCH(C22,'Pivot Table 2'!A23:A136,0),2),0)</f>
        <v>0</v>
      </c>
      <c r="E22">
        <f t="array" ref="E22">INDEX('Pivot Table 3'!A22:B129,MATCH(C22,'Pivot Table 3'!A22:A129,0),2)</f>
        <v>25000</v>
      </c>
      <c r="F22" t="str">
        <f t="shared" si="1"/>
        <v/>
      </c>
    </row>
    <row r="23" hidden="1">
      <c r="A23" t="s">
        <v>580</v>
      </c>
      <c r="C23" t="s">
        <v>580</v>
      </c>
      <c r="D23">
        <f t="array" ref="D23">iferror(INDEX('Pivot Table 2'!A24:B137,MATCH(C23,'Pivot Table 2'!A24:A137,0),2),0)</f>
        <v>0</v>
      </c>
      <c r="E23">
        <f t="array" ref="E23">INDEX('Pivot Table 3'!A23:B130,MATCH(C23,'Pivot Table 3'!A23:A130,0),2)</f>
        <v>150000</v>
      </c>
      <c r="F23" t="str">
        <f t="shared" si="1"/>
        <v/>
      </c>
    </row>
    <row r="24" hidden="1">
      <c r="A24" t="s">
        <v>136</v>
      </c>
      <c r="C24" t="s">
        <v>136</v>
      </c>
      <c r="D24">
        <f t="array" ref="D24">iferror(INDEX('Pivot Table 2'!A25:B138,MATCH(C24,'Pivot Table 2'!A25:A138,0),2),0)</f>
        <v>62750</v>
      </c>
      <c r="E24">
        <f t="array" ref="E24">INDEX('Pivot Table 3'!A24:B131,MATCH(C24,'Pivot Table 3'!A24:A131,0),2)</f>
        <v>62750</v>
      </c>
      <c r="F24" t="str">
        <f t="shared" si="1"/>
        <v/>
      </c>
    </row>
    <row r="25" hidden="1">
      <c r="A25" t="s">
        <v>61</v>
      </c>
      <c r="C25" t="s">
        <v>61</v>
      </c>
      <c r="D25">
        <f t="array" ref="D25">iferror(INDEX('Pivot Table 2'!A26:B139,MATCH(C25,'Pivot Table 2'!A26:A139,0),2),0)</f>
        <v>4372007</v>
      </c>
      <c r="E25">
        <f t="array" ref="E25">INDEX('Pivot Table 3'!A25:B132,MATCH(C25,'Pivot Table 3'!A25:A132,0),2)</f>
        <v>4372000</v>
      </c>
      <c r="F25" t="str">
        <f t="shared" si="1"/>
        <v/>
      </c>
    </row>
    <row r="26" hidden="1">
      <c r="A26" t="s">
        <v>747</v>
      </c>
      <c r="C26" t="s">
        <v>747</v>
      </c>
      <c r="D26">
        <f t="array" ref="D26">iferror(INDEX('Pivot Table 2'!A27:B140,MATCH(C26,'Pivot Table 2'!A27:A140,0),2),0)</f>
        <v>0</v>
      </c>
      <c r="E26">
        <f t="array" ref="E26">INDEX('Pivot Table 3'!A26:B133,MATCH(C26,'Pivot Table 3'!A26:A133,0),2)</f>
        <v>25000</v>
      </c>
      <c r="F26" t="str">
        <f t="shared" si="1"/>
        <v/>
      </c>
    </row>
    <row r="27" hidden="1">
      <c r="A27" t="s">
        <v>475</v>
      </c>
      <c r="C27" t="s">
        <v>475</v>
      </c>
      <c r="D27">
        <f t="array" ref="D27">iferror(INDEX('Pivot Table 2'!A28:B141,MATCH(C27,'Pivot Table 2'!A28:A141,0),2),0)</f>
        <v>0</v>
      </c>
      <c r="E27">
        <f t="array" ref="E27">INDEX('Pivot Table 3'!A27:B134,MATCH(C27,'Pivot Table 3'!A27:A134,0),2)</f>
        <v>88000</v>
      </c>
      <c r="F27" t="str">
        <f t="shared" si="1"/>
        <v/>
      </c>
    </row>
    <row r="28" hidden="1">
      <c r="A28" t="s">
        <v>633</v>
      </c>
      <c r="C28" t="s">
        <v>633</v>
      </c>
      <c r="D28">
        <f t="array" ref="D28">iferror(INDEX('Pivot Table 2'!A29:B142,MATCH(C28,'Pivot Table 2'!A29:A142,0),2),0)</f>
        <v>0</v>
      </c>
      <c r="E28">
        <f t="array" ref="E28">INDEX('Pivot Table 3'!A28:B135,MATCH(C28,'Pivot Table 3'!A28:A135,0),2)</f>
        <v>8000</v>
      </c>
      <c r="F28" t="str">
        <f t="shared" si="1"/>
        <v/>
      </c>
    </row>
    <row r="29" hidden="1">
      <c r="A29" t="s">
        <v>625</v>
      </c>
      <c r="C29" t="s">
        <v>625</v>
      </c>
      <c r="D29">
        <f t="array" ref="D29">iferror(INDEX('Pivot Table 2'!A30:B143,MATCH(C29,'Pivot Table 2'!A30:A143,0),2),0)</f>
        <v>0</v>
      </c>
      <c r="E29">
        <f t="array" ref="E29">INDEX('Pivot Table 3'!A29:B136,MATCH(C29,'Pivot Table 3'!A29:A136,0),2)</f>
        <v>10000</v>
      </c>
      <c r="F29" t="str">
        <f t="shared" si="1"/>
        <v/>
      </c>
    </row>
    <row r="30">
      <c r="A30" t="s">
        <v>139</v>
      </c>
      <c r="C30" t="s">
        <v>139</v>
      </c>
      <c r="D30">
        <f t="array" ref="D30">iferror(INDEX('Pivot Table 2'!A31:B144,MATCH(C30,'Pivot Table 2'!A31:A144,0),2),0)</f>
        <v>5000</v>
      </c>
      <c r="E30">
        <f t="array" ref="E30">INDEX('Pivot Table 3'!A30:B137,MATCH(C30,'Pivot Table 3'!A30:A137,0),2)</f>
        <v>8000</v>
      </c>
      <c r="F30" t="str">
        <f t="shared" si="1"/>
        <v>OUI</v>
      </c>
    </row>
    <row r="31" hidden="1">
      <c r="A31" t="s">
        <v>613</v>
      </c>
      <c r="C31" t="s">
        <v>613</v>
      </c>
      <c r="D31">
        <f t="array" ref="D31">iferror(INDEX('Pivot Table 2'!A32:B145,MATCH(C31,'Pivot Table 2'!A32:A145,0),2),0)</f>
        <v>0</v>
      </c>
      <c r="E31">
        <f t="array" ref="E31">INDEX('Pivot Table 3'!A31:B138,MATCH(C31,'Pivot Table 3'!A31:A138,0),2)</f>
        <v>440000</v>
      </c>
      <c r="F31" t="str">
        <f t="shared" si="1"/>
        <v/>
      </c>
    </row>
    <row r="32" hidden="1">
      <c r="A32" t="s">
        <v>309</v>
      </c>
      <c r="C32" t="s">
        <v>309</v>
      </c>
      <c r="D32">
        <f t="array" ref="D32">iferror(INDEX('Pivot Table 2'!A33:B146,MATCH(C32,'Pivot Table 2'!A33:A146,0),2),0)</f>
        <v>139000</v>
      </c>
      <c r="E32">
        <f t="array" ref="E32">INDEX('Pivot Table 3'!A32:B139,MATCH(C32,'Pivot Table 3'!A32:A139,0),2)</f>
        <v>140000</v>
      </c>
      <c r="F32" t="str">
        <f t="shared" si="1"/>
        <v/>
      </c>
    </row>
    <row r="33" hidden="1">
      <c r="A33" t="s">
        <v>380</v>
      </c>
      <c r="C33" t="s">
        <v>380</v>
      </c>
      <c r="D33">
        <f t="array" ref="D33">iferror(INDEX('Pivot Table 2'!A34:B147,MATCH(C33,'Pivot Table 2'!A34:A147,0),2),0)</f>
        <v>440000</v>
      </c>
      <c r="E33">
        <f t="array" ref="E33">INDEX('Pivot Table 3'!A33:B140,MATCH(C33,'Pivot Table 3'!A33:A140,0),2)</f>
        <v>245000</v>
      </c>
      <c r="F33" t="str">
        <f t="shared" si="1"/>
        <v/>
      </c>
    </row>
    <row r="34" hidden="1">
      <c r="A34" t="s">
        <v>491</v>
      </c>
      <c r="C34" t="s">
        <v>491</v>
      </c>
      <c r="D34">
        <f t="array" ref="D34">iferror(INDEX('Pivot Table 2'!A35:B148,MATCH(C34,'Pivot Table 2'!A35:A148,0),2),0)</f>
        <v>0</v>
      </c>
      <c r="E34">
        <f t="array" ref="E34">INDEX('Pivot Table 3'!A34:B141,MATCH(C34,'Pivot Table 3'!A34:A141,0),2)</f>
        <v>18000</v>
      </c>
      <c r="F34" t="str">
        <f t="shared" si="1"/>
        <v/>
      </c>
    </row>
    <row r="35" hidden="1">
      <c r="A35" t="s">
        <v>590</v>
      </c>
      <c r="C35" t="s">
        <v>590</v>
      </c>
      <c r="D35">
        <f t="array" ref="D35">iferror(INDEX('Pivot Table 2'!A36:B149,MATCH(C35,'Pivot Table 2'!A36:A149,0),2),0)</f>
        <v>0</v>
      </c>
      <c r="E35">
        <f t="array" ref="E35">INDEX('Pivot Table 3'!A35:B142,MATCH(C35,'Pivot Table 3'!A35:A142,0),2)</f>
        <v>500000</v>
      </c>
      <c r="F35" t="str">
        <f t="shared" si="1"/>
        <v/>
      </c>
    </row>
    <row r="36" hidden="1">
      <c r="A36" t="s">
        <v>148</v>
      </c>
      <c r="C36" t="s">
        <v>148</v>
      </c>
      <c r="D36">
        <f t="array" ref="D36">iferror(INDEX('Pivot Table 2'!A37:B150,MATCH(C36,'Pivot Table 2'!A37:A150,0),2),0)</f>
        <v>65000</v>
      </c>
      <c r="E36">
        <f t="array" ref="E36">INDEX('Pivot Table 3'!A36:B143,MATCH(C36,'Pivot Table 3'!A36:A143,0),2)</f>
        <v>60000</v>
      </c>
      <c r="F36" t="str">
        <f t="shared" si="1"/>
        <v/>
      </c>
    </row>
    <row r="37" hidden="1">
      <c r="A37" t="s">
        <v>378</v>
      </c>
      <c r="C37" t="s">
        <v>378</v>
      </c>
      <c r="D37">
        <f t="array" ref="D37">iferror(INDEX('Pivot Table 2'!A38:B151,MATCH(C37,'Pivot Table 2'!A38:A151,0),2),0)</f>
        <v>10300</v>
      </c>
      <c r="E37">
        <f t="array" ref="E37">INDEX('Pivot Table 3'!A37:B144,MATCH(C37,'Pivot Table 3'!A37:A144,0),2)</f>
        <v>8500</v>
      </c>
      <c r="F37" t="str">
        <f t="shared" si="1"/>
        <v/>
      </c>
    </row>
    <row r="38">
      <c r="A38" t="s">
        <v>374</v>
      </c>
      <c r="C38" t="s">
        <v>374</v>
      </c>
      <c r="D38">
        <f t="array" ref="D38">iferror(INDEX('Pivot Table 2'!A39:B152,MATCH(C38,'Pivot Table 2'!A39:A152,0),2),0)</f>
        <v>29000</v>
      </c>
      <c r="E38">
        <f t="array" ref="E38">INDEX('Pivot Table 3'!A38:B145,MATCH(C38,'Pivot Table 3'!A38:A145,0),2)</f>
        <v>62000</v>
      </c>
      <c r="F38" t="str">
        <f t="shared" si="1"/>
        <v>OUI</v>
      </c>
    </row>
    <row r="39" hidden="1">
      <c r="A39" t="s">
        <v>600</v>
      </c>
      <c r="C39" t="s">
        <v>600</v>
      </c>
      <c r="D39">
        <f t="array" ref="D39">iferror(INDEX('Pivot Table 2'!A40:B153,MATCH(C39,'Pivot Table 2'!A40:A153,0),2),0)</f>
        <v>0</v>
      </c>
      <c r="E39">
        <f t="array" ref="E39">INDEX('Pivot Table 3'!A39:B146,MATCH(C39,'Pivot Table 3'!A39:A146,0),2)</f>
        <v>30000</v>
      </c>
      <c r="F39" t="str">
        <f t="shared" si="1"/>
        <v/>
      </c>
    </row>
    <row r="40" hidden="1">
      <c r="A40" t="s">
        <v>427</v>
      </c>
      <c r="C40" t="s">
        <v>427</v>
      </c>
      <c r="D40">
        <f t="array" ref="D40">iferror(INDEX('Pivot Table 2'!A41:B154,MATCH(C40,'Pivot Table 2'!A41:A154,0),2),0)</f>
        <v>25000</v>
      </c>
      <c r="E40">
        <f t="array" ref="E40">INDEX('Pivot Table 3'!A40:B147,MATCH(C40,'Pivot Table 3'!A40:A147,0),2)</f>
        <v>25000</v>
      </c>
      <c r="F40" t="str">
        <f t="shared" si="1"/>
        <v/>
      </c>
    </row>
    <row r="41" hidden="1">
      <c r="A41" t="s">
        <v>448</v>
      </c>
      <c r="C41" t="s">
        <v>448</v>
      </c>
      <c r="D41">
        <f t="array" ref="D41">iferror(INDEX('Pivot Table 2'!A42:B155,MATCH(C41,'Pivot Table 2'!A42:A155,0),2),0)</f>
        <v>14250</v>
      </c>
      <c r="E41">
        <f t="array" ref="E41">INDEX('Pivot Table 3'!A41:B148,MATCH(C41,'Pivot Table 3'!A41:A148,0),2)</f>
        <v>14250</v>
      </c>
      <c r="F41" t="str">
        <f t="shared" si="1"/>
        <v/>
      </c>
    </row>
    <row r="42" hidden="1">
      <c r="A42" t="s">
        <v>716</v>
      </c>
      <c r="C42" t="s">
        <v>716</v>
      </c>
      <c r="D42">
        <f t="array" ref="D42">iferror(INDEX('Pivot Table 2'!A43:B156,MATCH(C42,'Pivot Table 2'!A43:A156,0),2),0)</f>
        <v>0</v>
      </c>
      <c r="E42">
        <f t="array" ref="E42">INDEX('Pivot Table 3'!A42:B149,MATCH(C42,'Pivot Table 3'!A42:A149,0),2)</f>
        <v>29000</v>
      </c>
      <c r="F42" t="str">
        <f t="shared" si="1"/>
        <v/>
      </c>
    </row>
    <row r="43" hidden="1">
      <c r="A43" t="s">
        <v>533</v>
      </c>
      <c r="C43" t="s">
        <v>533</v>
      </c>
      <c r="D43">
        <f t="array" ref="D43">iferror(INDEX('Pivot Table 2'!A44:B157,MATCH(C43,'Pivot Table 2'!A44:A157,0),2),0)</f>
        <v>0</v>
      </c>
      <c r="E43">
        <f t="array" ref="E43">INDEX('Pivot Table 3'!A43:B150,MATCH(C43,'Pivot Table 3'!A43:A150,0),2)</f>
        <v>15000</v>
      </c>
      <c r="F43" t="str">
        <f t="shared" si="1"/>
        <v/>
      </c>
    </row>
    <row r="44" hidden="1">
      <c r="A44" t="s">
        <v>624</v>
      </c>
      <c r="C44" t="s">
        <v>624</v>
      </c>
      <c r="D44">
        <f t="array" ref="D44">iferror(INDEX('Pivot Table 2'!A45:B158,MATCH(C44,'Pivot Table 2'!A45:A158,0),2),0)</f>
        <v>0</v>
      </c>
      <c r="E44">
        <f t="array" ref="E44">INDEX('Pivot Table 3'!A44:B151,MATCH(C44,'Pivot Table 3'!A44:A151,0),2)</f>
        <v>23500</v>
      </c>
      <c r="F44" t="str">
        <f t="shared" si="1"/>
        <v/>
      </c>
    </row>
    <row r="45" hidden="1">
      <c r="A45" t="s">
        <v>249</v>
      </c>
      <c r="C45" t="s">
        <v>249</v>
      </c>
      <c r="D45">
        <f t="array" ref="D45">iferror(INDEX('Pivot Table 2'!A46:B159,MATCH(C45,'Pivot Table 2'!A46:A159,0),2),0)</f>
        <v>59500</v>
      </c>
      <c r="E45">
        <f t="array" ref="E45">INDEX('Pivot Table 3'!A45:B152,MATCH(C45,'Pivot Table 3'!A45:A152,0),2)</f>
        <v>61000</v>
      </c>
      <c r="F45" t="str">
        <f t="shared" si="1"/>
        <v/>
      </c>
    </row>
    <row r="46" hidden="1">
      <c r="A46" t="s">
        <v>528</v>
      </c>
      <c r="C46" t="s">
        <v>528</v>
      </c>
      <c r="D46">
        <f t="array" ref="D46">iferror(INDEX('Pivot Table 2'!A47:B160,MATCH(C46,'Pivot Table 2'!A47:A160,0),2),0)</f>
        <v>0</v>
      </c>
      <c r="E46">
        <f t="array" ref="E46">INDEX('Pivot Table 3'!A46:B153,MATCH(C46,'Pivot Table 3'!A46:A153,0),2)</f>
        <v>1680000</v>
      </c>
      <c r="F46" t="str">
        <f t="shared" si="1"/>
        <v/>
      </c>
    </row>
    <row r="47" hidden="1">
      <c r="A47" t="s">
        <v>191</v>
      </c>
      <c r="C47" t="s">
        <v>191</v>
      </c>
      <c r="D47">
        <f t="array" ref="D47">iferror(INDEX('Pivot Table 2'!A48:B161,MATCH(C47,'Pivot Table 2'!A48:A161,0),2),0)</f>
        <v>56500</v>
      </c>
      <c r="E47">
        <f t="array" ref="E47">INDEX('Pivot Table 3'!A47:B154,MATCH(C47,'Pivot Table 3'!A47:A154,0),2)</f>
        <v>47500</v>
      </c>
      <c r="F47" t="str">
        <f t="shared" si="1"/>
        <v/>
      </c>
    </row>
    <row r="48">
      <c r="A48" t="s">
        <v>364</v>
      </c>
      <c r="C48" t="s">
        <v>364</v>
      </c>
      <c r="D48">
        <f t="array" ref="D48">iferror(INDEX('Pivot Table 2'!A49:B162,MATCH(C48,'Pivot Table 2'!A49:A162,0),2),0)</f>
        <v>3000</v>
      </c>
      <c r="E48">
        <f t="array" ref="E48">INDEX('Pivot Table 3'!A48:B155,MATCH(C48,'Pivot Table 3'!A48:A155,0),2)</f>
        <v>10000</v>
      </c>
      <c r="F48" t="str">
        <f t="shared" si="1"/>
        <v>OUI</v>
      </c>
    </row>
    <row r="49" hidden="1">
      <c r="A49" t="s">
        <v>691</v>
      </c>
      <c r="C49" t="s">
        <v>691</v>
      </c>
      <c r="D49">
        <f t="array" ref="D49">iferror(INDEX('Pivot Table 2'!A50:B163,MATCH(C49,'Pivot Table 2'!A50:A163,0),2),0)</f>
        <v>0</v>
      </c>
      <c r="E49">
        <f t="array" ref="E49">INDEX('Pivot Table 3'!A49:B156,MATCH(C49,'Pivot Table 3'!A49:A156,0),2)</f>
        <v>4350</v>
      </c>
      <c r="F49" t="str">
        <f t="shared" si="1"/>
        <v/>
      </c>
    </row>
    <row r="50" hidden="1">
      <c r="A50" t="s">
        <v>686</v>
      </c>
      <c r="C50" t="s">
        <v>686</v>
      </c>
      <c r="D50">
        <f t="array" ref="D50">iferror(INDEX('Pivot Table 2'!A51:B164,MATCH(C50,'Pivot Table 2'!A51:A164,0),2),0)</f>
        <v>0</v>
      </c>
      <c r="E50">
        <f t="array" ref="E50">INDEX('Pivot Table 3'!A50:B157,MATCH(C50,'Pivot Table 3'!A50:A157,0),2)</f>
        <v>3500</v>
      </c>
      <c r="F50" t="str">
        <f t="shared" si="1"/>
        <v/>
      </c>
    </row>
    <row r="51" hidden="1">
      <c r="A51" t="s">
        <v>651</v>
      </c>
      <c r="C51" t="s">
        <v>651</v>
      </c>
      <c r="D51">
        <f t="array" ref="D51">iferror(INDEX('Pivot Table 2'!A52:B165,MATCH(C51,'Pivot Table 2'!A52:A165,0),2),0)</f>
        <v>0</v>
      </c>
      <c r="E51">
        <f t="array" ref="E51">INDEX('Pivot Table 3'!A51:B158,MATCH(C51,'Pivot Table 3'!A51:A158,0),2)</f>
        <v>38000</v>
      </c>
      <c r="F51" t="str">
        <f t="shared" si="1"/>
        <v/>
      </c>
    </row>
    <row r="52" hidden="1">
      <c r="A52" t="s">
        <v>348</v>
      </c>
      <c r="C52" t="s">
        <v>348</v>
      </c>
      <c r="D52">
        <f t="array" ref="D52">iferror(INDEX('Pivot Table 2'!A53:B166,MATCH(C52,'Pivot Table 2'!A53:A166,0),2),0)</f>
        <v>25000</v>
      </c>
      <c r="E52">
        <f t="array" ref="E52">INDEX('Pivot Table 3'!A52:B159,MATCH(C52,'Pivot Table 3'!A52:A159,0),2)</f>
        <v>25000</v>
      </c>
      <c r="F52" t="str">
        <f t="shared" si="1"/>
        <v/>
      </c>
    </row>
    <row r="53" hidden="1">
      <c r="A53" t="s">
        <v>703</v>
      </c>
      <c r="C53" t="s">
        <v>703</v>
      </c>
      <c r="D53">
        <f t="array" ref="D53">iferror(INDEX('Pivot Table 2'!A54:B167,MATCH(C53,'Pivot Table 2'!A54:A167,0),2),0)</f>
        <v>0</v>
      </c>
      <c r="E53">
        <f t="array" ref="E53">INDEX('Pivot Table 3'!A53:B160,MATCH(C53,'Pivot Table 3'!A53:A160,0),2)</f>
        <v>20000</v>
      </c>
      <c r="F53" t="str">
        <f t="shared" si="1"/>
        <v/>
      </c>
    </row>
    <row r="54" hidden="1">
      <c r="A54" t="s">
        <v>530</v>
      </c>
      <c r="C54" t="s">
        <v>530</v>
      </c>
      <c r="D54">
        <f t="array" ref="D54">iferror(INDEX('Pivot Table 2'!A55:B168,MATCH(C54,'Pivot Table 2'!A55:A168,0),2),0)</f>
        <v>0</v>
      </c>
      <c r="E54">
        <f t="array" ref="E54">INDEX('Pivot Table 3'!A54:B161,MATCH(C54,'Pivot Table 3'!A54:A161,0),2)</f>
        <v>150000</v>
      </c>
      <c r="F54" t="str">
        <f t="shared" si="1"/>
        <v/>
      </c>
    </row>
    <row r="55" hidden="1">
      <c r="A55" t="s">
        <v>231</v>
      </c>
      <c r="C55" t="s">
        <v>231</v>
      </c>
      <c r="D55">
        <f t="array" ref="D55">iferror(INDEX('Pivot Table 2'!A56:B169,MATCH(C55,'Pivot Table 2'!A56:A169,0),2),0)</f>
        <v>20000</v>
      </c>
      <c r="E55">
        <f t="array" ref="E55">INDEX('Pivot Table 3'!A55:B162,MATCH(C55,'Pivot Table 3'!A55:A162,0),2)</f>
        <v>20000</v>
      </c>
      <c r="F55" t="str">
        <f t="shared" si="1"/>
        <v/>
      </c>
    </row>
    <row r="56" hidden="1">
      <c r="A56" t="s">
        <v>351</v>
      </c>
      <c r="C56" t="s">
        <v>351</v>
      </c>
      <c r="D56">
        <f t="array" ref="D56">iferror(INDEX('Pivot Table 2'!A57:B170,MATCH(C56,'Pivot Table 2'!A57:A170,0),2),0)</f>
        <v>15000</v>
      </c>
      <c r="E56">
        <f t="array" ref="E56">INDEX('Pivot Table 3'!A56:B163,MATCH(C56,'Pivot Table 3'!A56:A163,0),2)</f>
        <v>14250</v>
      </c>
      <c r="F56" t="str">
        <f t="shared" si="1"/>
        <v/>
      </c>
    </row>
    <row r="57" hidden="1">
      <c r="A57" t="s">
        <v>725</v>
      </c>
      <c r="C57" t="s">
        <v>725</v>
      </c>
      <c r="D57">
        <f t="array" ref="D57">iferror(INDEX('Pivot Table 2'!A58:B171,MATCH(C57,'Pivot Table 2'!A58:A171,0),2),0)</f>
        <v>0</v>
      </c>
      <c r="E57">
        <f t="array" ref="E57">INDEX('Pivot Table 3'!A57:B164,MATCH(C57,'Pivot Table 3'!A57:A164,0),2)</f>
        <v>160000</v>
      </c>
      <c r="F57" t="str">
        <f t="shared" si="1"/>
        <v/>
      </c>
    </row>
    <row r="58" hidden="1">
      <c r="A58" t="s">
        <v>752</v>
      </c>
      <c r="C58" t="s">
        <v>752</v>
      </c>
      <c r="D58">
        <f t="array" ref="D58">iferror(INDEX('Pivot Table 2'!A59:B172,MATCH(C58,'Pivot Table 2'!A59:A172,0),2),0)</f>
        <v>0</v>
      </c>
      <c r="E58">
        <f t="array" ref="E58">INDEX('Pivot Table 3'!A58:B165,MATCH(C58,'Pivot Table 3'!A58:A165,0),2)</f>
        <v>50000</v>
      </c>
      <c r="F58" t="str">
        <f t="shared" si="1"/>
        <v/>
      </c>
    </row>
    <row r="59" hidden="1">
      <c r="A59" t="s">
        <v>661</v>
      </c>
      <c r="C59" t="s">
        <v>661</v>
      </c>
      <c r="D59">
        <f t="array" ref="D59">iferror(INDEX('Pivot Table 2'!A60:B173,MATCH(C59,'Pivot Table 2'!A60:A173,0),2),0)</f>
        <v>0</v>
      </c>
      <c r="E59">
        <f t="array" ref="E59">INDEX('Pivot Table 3'!A59:B166,MATCH(C59,'Pivot Table 3'!A59:A166,0),2)</f>
        <v>71250</v>
      </c>
      <c r="F59" t="str">
        <f t="shared" si="1"/>
        <v/>
      </c>
    </row>
    <row r="60" hidden="1">
      <c r="A60" t="s">
        <v>658</v>
      </c>
      <c r="C60" t="s">
        <v>658</v>
      </c>
      <c r="D60">
        <f t="array" ref="D60">iferror(INDEX('Pivot Table 2'!A61:B174,MATCH(C60,'Pivot Table 2'!A61:A174,0),2),0)</f>
        <v>0</v>
      </c>
      <c r="E60">
        <f t="array" ref="E60">INDEX('Pivot Table 3'!A60:B167,MATCH(C60,'Pivot Table 3'!A60:A167,0),2)</f>
        <v>219000</v>
      </c>
      <c r="F60" t="str">
        <f t="shared" si="1"/>
        <v/>
      </c>
    </row>
    <row r="61" hidden="1">
      <c r="A61" t="s">
        <v>615</v>
      </c>
      <c r="C61" t="s">
        <v>615</v>
      </c>
      <c r="D61">
        <f t="array" ref="D61">iferror(INDEX('Pivot Table 2'!A62:B175,MATCH(C61,'Pivot Table 2'!A62:A175,0),2),0)</f>
        <v>0</v>
      </c>
      <c r="E61">
        <f t="array" ref="E61">INDEX('Pivot Table 3'!A61:B168,MATCH(C61,'Pivot Table 3'!A61:A168,0),2)</f>
        <v>22310</v>
      </c>
      <c r="F61" t="str">
        <f t="shared" si="1"/>
        <v/>
      </c>
    </row>
    <row r="62" hidden="1">
      <c r="A62" t="s">
        <v>463</v>
      </c>
      <c r="C62" t="s">
        <v>463</v>
      </c>
      <c r="D62">
        <f t="array" ref="D62">iferror(INDEX('Pivot Table 2'!A63:B176,MATCH(C62,'Pivot Table 2'!A63:A176,0),2),0)</f>
        <v>0</v>
      </c>
      <c r="E62">
        <f t="array" ref="E62">INDEX('Pivot Table 3'!A62:B169,MATCH(C62,'Pivot Table 3'!A62:A169,0),2)</f>
        <v>5000</v>
      </c>
      <c r="F62" t="str">
        <f t="shared" si="1"/>
        <v/>
      </c>
    </row>
    <row r="63" hidden="1">
      <c r="A63" t="s">
        <v>665</v>
      </c>
      <c r="C63" t="s">
        <v>665</v>
      </c>
      <c r="D63">
        <f t="array" ref="D63">iferror(INDEX('Pivot Table 2'!A64:B177,MATCH(C63,'Pivot Table 2'!A64:A177,0),2),0)</f>
        <v>0</v>
      </c>
      <c r="E63">
        <f t="array" ref="E63">INDEX('Pivot Table 3'!A63:B170,MATCH(C63,'Pivot Table 3'!A63:A170,0),2)</f>
        <v>3000</v>
      </c>
      <c r="F63" t="str">
        <f t="shared" si="1"/>
        <v/>
      </c>
    </row>
    <row r="64" hidden="1">
      <c r="A64" t="s">
        <v>681</v>
      </c>
      <c r="C64" t="s">
        <v>681</v>
      </c>
      <c r="D64">
        <f t="array" ref="D64">iferror(INDEX('Pivot Table 2'!A65:B178,MATCH(C64,'Pivot Table 2'!A65:A178,0),2),0)</f>
        <v>0</v>
      </c>
      <c r="E64">
        <f t="array" ref="E64">INDEX('Pivot Table 3'!A64:B171,MATCH(C64,'Pivot Table 3'!A64:A171,0),2)</f>
        <v>90000</v>
      </c>
      <c r="F64" t="str">
        <f t="shared" si="1"/>
        <v/>
      </c>
    </row>
    <row r="65" hidden="1">
      <c r="A65" t="s">
        <v>122</v>
      </c>
      <c r="C65" t="s">
        <v>122</v>
      </c>
      <c r="D65">
        <f t="array" ref="D65">iferror(INDEX('Pivot Table 2'!A66:B179,MATCH(C65,'Pivot Table 2'!A66:A179,0),2),0)</f>
        <v>34500</v>
      </c>
      <c r="E65">
        <f t="array" ref="E65">INDEX('Pivot Table 3'!A65:B172,MATCH(C65,'Pivot Table 3'!A65:A172,0),2)</f>
        <v>17500</v>
      </c>
      <c r="F65" t="str">
        <f t="shared" si="1"/>
        <v/>
      </c>
    </row>
    <row r="66" hidden="1">
      <c r="A66" t="s">
        <v>656</v>
      </c>
      <c r="C66" t="s">
        <v>656</v>
      </c>
      <c r="D66">
        <f t="array" ref="D66">iferror(INDEX('Pivot Table 2'!A67:B180,MATCH(C66,'Pivot Table 2'!A67:A180,0),2),0)</f>
        <v>0</v>
      </c>
      <c r="E66">
        <f t="array" ref="E66">INDEX('Pivot Table 3'!A66:B173,MATCH(C66,'Pivot Table 3'!A66:A173,0),2)</f>
        <v>487775</v>
      </c>
      <c r="F66" t="str">
        <f t="shared" si="1"/>
        <v/>
      </c>
    </row>
    <row r="67" hidden="1">
      <c r="A67" t="s">
        <v>558</v>
      </c>
      <c r="C67" t="s">
        <v>558</v>
      </c>
      <c r="D67">
        <f t="array" ref="D67">iferror(INDEX('Pivot Table 2'!A68:B181,MATCH(C67,'Pivot Table 2'!A68:A181,0),2),0)</f>
        <v>0</v>
      </c>
      <c r="E67">
        <f t="array" ref="E67">INDEX('Pivot Table 3'!A67:B174,MATCH(C67,'Pivot Table 3'!A67:A174,0),2)</f>
        <v>34000</v>
      </c>
      <c r="F67" t="str">
        <f t="shared" si="1"/>
        <v/>
      </c>
    </row>
    <row r="68" hidden="1">
      <c r="A68" t="s">
        <v>649</v>
      </c>
      <c r="C68" t="s">
        <v>649</v>
      </c>
      <c r="D68">
        <f t="array" ref="D68">iferror(INDEX('Pivot Table 2'!A69:B182,MATCH(C68,'Pivot Table 2'!A69:A182,0),2),0)</f>
        <v>0</v>
      </c>
      <c r="E68">
        <f t="array" ref="E68">INDEX('Pivot Table 3'!A68:B175,MATCH(C68,'Pivot Table 3'!A68:A175,0),2)</f>
        <v>6600</v>
      </c>
      <c r="F68" t="str">
        <f t="shared" si="1"/>
        <v/>
      </c>
    </row>
    <row r="69" hidden="1">
      <c r="A69" t="s">
        <v>714</v>
      </c>
      <c r="C69" t="s">
        <v>714</v>
      </c>
      <c r="D69">
        <f t="array" ref="D69">iferror(INDEX('Pivot Table 2'!A70:B183,MATCH(C69,'Pivot Table 2'!A70:A183,0),2),0)</f>
        <v>0</v>
      </c>
      <c r="E69">
        <f t="array" ref="E69">INDEX('Pivot Table 3'!A69:B176,MATCH(C69,'Pivot Table 3'!A69:A176,0),2)</f>
        <v>4000</v>
      </c>
      <c r="F69" t="str">
        <f t="shared" si="1"/>
        <v/>
      </c>
    </row>
    <row r="70" hidden="1">
      <c r="A70" t="s">
        <v>620</v>
      </c>
      <c r="C70" t="s">
        <v>620</v>
      </c>
      <c r="D70">
        <f t="array" ref="D70">iferror(INDEX('Pivot Table 2'!A71:B184,MATCH(C70,'Pivot Table 2'!A71:A184,0),2),0)</f>
        <v>0</v>
      </c>
      <c r="E70">
        <f t="array" ref="E70">INDEX('Pivot Table 3'!A70:B177,MATCH(C70,'Pivot Table 3'!A70:A177,0),2)</f>
        <v>15000</v>
      </c>
      <c r="F70" t="str">
        <f t="shared" si="1"/>
        <v/>
      </c>
    </row>
    <row r="71" hidden="1">
      <c r="A71" t="s">
        <v>635</v>
      </c>
      <c r="C71" t="s">
        <v>635</v>
      </c>
      <c r="D71">
        <f t="array" ref="D71">iferror(INDEX('Pivot Table 2'!A72:B185,MATCH(C71,'Pivot Table 2'!A72:A185,0),2),0)</f>
        <v>0</v>
      </c>
      <c r="E71">
        <f t="array" ref="E71">INDEX('Pivot Table 3'!A71:B178,MATCH(C71,'Pivot Table 3'!A71:A178,0),2)</f>
        <v>12500</v>
      </c>
      <c r="F71" t="str">
        <f t="shared" si="1"/>
        <v/>
      </c>
    </row>
    <row r="72" hidden="1">
      <c r="A72" t="s">
        <v>583</v>
      </c>
      <c r="C72" t="s">
        <v>583</v>
      </c>
      <c r="D72">
        <f t="array" ref="D72">iferror(INDEX('Pivot Table 2'!A73:B186,MATCH(C72,'Pivot Table 2'!A73:A186,0),2),0)</f>
        <v>0</v>
      </c>
      <c r="E72">
        <f t="array" ref="E72">INDEX('Pivot Table 3'!A72:B179,MATCH(C72,'Pivot Table 3'!A72:A179,0),2)</f>
        <v>27500</v>
      </c>
      <c r="F72" t="str">
        <f t="shared" si="1"/>
        <v/>
      </c>
    </row>
    <row r="73" hidden="1">
      <c r="A73" t="s">
        <v>509</v>
      </c>
      <c r="C73" t="s">
        <v>509</v>
      </c>
      <c r="D73">
        <f t="array" ref="D73">iferror(INDEX('Pivot Table 2'!A74:B187,MATCH(C73,'Pivot Table 2'!A74:A187,0),2),0)</f>
        <v>0</v>
      </c>
      <c r="E73">
        <f t="array" ref="E73">INDEX('Pivot Table 3'!A73:B180,MATCH(C73,'Pivot Table 3'!A73:A180,0),2)</f>
        <v>39500</v>
      </c>
      <c r="F73" t="str">
        <f t="shared" si="1"/>
        <v/>
      </c>
    </row>
    <row r="74" hidden="1">
      <c r="A74" t="s">
        <v>631</v>
      </c>
      <c r="C74" t="s">
        <v>631</v>
      </c>
      <c r="D74">
        <f t="array" ref="D74">iferror(INDEX('Pivot Table 2'!A75:B188,MATCH(C74,'Pivot Table 2'!A75:A188,0),2),0)</f>
        <v>0</v>
      </c>
      <c r="E74">
        <f t="array" ref="E74">INDEX('Pivot Table 3'!A74:B181,MATCH(C74,'Pivot Table 3'!A74:A181,0),2)</f>
        <v>9000</v>
      </c>
      <c r="F74" t="str">
        <f t="shared" si="1"/>
        <v/>
      </c>
    </row>
    <row r="75" hidden="1">
      <c r="A75" t="s">
        <v>543</v>
      </c>
      <c r="C75" t="s">
        <v>543</v>
      </c>
      <c r="D75">
        <f t="array" ref="D75">iferror(INDEX('Pivot Table 2'!A76:B189,MATCH(C75,'Pivot Table 2'!A76:A189,0),2),0)</f>
        <v>0</v>
      </c>
      <c r="E75">
        <f t="array" ref="E75">INDEX('Pivot Table 3'!A75:B182,MATCH(C75,'Pivot Table 3'!A75:A182,0),2)</f>
        <v>7000</v>
      </c>
      <c r="F75" t="str">
        <f t="shared" si="1"/>
        <v/>
      </c>
    </row>
    <row r="76" hidden="1">
      <c r="A76" t="s">
        <v>488</v>
      </c>
      <c r="C76" t="s">
        <v>488</v>
      </c>
      <c r="D76">
        <f t="array" ref="D76">iferror(INDEX('Pivot Table 2'!A77:B190,MATCH(C76,'Pivot Table 2'!A77:A190,0),2),0)</f>
        <v>0</v>
      </c>
      <c r="E76">
        <f t="array" ref="E76">INDEX('Pivot Table 3'!A76:B183,MATCH(C76,'Pivot Table 3'!A76:A183,0),2)</f>
        <v>15000</v>
      </c>
      <c r="F76" t="str">
        <f t="shared" si="1"/>
        <v/>
      </c>
    </row>
    <row r="77" hidden="1">
      <c r="A77" t="s">
        <v>688</v>
      </c>
      <c r="C77" t="s">
        <v>688</v>
      </c>
      <c r="D77">
        <f t="array" ref="D77">iferror(INDEX('Pivot Table 2'!A78:B191,MATCH(C77,'Pivot Table 2'!A78:A191,0),2),0)</f>
        <v>0</v>
      </c>
      <c r="E77">
        <f t="array" ref="E77">INDEX('Pivot Table 3'!A77:B184,MATCH(C77,'Pivot Table 3'!A77:A184,0),2)</f>
        <v>4500</v>
      </c>
      <c r="F77" t="str">
        <f t="shared" si="1"/>
        <v/>
      </c>
    </row>
    <row r="78" hidden="1">
      <c r="A78" t="s">
        <v>607</v>
      </c>
      <c r="C78" t="s">
        <v>607</v>
      </c>
      <c r="D78">
        <f t="array" ref="D78">iferror(INDEX('Pivot Table 2'!A79:B192,MATCH(C78,'Pivot Table 2'!A79:A192,0),2),0)</f>
        <v>0</v>
      </c>
      <c r="E78">
        <f t="array" ref="E78">INDEX('Pivot Table 3'!A78:B185,MATCH(C78,'Pivot Table 3'!A78:A185,0),2)</f>
        <v>55000</v>
      </c>
      <c r="F78" t="str">
        <f t="shared" si="1"/>
        <v/>
      </c>
    </row>
    <row r="79" hidden="1">
      <c r="A79" t="s">
        <v>277</v>
      </c>
      <c r="C79" t="s">
        <v>277</v>
      </c>
      <c r="D79">
        <f t="array" ref="D79">iferror(INDEX('Pivot Table 2'!A80:B193,MATCH(C79,'Pivot Table 2'!A80:A193,0),2),0)</f>
        <v>15000</v>
      </c>
      <c r="E79">
        <f t="array" ref="E79">INDEX('Pivot Table 3'!A79:B186,MATCH(C79,'Pivot Table 3'!A79:A186,0),2)</f>
        <v>15000</v>
      </c>
      <c r="F79" t="str">
        <f t="shared" si="1"/>
        <v/>
      </c>
    </row>
    <row r="80" hidden="1">
      <c r="A80" t="s">
        <v>632</v>
      </c>
      <c r="C80" t="s">
        <v>632</v>
      </c>
      <c r="D80">
        <f t="array" ref="D80">iferror(INDEX('Pivot Table 2'!A81:B194,MATCH(C80,'Pivot Table 2'!A81:A194,0),2),0)</f>
        <v>0</v>
      </c>
      <c r="E80">
        <f t="array" ref="E80">INDEX('Pivot Table 3'!A80:B187,MATCH(C80,'Pivot Table 3'!A80:A187,0),2)</f>
        <v>8826</v>
      </c>
      <c r="F80" t="str">
        <f t="shared" si="1"/>
        <v/>
      </c>
    </row>
    <row r="81" hidden="1">
      <c r="A81" t="s">
        <v>721</v>
      </c>
      <c r="C81" t="s">
        <v>721</v>
      </c>
      <c r="D81">
        <f t="array" ref="D81">iferror(INDEX('Pivot Table 2'!A82:B195,MATCH(C81,'Pivot Table 2'!A82:A195,0),2),0)</f>
        <v>0</v>
      </c>
      <c r="E81">
        <f t="array" ref="E81">INDEX('Pivot Table 3'!A81:B188,MATCH(C81,'Pivot Table 3'!A81:A188,0),2)</f>
        <v>50000</v>
      </c>
      <c r="F81" t="str">
        <f t="shared" si="1"/>
        <v/>
      </c>
    </row>
    <row r="82" hidden="1">
      <c r="A82" t="s">
        <v>519</v>
      </c>
      <c r="C82" t="s">
        <v>519</v>
      </c>
      <c r="D82">
        <f t="array" ref="D82">iferror(INDEX('Pivot Table 2'!A83:B196,MATCH(C82,'Pivot Table 2'!A83:A196,0),2),0)</f>
        <v>0</v>
      </c>
      <c r="E82">
        <f t="array" ref="E82">INDEX('Pivot Table 3'!A82:B189,MATCH(C82,'Pivot Table 3'!A82:A189,0),2)</f>
        <v>25000</v>
      </c>
      <c r="F82" t="str">
        <f t="shared" si="1"/>
        <v/>
      </c>
    </row>
    <row r="83" hidden="1">
      <c r="A83" t="s">
        <v>164</v>
      </c>
      <c r="C83" t="s">
        <v>164</v>
      </c>
      <c r="D83">
        <f t="array" ref="D83">iferror(INDEX('Pivot Table 2'!A84:B197,MATCH(C83,'Pivot Table 2'!A84:A197,0),2),0)</f>
        <v>14500</v>
      </c>
      <c r="E83">
        <f t="array" ref="E83">INDEX('Pivot Table 3'!A83:B190,MATCH(C83,'Pivot Table 3'!A83:A190,0),2)</f>
        <v>6000</v>
      </c>
      <c r="F83" t="str">
        <f t="shared" si="1"/>
        <v/>
      </c>
    </row>
    <row r="84" hidden="1">
      <c r="A84" t="s">
        <v>710</v>
      </c>
      <c r="C84" t="s">
        <v>710</v>
      </c>
      <c r="D84">
        <f t="array" ref="D84">iferror(INDEX('Pivot Table 2'!A85:B198,MATCH(C84,'Pivot Table 2'!A85:A198,0),2),0)</f>
        <v>0</v>
      </c>
      <c r="E84">
        <f t="array" ref="E84">INDEX('Pivot Table 3'!A84:B191,MATCH(C84,'Pivot Table 3'!A84:A191,0),2)</f>
        <v>25000</v>
      </c>
      <c r="F84" t="str">
        <f t="shared" si="1"/>
        <v/>
      </c>
    </row>
    <row r="85" hidden="1">
      <c r="A85" t="s">
        <v>568</v>
      </c>
      <c r="C85" t="s">
        <v>568</v>
      </c>
      <c r="D85">
        <f t="array" ref="D85">iferror(INDEX('Pivot Table 2'!A86:B199,MATCH(C85,'Pivot Table 2'!A86:A199,0),2),0)</f>
        <v>0</v>
      </c>
      <c r="E85">
        <f t="array" ref="E85">INDEX('Pivot Table 3'!A85:B192,MATCH(C85,'Pivot Table 3'!A85:A192,0),2)</f>
        <v>458000</v>
      </c>
      <c r="F85" t="str">
        <f t="shared" si="1"/>
        <v/>
      </c>
    </row>
    <row r="86" hidden="1">
      <c r="A86" t="s">
        <v>736</v>
      </c>
      <c r="C86" t="s">
        <v>736</v>
      </c>
      <c r="D86">
        <f t="array" ref="D86">iferror(INDEX('Pivot Table 2'!A87:B200,MATCH(C86,'Pivot Table 2'!A87:A200,0),2),0)</f>
        <v>0</v>
      </c>
      <c r="E86">
        <f t="array" ref="E86">INDEX('Pivot Table 3'!A86:B193,MATCH(C86,'Pivot Table 3'!A86:A193,0),2)</f>
        <v>56400</v>
      </c>
      <c r="F86" t="str">
        <f t="shared" si="1"/>
        <v/>
      </c>
    </row>
    <row r="87" hidden="1">
      <c r="A87" t="s">
        <v>730</v>
      </c>
      <c r="C87" t="s">
        <v>730</v>
      </c>
      <c r="D87">
        <f t="array" ref="D87">iferror(INDEX('Pivot Table 2'!A88:B201,MATCH(C87,'Pivot Table 2'!A88:A201,0),2),0)</f>
        <v>0</v>
      </c>
      <c r="E87">
        <f t="array" ref="E87">INDEX('Pivot Table 3'!A87:B194,MATCH(C87,'Pivot Table 3'!A87:A194,0),2)</f>
        <v>8000</v>
      </c>
      <c r="F87" t="str">
        <f t="shared" si="1"/>
        <v/>
      </c>
    </row>
    <row r="88" hidden="1">
      <c r="A88" t="s">
        <v>577</v>
      </c>
      <c r="C88" t="s">
        <v>577</v>
      </c>
      <c r="D88">
        <f t="array" ref="D88">iferror(INDEX('Pivot Table 2'!A89:B202,MATCH(C88,'Pivot Table 2'!A89:A202,0),2),0)</f>
        <v>0</v>
      </c>
      <c r="E88">
        <f t="array" ref="E88">INDEX('Pivot Table 3'!A88:B195,MATCH(C88,'Pivot Table 3'!A88:A195,0),2)</f>
        <v>91379</v>
      </c>
      <c r="F88" t="str">
        <f t="shared" si="1"/>
        <v/>
      </c>
    </row>
    <row r="89" hidden="1">
      <c r="A89" t="s">
        <v>629</v>
      </c>
      <c r="C89" t="s">
        <v>629</v>
      </c>
      <c r="D89">
        <f t="array" ref="D89">iferror(INDEX('Pivot Table 2'!A90:B203,MATCH(C89,'Pivot Table 2'!A90:A203,0),2),0)</f>
        <v>0</v>
      </c>
      <c r="E89">
        <f t="array" ref="E89">INDEX('Pivot Table 3'!A89:B196,MATCH(C89,'Pivot Table 3'!A89:A196,0),2)</f>
        <v>6700</v>
      </c>
      <c r="F89" t="str">
        <f t="shared" si="1"/>
        <v/>
      </c>
    </row>
    <row r="90">
      <c r="A90" t="s">
        <v>84</v>
      </c>
      <c r="C90" t="s">
        <v>84</v>
      </c>
      <c r="D90">
        <f t="array" ref="D90">iferror(INDEX('Pivot Table 2'!A91:B204,MATCH(C90,'Pivot Table 2'!A91:A204,0),2),0)</f>
        <v>35000</v>
      </c>
      <c r="E90">
        <f t="array" ref="E90">INDEX('Pivot Table 3'!A90:B197,MATCH(C90,'Pivot Table 3'!A90:A197,0),2)</f>
        <v>98250</v>
      </c>
      <c r="F90" t="str">
        <f t="shared" si="1"/>
        <v>OUI</v>
      </c>
    </row>
    <row r="91" hidden="1">
      <c r="A91" t="s">
        <v>481</v>
      </c>
      <c r="C91" t="s">
        <v>481</v>
      </c>
      <c r="D91">
        <f t="array" ref="D91">iferror(INDEX('Pivot Table 2'!A92:B205,MATCH(C91,'Pivot Table 2'!A92:A205,0),2),0)</f>
        <v>0</v>
      </c>
      <c r="E91">
        <f t="array" ref="E91">INDEX('Pivot Table 3'!A91:B198,MATCH(C91,'Pivot Table 3'!A91:A198,0),2)</f>
        <v>225000</v>
      </c>
      <c r="F91" t="str">
        <f t="shared" si="1"/>
        <v/>
      </c>
    </row>
    <row r="92" hidden="1">
      <c r="A92" t="s">
        <v>540</v>
      </c>
      <c r="C92" t="s">
        <v>540</v>
      </c>
      <c r="D92">
        <f t="array" ref="D92">iferror(INDEX('Pivot Table 2'!A93:B206,MATCH(C92,'Pivot Table 2'!A93:A206,0),2),0)</f>
        <v>0</v>
      </c>
      <c r="E92">
        <f t="array" ref="E92">INDEX('Pivot Table 3'!A92:B199,MATCH(C92,'Pivot Table 3'!A92:A199,0),2)</f>
        <v>3141000</v>
      </c>
      <c r="F92" t="str">
        <f t="shared" si="1"/>
        <v/>
      </c>
    </row>
    <row r="93" hidden="1">
      <c r="A93" t="s">
        <v>712</v>
      </c>
      <c r="C93" t="s">
        <v>712</v>
      </c>
      <c r="D93">
        <f t="array" ref="D93">iferror(INDEX('Pivot Table 2'!A94:B207,MATCH(C93,'Pivot Table 2'!A94:A207,0),2),0)</f>
        <v>0</v>
      </c>
      <c r="E93">
        <f t="array" ref="E93">INDEX('Pivot Table 3'!A93:B200,MATCH(C93,'Pivot Table 3'!A93:A200,0),2)</f>
        <v>5800</v>
      </c>
      <c r="F93" t="str">
        <f t="shared" si="1"/>
        <v/>
      </c>
    </row>
    <row r="94" hidden="1">
      <c r="A94" t="s">
        <v>548</v>
      </c>
      <c r="C94" t="s">
        <v>548</v>
      </c>
      <c r="D94">
        <f t="array" ref="D94">iferror(INDEX('Pivot Table 2'!A95:B208,MATCH(C94,'Pivot Table 2'!A95:A208,0),2),0)</f>
        <v>0</v>
      </c>
      <c r="E94">
        <f t="array" ref="E94">INDEX('Pivot Table 3'!A94:B201,MATCH(C94,'Pivot Table 3'!A94:A201,0),2)</f>
        <v>15000</v>
      </c>
      <c r="F94" t="str">
        <f t="shared" si="1"/>
        <v/>
      </c>
    </row>
    <row r="95" hidden="1">
      <c r="A95" t="s">
        <v>240</v>
      </c>
      <c r="C95" t="s">
        <v>240</v>
      </c>
      <c r="D95">
        <f t="array" ref="D95">iferror(INDEX('Pivot Table 2'!A96:B209,MATCH(C95,'Pivot Table 2'!A96:A209,0),2),0)</f>
        <v>15200</v>
      </c>
      <c r="E95">
        <f t="array" ref="E95">INDEX('Pivot Table 3'!A95:B202,MATCH(C95,'Pivot Table 3'!A95:A202,0),2)</f>
        <v>15200</v>
      </c>
      <c r="F95" t="str">
        <f t="shared" si="1"/>
        <v/>
      </c>
    </row>
    <row r="96" hidden="1">
      <c r="A96" t="s">
        <v>538</v>
      </c>
      <c r="C96" t="s">
        <v>538</v>
      </c>
      <c r="D96">
        <f t="array" ref="D96">iferror(INDEX('Pivot Table 2'!A97:B210,MATCH(C96,'Pivot Table 2'!A97:A210,0),2),0)</f>
        <v>0</v>
      </c>
      <c r="E96">
        <f t="array" ref="E96">INDEX('Pivot Table 3'!A96:B203,MATCH(C96,'Pivot Table 3'!A96:A203,0),2)</f>
        <v>114000</v>
      </c>
      <c r="F96" t="str">
        <f t="shared" si="1"/>
        <v/>
      </c>
    </row>
    <row r="97" hidden="1">
      <c r="A97" t="s">
        <v>739</v>
      </c>
      <c r="C97" t="s">
        <v>739</v>
      </c>
      <c r="D97">
        <f t="array" ref="D97">iferror(INDEX('Pivot Table 2'!A98:B211,MATCH(C97,'Pivot Table 2'!A98:A211,0),2),0)</f>
        <v>0</v>
      </c>
      <c r="E97">
        <f t="array" ref="E97">INDEX('Pivot Table 3'!A97:B204,MATCH(C97,'Pivot Table 3'!A97:A204,0),2)</f>
        <v>25000</v>
      </c>
      <c r="F97" t="str">
        <f t="shared" si="1"/>
        <v/>
      </c>
    </row>
    <row r="98" hidden="1">
      <c r="A98" t="s">
        <v>593</v>
      </c>
      <c r="C98" t="s">
        <v>593</v>
      </c>
      <c r="D98">
        <f t="array" ref="D98">iferror(INDEX('Pivot Table 2'!A99:B212,MATCH(C98,'Pivot Table 2'!A99:A212,0),2),0)</f>
        <v>0</v>
      </c>
      <c r="E98">
        <f t="array" ref="E98">INDEX('Pivot Table 3'!A98:B205,MATCH(C98,'Pivot Table 3'!A98:A205,0),2)</f>
        <v>5000</v>
      </c>
      <c r="F98" t="str">
        <f t="shared" si="1"/>
        <v/>
      </c>
    </row>
    <row r="99" hidden="1">
      <c r="A99" t="s">
        <v>104</v>
      </c>
      <c r="C99" t="s">
        <v>104</v>
      </c>
      <c r="D99">
        <f t="array" ref="D99">iferror(INDEX('Pivot Table 2'!A100:B213,MATCH(C99,'Pivot Table 2'!A100:A213,0),2),0)</f>
        <v>41000</v>
      </c>
      <c r="E99">
        <f t="array" ref="E99">INDEX('Pivot Table 3'!A99:B206,MATCH(C99,'Pivot Table 3'!A99:A206,0),2)</f>
        <v>26000</v>
      </c>
      <c r="F99" t="str">
        <f t="shared" si="1"/>
        <v/>
      </c>
    </row>
    <row r="100" hidden="1">
      <c r="A100" t="s">
        <v>502</v>
      </c>
      <c r="C100" t="s">
        <v>502</v>
      </c>
      <c r="D100">
        <f t="array" ref="D100">iferror(INDEX('Pivot Table 2'!A101:B214,MATCH(C100,'Pivot Table 2'!A101:A214,0),2),0)</f>
        <v>0</v>
      </c>
      <c r="E100">
        <f t="array" ref="E100">INDEX('Pivot Table 3'!A100:B207,MATCH(C100,'Pivot Table 3'!A100:A207,0),2)</f>
        <v>400000</v>
      </c>
      <c r="F100" t="str">
        <f t="shared" si="1"/>
        <v/>
      </c>
    </row>
    <row r="101" hidden="1">
      <c r="A101" t="s">
        <v>485</v>
      </c>
      <c r="C101" t="s">
        <v>485</v>
      </c>
      <c r="D101">
        <f t="array" ref="D101">iferror(INDEX('Pivot Table 2'!A102:B215,MATCH(C101,'Pivot Table 2'!A102:A215,0),2),0)</f>
        <v>0</v>
      </c>
      <c r="E101">
        <f t="array" ref="E101">INDEX('Pivot Table 3'!A101:B208,MATCH(C101,'Pivot Table 3'!A101:A208,0),2)</f>
        <v>216000</v>
      </c>
      <c r="F101" t="str">
        <f t="shared" si="1"/>
        <v/>
      </c>
    </row>
    <row r="102" hidden="1">
      <c r="A102" t="s">
        <v>478</v>
      </c>
      <c r="C102" t="s">
        <v>478</v>
      </c>
      <c r="D102">
        <f t="array" ref="D102">iferror(INDEX('Pivot Table 2'!A103:B216,MATCH(C102,'Pivot Table 2'!A103:A216,0),2),0)</f>
        <v>0</v>
      </c>
      <c r="E102">
        <f t="array" ref="E102">INDEX('Pivot Table 3'!A102:B209,MATCH(C102,'Pivot Table 3'!A102:A209,0),2)</f>
        <v>10000</v>
      </c>
      <c r="F102" t="str">
        <f t="shared" si="1"/>
        <v/>
      </c>
    </row>
    <row r="103" hidden="1">
      <c r="A103" t="s">
        <v>526</v>
      </c>
      <c r="C103" t="s">
        <v>526</v>
      </c>
      <c r="D103">
        <f t="array" ref="D103">iferror(INDEX('Pivot Table 2'!A104:B217,MATCH(C103,'Pivot Table 2'!A104:A217,0),2),0)</f>
        <v>0</v>
      </c>
      <c r="E103">
        <f t="array" ref="E103">INDEX('Pivot Table 3'!A103:B210,MATCH(C103,'Pivot Table 3'!A103:A210,0),2)</f>
        <v>165000</v>
      </c>
      <c r="F103" t="str">
        <f t="shared" si="1"/>
        <v/>
      </c>
    </row>
    <row r="104" hidden="1">
      <c r="A104" t="s">
        <v>641</v>
      </c>
      <c r="C104" t="s">
        <v>641</v>
      </c>
      <c r="D104">
        <f t="array" ref="D104">iferror(INDEX('Pivot Table 2'!A105:B218,MATCH(C104,'Pivot Table 2'!A105:A218,0),2),0)</f>
        <v>0</v>
      </c>
      <c r="E104">
        <f t="array" ref="E104">INDEX('Pivot Table 3'!A104:B211,MATCH(C104,'Pivot Table 3'!A104:A211,0),2)</f>
        <v>58000</v>
      </c>
      <c r="F104" t="str">
        <f t="shared" si="1"/>
        <v/>
      </c>
    </row>
    <row r="105" hidden="1">
      <c r="A105" t="s">
        <v>743</v>
      </c>
      <c r="C105" t="s">
        <v>743</v>
      </c>
      <c r="D105">
        <f t="array" ref="D105">iferror(INDEX('Pivot Table 2'!A106:B219,MATCH(C105,'Pivot Table 2'!A106:A219,0),2),0)</f>
        <v>0</v>
      </c>
      <c r="E105">
        <f t="array" ref="E105">INDEX('Pivot Table 3'!A105:B212,MATCH(C105,'Pivot Table 3'!A105:A212,0),2)</f>
        <v>69000</v>
      </c>
      <c r="F105" t="str">
        <f t="shared" si="1"/>
        <v/>
      </c>
    </row>
    <row r="106" hidden="1">
      <c r="A106" t="s">
        <v>145</v>
      </c>
      <c r="C106" t="s">
        <v>145</v>
      </c>
      <c r="D106">
        <f t="array" ref="D106">iferror(INDEX('Pivot Table 2'!A107:B220,MATCH(C106,'Pivot Table 2'!A107:A220,0),2),0)</f>
        <v>88000</v>
      </c>
      <c r="E106">
        <f t="array" ref="E106">INDEX('Pivot Table 3'!A106:B213,MATCH(C106,'Pivot Table 3'!A106:A213,0),2)</f>
        <v>5000</v>
      </c>
      <c r="F106" t="str">
        <f t="shared" si="1"/>
        <v/>
      </c>
    </row>
    <row r="107" hidden="1">
      <c r="A107" t="s">
        <v>700</v>
      </c>
      <c r="C107" t="s">
        <v>700</v>
      </c>
      <c r="D107">
        <f t="array" ref="D107">iferror(INDEX('Pivot Table 2'!A108:B221,MATCH(C107,'Pivot Table 2'!A108:A221,0),2),0)</f>
        <v>0</v>
      </c>
      <c r="E107">
        <f t="array" ref="E107">INDEX('Pivot Table 3'!A107:B214,MATCH(C107,'Pivot Table 3'!A107:A214,0),2)</f>
        <v>25000</v>
      </c>
      <c r="F107" t="str">
        <f t="shared" si="1"/>
        <v/>
      </c>
    </row>
    <row r="108" hidden="1">
      <c r="A108" t="s">
        <v>494</v>
      </c>
      <c r="C108" t="s">
        <v>494</v>
      </c>
      <c r="D108">
        <f t="array" ref="D108">iferror(INDEX('Pivot Table 2'!A109:B222,MATCH(C108,'Pivot Table 2'!A109:A222,0),2),0)</f>
        <v>0</v>
      </c>
      <c r="E108">
        <f t="array" ref="E108">INDEX('Pivot Table 3'!A108:B215,MATCH(C108,'Pivot Table 3'!A108:A215,0),2)</f>
        <v>55000</v>
      </c>
      <c r="F108" t="str">
        <f t="shared" si="1"/>
        <v/>
      </c>
    </row>
    <row r="109" hidden="1">
      <c r="A109" t="s">
        <v>623</v>
      </c>
      <c r="C109" t="s">
        <v>623</v>
      </c>
      <c r="D109">
        <f t="array" ref="D109">iferror(INDEX('Pivot Table 2'!A110:B223,MATCH(C109,'Pivot Table 2'!A110:A223,0),2),0)</f>
        <v>0</v>
      </c>
      <c r="E109">
        <f t="array" ref="E109">INDEX('Pivot Table 3'!A109:B216,MATCH(C109,'Pivot Table 3'!A109:A216,0),2)</f>
        <v>10000</v>
      </c>
      <c r="F109" t="str">
        <f t="shared" si="1"/>
        <v/>
      </c>
    </row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autoFilter ref="$F$1:$F$1001">
    <filterColumn colId="0">
      <filters>
        <filter val="OUI"/>
      </filters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18.38"/>
    <col customWidth="1" min="3" max="3" width="14.5"/>
  </cols>
  <sheetData>
    <row r="1" ht="27.0" customHeight="1">
      <c r="A1" s="11" t="s">
        <v>807</v>
      </c>
      <c r="B1" s="11" t="s">
        <v>808</v>
      </c>
      <c r="C1" s="11" t="s">
        <v>809</v>
      </c>
      <c r="D1" s="11" t="s">
        <v>810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tr">
        <f t="array" ref="A2:A116">UNIQUE('2018 clean final'!A2:A1001)</f>
        <v>A.DE.LE</v>
      </c>
      <c r="B2" s="13" t="str">
        <f t="array" ref="B2:B188">UNIQUE(A2:A224)</f>
        <v>A.DE.LE</v>
      </c>
      <c r="C2" s="13">
        <f t="array" ref="C2">iferror(INDEX('2018 clean final'!A2:B144,match(B2,'2018 clean final'!A2:A144,0),2),0)</f>
        <v>25000</v>
      </c>
      <c r="D2" s="13">
        <f t="array" ref="D2">iferror(INDEX('2019 clean final'!A:B,MATCH(B2,'2019 clean final'!A:A,0),2),0)</f>
        <v>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 t="s">
        <v>235</v>
      </c>
      <c r="B3" s="13" t="s">
        <v>235</v>
      </c>
      <c r="C3" s="13">
        <f t="array" ref="C3">iferror(INDEX('2018 clean final'!A3:B145,match(B3,'2018 clean final'!A3:A145,0),2),0)</f>
        <v>2100</v>
      </c>
      <c r="D3" s="13">
        <f t="array" ref="D3">iferror(INDEX('2019 clean final'!A:B,MATCH(B3,'2019 clean final'!A:A,0),2),0)</f>
        <v>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 t="s">
        <v>419</v>
      </c>
      <c r="B4" s="13" t="s">
        <v>419</v>
      </c>
      <c r="C4" s="13">
        <f t="array" ref="C4">iferror(INDEX('2018 clean final'!A4:B146,match(B4,'2018 clean final'!A4:A146,0),2),0)</f>
        <v>87400</v>
      </c>
      <c r="D4" s="13">
        <f t="array" ref="D4">iferror(INDEX('2019 clean final'!A:B,MATCH(B4,'2019 clean final'!A:A,0),2),0)</f>
        <v>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 t="s">
        <v>293</v>
      </c>
      <c r="B5" s="13" t="s">
        <v>293</v>
      </c>
      <c r="C5" s="13">
        <f t="array" ref="C5">iferror(INDEX('2018 clean final'!A5:B147,match(B5,'2018 clean final'!A5:A147,0),2),0)</f>
        <v>58000</v>
      </c>
      <c r="D5" s="13">
        <f t="array" ref="D5">iferror(INDEX('2019 clean final'!A:B,MATCH(B5,'2019 clean final'!A:A,0),2),0)</f>
        <v>58000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 t="s">
        <v>757</v>
      </c>
      <c r="B6" s="13" t="s">
        <v>757</v>
      </c>
      <c r="C6" s="13">
        <f t="array" ref="C6">iferror(INDEX('2018 clean final'!A6:B148,match(B6,'2018 clean final'!A6:A148,0),2),0)</f>
        <v>24000</v>
      </c>
      <c r="D6" s="13">
        <f t="array" ref="D6">iferror(INDEX('2019 clean final'!A:B,MATCH(B6,'2019 clean final'!A:A,0),2),0)</f>
        <v>0</v>
      </c>
      <c r="E6" s="13"/>
      <c r="F6" s="13">
        <f>MATCH(B6,A2:A11)</f>
        <v>5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 t="s">
        <v>203</v>
      </c>
      <c r="B7" s="13" t="s">
        <v>203</v>
      </c>
      <c r="C7" s="13">
        <f t="array" ref="C7">iferror(INDEX('2018 clean final'!A7:B149,match(B7,'2018 clean final'!A7:A149,0),2),0)</f>
        <v>45000</v>
      </c>
      <c r="D7" s="13">
        <f t="array" ref="D7">iferror(INDEX('2019 clean final'!A:B,MATCH(B7,'2019 clean final'!A:A,0),2),0)</f>
        <v>15000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 t="s">
        <v>224</v>
      </c>
      <c r="B8" s="13" t="s">
        <v>224</v>
      </c>
      <c r="C8" s="13">
        <f t="array" ref="C8">iferror(INDEX('2018 clean final'!A8:B150,match(B8,'2018 clean final'!A8:A150,0),2),0)</f>
        <v>7190</v>
      </c>
      <c r="D8" s="13">
        <f t="array" ref="D8">iferror(INDEX('2019 clean final'!A:B,MATCH(B8,'2019 clean final'!A:A,0),2),0)</f>
        <v>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 t="s">
        <v>758</v>
      </c>
      <c r="B9" s="13" t="s">
        <v>758</v>
      </c>
      <c r="C9" s="13">
        <f t="array" ref="C9">iferror(INDEX('2018 clean final'!A9:B151,match(B9,'2018 clean final'!A9:A151,0),2),0)</f>
        <v>97740</v>
      </c>
      <c r="D9" s="13">
        <f t="array" ref="D9">iferror(INDEX('2019 clean final'!A:B,MATCH(B9,'2019 clean final'!A:A,0),2),0)</f>
        <v>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 t="s">
        <v>759</v>
      </c>
      <c r="B10" s="13" t="s">
        <v>759</v>
      </c>
      <c r="C10" s="13">
        <f t="array" ref="C10">iferror(INDEX('2018 clean final'!A10:B152,match(B10,'2018 clean final'!A10:A152,0),2),0)</f>
        <v>40000</v>
      </c>
      <c r="D10" s="13">
        <f t="array" ref="D10">iferror(INDEX('2019 clean final'!A:B,MATCH(B10,'2019 clean final'!A:A,0),2),0)</f>
        <v>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 t="s">
        <v>328</v>
      </c>
      <c r="B11" s="13" t="s">
        <v>328</v>
      </c>
      <c r="C11" s="13">
        <f t="array" ref="C11">iferror(INDEX('2018 clean final'!A11:B153,match(B11,'2018 clean final'!A11:A153,0),2),0)</f>
        <v>25000</v>
      </c>
      <c r="D11" s="13">
        <f t="array" ref="D11">iferror(INDEX('2019 clean final'!A:B,MATCH(B11,'2019 clean final'!A:A,0),2),0)</f>
        <v>14500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 t="s">
        <v>439</v>
      </c>
      <c r="B12" s="13" t="s">
        <v>439</v>
      </c>
      <c r="C12" s="13">
        <f t="array" ref="C12">iferror(INDEX('2018 clean final'!A12:B154,match(B12,'2018 clean final'!A12:A154,0),2),0)</f>
        <v>90000</v>
      </c>
      <c r="D12" s="13">
        <f t="array" ref="D12">iferror(INDEX('2019 clean final'!A:B,MATCH(B12,'2019 clean final'!A:A,0),2),0)</f>
        <v>90000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 t="s">
        <v>356</v>
      </c>
      <c r="B13" s="13" t="s">
        <v>356</v>
      </c>
      <c r="C13" s="13">
        <f t="array" ref="C13">iferror(INDEX('2018 clean final'!A13:B155,match(B13,'2018 clean final'!A13:A155,0),2),0)</f>
        <v>60000</v>
      </c>
      <c r="D13" s="13">
        <f t="array" ref="D13">iferror(INDEX('2019 clean final'!A:B,MATCH(B13,'2019 clean final'!A:A,0),2),0)</f>
        <v>58000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 t="s">
        <v>415</v>
      </c>
      <c r="B14" s="13" t="s">
        <v>415</v>
      </c>
      <c r="C14" s="13">
        <f t="array" ref="C14">iferror(INDEX('2018 clean final'!A14:B156,match(B14,'2018 clean final'!A14:A156,0),2),0)</f>
        <v>14250</v>
      </c>
      <c r="D14" s="13">
        <f t="array" ref="D14">iferror(INDEX('2019 clean final'!A:B,MATCH(B14,'2019 clean final'!A:A,0),2),0)</f>
        <v>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 t="s">
        <v>760</v>
      </c>
      <c r="B15" s="13" t="s">
        <v>760</v>
      </c>
      <c r="C15" s="13">
        <f t="array" ref="C15">iferror(INDEX('2018 clean final'!A15:B157,match(B15,'2018 clean final'!A15:A157,0),2),0)</f>
        <v>180000</v>
      </c>
      <c r="D15" s="13">
        <f t="array" ref="D15">iferror(INDEX('2019 clean final'!A:B,MATCH(B15,'2019 clean final'!A:A,0),2),0)</f>
        <v>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 t="s">
        <v>761</v>
      </c>
      <c r="B16" s="13" t="s">
        <v>761</v>
      </c>
      <c r="C16" s="13">
        <f t="array" ref="C16">iferror(INDEX('2018 clean final'!A16:B158,match(B16,'2018 clean final'!A16:A158,0),2),0)</f>
        <v>137000</v>
      </c>
      <c r="D16" s="13">
        <f t="array" ref="D16">iferror(INDEX('2019 clean final'!A:B,MATCH(B16,'2019 clean final'!A:A,0),2),0)</f>
        <v>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 t="s">
        <v>243</v>
      </c>
      <c r="B17" s="13" t="s">
        <v>243</v>
      </c>
      <c r="C17" s="13">
        <f t="array" ref="C17">iferror(INDEX('2018 clean final'!A17:B159,match(B17,'2018 clean final'!A17:A159,0),2),0)</f>
        <v>57000</v>
      </c>
      <c r="D17" s="13">
        <f t="array" ref="D17">iferror(INDEX('2019 clean final'!A:B,MATCH(B17,'2019 clean final'!A:A,0),2),0)</f>
        <v>57000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 t="s">
        <v>733</v>
      </c>
      <c r="B18" s="13" t="s">
        <v>733</v>
      </c>
      <c r="C18" s="13">
        <f t="array" ref="C18">iferror(INDEX('2018 clean final'!A18:B160,match(B18,'2018 clean final'!A18:A160,0),2),0)</f>
        <v>6500</v>
      </c>
      <c r="D18" s="13">
        <f t="array" ref="D18">iferror(INDEX('2019 clean final'!A:B,MATCH(B18,'2019 clean final'!A:A,0),2),0)</f>
        <v>6500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 t="s">
        <v>182</v>
      </c>
      <c r="B19" s="13" t="s">
        <v>182</v>
      </c>
      <c r="C19" s="13">
        <f t="array" ref="C19">iferror(INDEX('2018 clean final'!A19:B161,match(B19,'2018 clean final'!A19:A161,0),2),0)</f>
        <v>33250</v>
      </c>
      <c r="D19" s="13">
        <f t="array" ref="D19">iferror(INDEX('2019 clean final'!A:B,MATCH(B19,'2019 clean final'!A:A,0),2),0)</f>
        <v>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 t="s">
        <v>179</v>
      </c>
      <c r="B20" s="13" t="s">
        <v>179</v>
      </c>
      <c r="C20" s="13">
        <f t="array" ref="C20">iferror(INDEX('2018 clean final'!A20:B162,match(B20,'2018 clean final'!A20:A162,0),2),0)</f>
        <v>407253</v>
      </c>
      <c r="D20" s="13">
        <f t="array" ref="D20">iferror(INDEX('2019 clean final'!A:B,MATCH(B20,'2019 clean final'!A:A,0),2),0)</f>
        <v>407253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 t="s">
        <v>762</v>
      </c>
      <c r="B21" s="13" t="s">
        <v>762</v>
      </c>
      <c r="C21" s="13">
        <f t="array" ref="C21">iferror(INDEX('2018 clean final'!A21:B163,match(B21,'2018 clean final'!A21:A163,0),2),0)</f>
        <v>47500</v>
      </c>
      <c r="D21" s="13">
        <f t="array" ref="D21">iferror(INDEX('2019 clean final'!A:B,MATCH(B21,'2019 clean final'!A:A,0),2),0)</f>
        <v>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 t="s">
        <v>763</v>
      </c>
      <c r="B22" s="13" t="s">
        <v>763</v>
      </c>
      <c r="C22" s="13">
        <f t="array" ref="C22">iferror(INDEX('2018 clean final'!A22:B164,match(B22,'2018 clean final'!A22:A164,0),2),0)</f>
        <v>9610</v>
      </c>
      <c r="D22" s="13">
        <f t="array" ref="D22">iferror(INDEX('2019 clean final'!A:B,MATCH(B22,'2019 clean final'!A:A,0),2),0)</f>
        <v>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 t="s">
        <v>764</v>
      </c>
      <c r="B23" s="13" t="s">
        <v>764</v>
      </c>
      <c r="C23" s="13">
        <f t="array" ref="C23">iferror(INDEX('2018 clean final'!A23:B165,match(B23,'2018 clean final'!A23:A165,0),2),0)</f>
        <v>7900</v>
      </c>
      <c r="D23" s="13">
        <f t="array" ref="D23">iferror(INDEX('2019 clean final'!A:B,MATCH(B23,'2019 clean final'!A:A,0),2),0)</f>
        <v>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 t="s">
        <v>765</v>
      </c>
      <c r="B24" s="13" t="s">
        <v>765</v>
      </c>
      <c r="C24" s="13">
        <f t="array" ref="C24">iferror(INDEX('2018 clean final'!A24:B166,match(B24,'2018 clean final'!A24:A166,0),2),0)</f>
        <v>150000</v>
      </c>
      <c r="D24" s="13">
        <f t="array" ref="D24">iferror(INDEX('2019 clean final'!A:B,MATCH(B24,'2019 clean final'!A:A,0),2),0)</f>
        <v>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 t="s">
        <v>766</v>
      </c>
      <c r="B25" s="13" t="s">
        <v>766</v>
      </c>
      <c r="C25" s="13">
        <f t="array" ref="C25">iferror(INDEX('2018 clean final'!A25:B167,match(B25,'2018 clean final'!A25:A167,0),2),0)</f>
        <v>23500</v>
      </c>
      <c r="D25" s="13">
        <f t="array" ref="D25">iferror(INDEX('2019 clean final'!A:B,MATCH(B25,'2019 clean final'!A:A,0),2),0)</f>
        <v>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 t="s">
        <v>767</v>
      </c>
      <c r="B26" s="13" t="s">
        <v>767</v>
      </c>
      <c r="C26" s="13">
        <f t="array" ref="C26">iferror(INDEX('2018 clean final'!A26:B168,match(B26,'2018 clean final'!A26:A168,0),2),0)</f>
        <v>40000</v>
      </c>
      <c r="D26" s="13">
        <f t="array" ref="D26">iferror(INDEX('2019 clean final'!A:B,MATCH(B26,'2019 clean final'!A:A,0),2),0)</f>
        <v>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 t="s">
        <v>136</v>
      </c>
      <c r="B27" s="13" t="s">
        <v>136</v>
      </c>
      <c r="C27" s="13">
        <f t="array" ref="C27">iferror(INDEX('2018 clean final'!A27:B169,match(B27,'2018 clean final'!A27:A169,0),2),0)</f>
        <v>42750</v>
      </c>
      <c r="D27" s="13">
        <f t="array" ref="D27">iferror(INDEX('2019 clean final'!A:B,MATCH(B27,'2019 clean final'!A:A,0),2),0)</f>
        <v>42750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 t="s">
        <v>61</v>
      </c>
      <c r="B28" s="13" t="s">
        <v>61</v>
      </c>
      <c r="C28" s="13">
        <f t="array" ref="C28">iferror(INDEX('2018 clean final'!A28:B170,match(B28,'2018 clean final'!A28:A170,0),2),0)</f>
        <v>4372007</v>
      </c>
      <c r="D28" s="13">
        <f t="array" ref="D28">iferror(INDEX('2019 clean final'!A:B,MATCH(B28,'2019 clean final'!A:A,0),2),0)</f>
        <v>4372000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 t="s">
        <v>768</v>
      </c>
      <c r="B29" s="13" t="s">
        <v>768</v>
      </c>
      <c r="C29" s="13">
        <f t="array" ref="C29">iferror(INDEX('2018 clean final'!A29:B171,match(B29,'2018 clean final'!A29:A171,0),2),0)</f>
        <v>25000</v>
      </c>
      <c r="D29" s="13">
        <f t="array" ref="D29">iferror(INDEX('2019 clean final'!A:B,MATCH(B29,'2019 clean final'!A:A,0),2),0)</f>
        <v>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 t="s">
        <v>769</v>
      </c>
      <c r="B30" s="13" t="s">
        <v>769</v>
      </c>
      <c r="C30" s="13">
        <f t="array" ref="C30">iferror(INDEX('2018 clean final'!A30:B172,match(B30,'2018 clean final'!A30:A172,0),2),0)</f>
        <v>19025</v>
      </c>
      <c r="D30" s="13">
        <f t="array" ref="D30">iferror(INDEX('2019 clean final'!A:B,MATCH(B30,'2019 clean final'!A:A,0),2),0)</f>
        <v>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 t="s">
        <v>770</v>
      </c>
      <c r="B31" s="13" t="s">
        <v>770</v>
      </c>
      <c r="C31" s="13">
        <f t="array" ref="C31">iferror(INDEX('2018 clean final'!A31:B173,match(B31,'2018 clean final'!A31:A173,0),2),0)</f>
        <v>200000</v>
      </c>
      <c r="D31" s="13">
        <f t="array" ref="D31">iferror(INDEX('2019 clean final'!A:B,MATCH(B31,'2019 clean final'!A:A,0),2),0)</f>
        <v>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 t="s">
        <v>625</v>
      </c>
      <c r="B32" s="13" t="s">
        <v>625</v>
      </c>
      <c r="C32" s="13">
        <f t="array" ref="C32">iferror(INDEX('2018 clean final'!A32:B174,match(B32,'2018 clean final'!A32:A174,0),2),0)</f>
        <v>10000</v>
      </c>
      <c r="D32" s="13">
        <f t="array" ref="D32">iferror(INDEX('2019 clean final'!A:B,MATCH(B32,'2019 clean final'!A:A,0),2),0)</f>
        <v>10000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 t="s">
        <v>139</v>
      </c>
      <c r="B33" s="13" t="s">
        <v>139</v>
      </c>
      <c r="C33" s="13">
        <f t="array" ref="C33">iferror(INDEX('2018 clean final'!A33:B175,match(B33,'2018 clean final'!A33:A175,0),2),0)</f>
        <v>5000</v>
      </c>
      <c r="D33" s="13">
        <f t="array" ref="D33">iferror(INDEX('2019 clean final'!A:B,MATCH(B33,'2019 clean final'!A:A,0),2),0)</f>
        <v>8000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 t="s">
        <v>613</v>
      </c>
      <c r="B34" s="13" t="s">
        <v>613</v>
      </c>
      <c r="C34" s="13">
        <f t="array" ref="C34">iferror(INDEX('2018 clean final'!A34:B176,match(B34,'2018 clean final'!A34:A176,0),2),0)</f>
        <v>420000</v>
      </c>
      <c r="D34" s="13">
        <f t="array" ref="D34">iferror(INDEX('2019 clean final'!A:B,MATCH(B34,'2019 clean final'!A:A,0),2),0)</f>
        <v>440000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 t="s">
        <v>309</v>
      </c>
      <c r="B35" s="13" t="s">
        <v>309</v>
      </c>
      <c r="C35" s="13">
        <f t="array" ref="C35">iferror(INDEX('2018 clean final'!A35:B177,match(B35,'2018 clean final'!A35:A177,0),2),0)</f>
        <v>139000</v>
      </c>
      <c r="D35" s="13">
        <f t="array" ref="D35">iferror(INDEX('2019 clean final'!A:B,MATCH(B35,'2019 clean final'!A:A,0),2),0)</f>
        <v>125000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 t="s">
        <v>771</v>
      </c>
      <c r="B36" s="13" t="s">
        <v>771</v>
      </c>
      <c r="C36" s="13">
        <f t="array" ref="C36">iferror(INDEX('2018 clean final'!A36:B178,match(B36,'2018 clean final'!A36:A178,0),2),0)</f>
        <v>3500</v>
      </c>
      <c r="D36" s="13">
        <f t="array" ref="D36">iferror(INDEX('2019 clean final'!A:B,MATCH(B36,'2019 clean final'!A:A,0),2),0)</f>
        <v>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 t="s">
        <v>772</v>
      </c>
      <c r="B37" s="13" t="s">
        <v>772</v>
      </c>
      <c r="C37" s="13">
        <f t="array" ref="C37">iferror(INDEX('2018 clean final'!A37:B179,match(B37,'2018 clean final'!A37:A179,0),2),0)</f>
        <v>133663.21</v>
      </c>
      <c r="D37" s="13">
        <f t="array" ref="D37">iferror(INDEX('2019 clean final'!A:B,MATCH(B37,'2019 clean final'!A:A,0),2),0)</f>
        <v>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 t="s">
        <v>380</v>
      </c>
      <c r="B38" s="13" t="s">
        <v>380</v>
      </c>
      <c r="C38" s="13">
        <f t="array" ref="C38">iferror(INDEX('2018 clean final'!A38:B180,match(B38,'2018 clean final'!A38:A180,0),2),0)</f>
        <v>320000</v>
      </c>
      <c r="D38" s="13">
        <f t="array" ref="D38">iferror(INDEX('2019 clean final'!A:B,MATCH(B38,'2019 clean final'!A:A,0),2),0)</f>
        <v>120000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 t="s">
        <v>368</v>
      </c>
      <c r="B39" s="13" t="s">
        <v>368</v>
      </c>
      <c r="C39" s="13">
        <f t="array" ref="C39">iferror(INDEX('2018 clean final'!A39:B181,match(B39,'2018 clean final'!A39:A181,0),2),0)</f>
        <v>8500</v>
      </c>
      <c r="D39" s="13">
        <f t="array" ref="D39">iferror(INDEX('2019 clean final'!A:B,MATCH(B39,'2019 clean final'!A:A,0),2),0)</f>
        <v>0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 t="s">
        <v>401</v>
      </c>
      <c r="B40" s="13" t="s">
        <v>401</v>
      </c>
      <c r="C40" s="13">
        <f t="array" ref="C40">iferror(INDEX('2018 clean final'!A40:B182,match(B40,'2018 clean final'!A40:A182,0),2),0)</f>
        <v>7500</v>
      </c>
      <c r="D40" s="13">
        <f t="array" ref="D40">iferror(INDEX('2019 clean final'!A:B,MATCH(B40,'2019 clean final'!A:A,0),2),0)</f>
        <v>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 t="s">
        <v>148</v>
      </c>
      <c r="B41" s="13" t="s">
        <v>148</v>
      </c>
      <c r="C41" s="13">
        <f t="array" ref="C41">iferror(INDEX('2018 clean final'!A41:B183,match(B41,'2018 clean final'!A41:A183,0),2),0)</f>
        <v>30000</v>
      </c>
      <c r="D41" s="13">
        <f t="array" ref="D41">iferror(INDEX('2019 clean final'!A:B,MATCH(B41,'2019 clean final'!A:A,0),2),0)</f>
        <v>35000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 t="s">
        <v>378</v>
      </c>
      <c r="B42" s="13" t="s">
        <v>378</v>
      </c>
      <c r="C42" s="13">
        <f t="array" ref="C42">iferror(INDEX('2018 clean final'!A42:B184,match(B42,'2018 clean final'!A42:A184,0),2),0)</f>
        <v>10300</v>
      </c>
      <c r="D42" s="13">
        <f t="array" ref="D42">iferror(INDEX('2019 clean final'!A:B,MATCH(B42,'2019 clean final'!A:A,0),2),0)</f>
        <v>8500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 t="s">
        <v>773</v>
      </c>
      <c r="B43" s="13" t="s">
        <v>773</v>
      </c>
      <c r="C43" s="13">
        <f t="array" ref="C43">iferror(INDEX('2018 clean final'!A43:B185,match(B43,'2018 clean final'!A43:A185,0),2),0)</f>
        <v>15000</v>
      </c>
      <c r="D43" s="13">
        <f t="array" ref="D43">iferror(INDEX('2019 clean final'!A:B,MATCH(B43,'2019 clean final'!A:A,0),2),0)</f>
        <v>0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 t="s">
        <v>53</v>
      </c>
      <c r="B44" s="13" t="s">
        <v>53</v>
      </c>
      <c r="C44" s="13">
        <f t="array" ref="C44">iferror(INDEX('2018 clean final'!A44:B186,match(B44,'2018 clean final'!A44:A186,0),2),0)</f>
        <v>32000</v>
      </c>
      <c r="D44" s="13">
        <f t="array" ref="D44">iferror(INDEX('2019 clean final'!A:B,MATCH(B44,'2019 clean final'!A:A,0),2),0)</f>
        <v>0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 t="s">
        <v>374</v>
      </c>
      <c r="B45" s="13" t="s">
        <v>374</v>
      </c>
      <c r="C45" s="13">
        <f t="array" ref="C45">iferror(INDEX('2018 clean final'!A45:B187,match(B45,'2018 clean final'!A45:A187,0),2),0)</f>
        <v>29000</v>
      </c>
      <c r="D45" s="13">
        <f t="array" ref="D45">iferror(INDEX('2019 clean final'!A:B,MATCH(B45,'2019 clean final'!A:A,0),2),0)</f>
        <v>33000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 t="s">
        <v>774</v>
      </c>
      <c r="B46" s="13" t="s">
        <v>774</v>
      </c>
      <c r="C46" s="13">
        <f t="array" ref="C46">iferror(INDEX('2018 clean final'!A46:B188,match(B46,'2018 clean final'!A46:A188,0),2),0)</f>
        <v>25000</v>
      </c>
      <c r="D46" s="13">
        <f t="array" ref="D46">iferror(INDEX('2019 clean final'!A:B,MATCH(B46,'2019 clean final'!A:A,0),2),0)</f>
        <v>0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 t="s">
        <v>448</v>
      </c>
      <c r="B47" s="13" t="s">
        <v>448</v>
      </c>
      <c r="C47" s="13">
        <f t="array" ref="C47">iferror(INDEX('2018 clean final'!A47:B189,match(B47,'2018 clean final'!A47:A189,0),2),0)</f>
        <v>14250</v>
      </c>
      <c r="D47" s="13">
        <f t="array" ref="D47">iferror(INDEX('2019 clean final'!A:B,MATCH(B47,'2019 clean final'!A:A,0),2),0)</f>
        <v>14250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 t="s">
        <v>775</v>
      </c>
      <c r="B48" s="13" t="s">
        <v>775</v>
      </c>
      <c r="C48" s="13">
        <f t="array" ref="C48">iferror(INDEX('2018 clean final'!A48:B190,match(B48,'2018 clean final'!A48:A190,0),2),0)</f>
        <v>95932</v>
      </c>
      <c r="D48" s="13">
        <f t="array" ref="D48">iferror(INDEX('2019 clean final'!A:B,MATCH(B48,'2019 clean final'!A:A,0),2),0)</f>
        <v>0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 t="s">
        <v>249</v>
      </c>
      <c r="B49" s="13" t="s">
        <v>249</v>
      </c>
      <c r="C49" s="13">
        <f t="array" ref="C49">iferror(INDEX('2018 clean final'!A49:B191,match(B49,'2018 clean final'!A49:A191,0),2),0)</f>
        <v>54000</v>
      </c>
      <c r="D49" s="13">
        <f t="array" ref="D49">iferror(INDEX('2019 clean final'!A:B,MATCH(B49,'2019 clean final'!A:A,0),2),0)</f>
        <v>52000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 t="s">
        <v>776</v>
      </c>
      <c r="B50" s="13" t="s">
        <v>776</v>
      </c>
      <c r="C50" s="13">
        <f t="array" ref="C50">iferror(INDEX('2018 clean final'!A50:B192,match(B50,'2018 clean final'!A50:A192,0),2),0)</f>
        <v>1680000</v>
      </c>
      <c r="D50" s="13">
        <f t="array" ref="D50">iferror(INDEX('2019 clean final'!A:B,MATCH(B50,'2019 clean final'!A:A,0),2),0)</f>
        <v>0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 t="s">
        <v>191</v>
      </c>
      <c r="B51" s="13" t="s">
        <v>191</v>
      </c>
      <c r="C51" s="13">
        <f t="array" ref="C51">iferror(INDEX('2018 clean final'!A51:B193,match(B51,'2018 clean final'!A51:A193,0),2),0)</f>
        <v>47500</v>
      </c>
      <c r="D51" s="13">
        <f t="array" ref="D51">iferror(INDEX('2019 clean final'!A:B,MATCH(B51,'2019 clean final'!A:A,0),2),0)</f>
        <v>47500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 t="s">
        <v>364</v>
      </c>
      <c r="B52" s="13" t="s">
        <v>364</v>
      </c>
      <c r="C52" s="13">
        <f t="array" ref="C52">iferror(INDEX('2018 clean final'!A52:B194,match(B52,'2018 clean final'!A52:A194,0),2),0)</f>
        <v>3000</v>
      </c>
      <c r="D52" s="13">
        <f t="array" ref="D52">iferror(INDEX('2019 clean final'!A:B,MATCH(B52,'2019 clean final'!A:A,0),2),0)</f>
        <v>10000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 t="s">
        <v>777</v>
      </c>
      <c r="B53" s="13" t="s">
        <v>777</v>
      </c>
      <c r="C53" s="13">
        <f t="array" ref="C53">iferror(INDEX('2018 clean final'!A53:B195,match(B53,'2018 clean final'!A53:A195,0),2),0)</f>
        <v>38000</v>
      </c>
      <c r="D53" s="13">
        <f t="array" ref="D53">iferror(INDEX('2019 clean final'!A:B,MATCH(B53,'2019 clean final'!A:A,0),2),0)</f>
        <v>0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 t="s">
        <v>778</v>
      </c>
      <c r="B54" s="13" t="s">
        <v>778</v>
      </c>
      <c r="C54" s="13">
        <f t="array" ref="C54">iferror(INDEX('2018 clean final'!A54:B196,match(B54,'2018 clean final'!A54:A196,0),2),0)</f>
        <v>38000</v>
      </c>
      <c r="D54" s="13">
        <f t="array" ref="D54">iferror(INDEX('2019 clean final'!A:B,MATCH(B54,'2019 clean final'!A:A,0),2),0)</f>
        <v>0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 t="s">
        <v>779</v>
      </c>
      <c r="B55" s="13" t="s">
        <v>779</v>
      </c>
      <c r="C55" s="13">
        <f t="array" ref="C55">iferror(INDEX('2018 clean final'!A55:B197,match(B55,'2018 clean final'!A55:A197,0),2),0)</f>
        <v>55000</v>
      </c>
      <c r="D55" s="13">
        <f t="array" ref="D55">iferror(INDEX('2019 clean final'!A:B,MATCH(B55,'2019 clean final'!A:A,0),2),0)</f>
        <v>0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 t="s">
        <v>173</v>
      </c>
      <c r="B56" s="13" t="s">
        <v>173</v>
      </c>
      <c r="C56" s="13">
        <f t="array" ref="C56">iferror(INDEX('2018 clean final'!A56:B198,match(B56,'2018 clean final'!A56:A198,0),2),0)</f>
        <v>8000</v>
      </c>
      <c r="D56" s="13">
        <f t="array" ref="D56">iferror(INDEX('2019 clean final'!A:B,MATCH(B56,'2019 clean final'!A:A,0),2),0)</f>
        <v>0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 t="s">
        <v>348</v>
      </c>
      <c r="B57" s="13" t="s">
        <v>348</v>
      </c>
      <c r="C57" s="13">
        <f t="array" ref="C57">iferror(INDEX('2018 clean final'!A57:B199,match(B57,'2018 clean final'!A57:A199,0),2),0)</f>
        <v>25000</v>
      </c>
      <c r="D57" s="13">
        <f t="array" ref="D57">iferror(INDEX('2019 clean final'!A:B,MATCH(B57,'2019 clean final'!A:A,0),2),0)</f>
        <v>25000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 t="s">
        <v>780</v>
      </c>
      <c r="B58" s="13" t="s">
        <v>780</v>
      </c>
      <c r="C58" s="13">
        <f t="array" ref="C58">iferror(INDEX('2018 clean final'!A58:B200,match(B58,'2018 clean final'!A58:A200,0),2),0)</f>
        <v>7700</v>
      </c>
      <c r="D58" s="13">
        <f t="array" ref="D58">iferror(INDEX('2019 clean final'!A:B,MATCH(B58,'2019 clean final'!A:A,0),2),0)</f>
        <v>0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 t="s">
        <v>781</v>
      </c>
      <c r="B59" s="13" t="s">
        <v>781</v>
      </c>
      <c r="C59" s="13">
        <f t="array" ref="C59">iferror(INDEX('2018 clean final'!A59:B201,match(B59,'2018 clean final'!A59:A201,0),2),0)</f>
        <v>150000</v>
      </c>
      <c r="D59" s="13">
        <f t="array" ref="D59">iferror(INDEX('2019 clean final'!A:B,MATCH(B59,'2019 clean final'!A:A,0),2),0)</f>
        <v>0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 t="s">
        <v>231</v>
      </c>
      <c r="B60" s="13" t="s">
        <v>231</v>
      </c>
      <c r="C60" s="13">
        <f t="array" ref="C60">iferror(INDEX('2018 clean final'!A60:B202,match(B60,'2018 clean final'!A60:A202,0),2),0)</f>
        <v>20000</v>
      </c>
      <c r="D60" s="13">
        <f t="array" ref="D60">iferror(INDEX('2019 clean final'!A:B,MATCH(B60,'2019 clean final'!A:A,0),2),0)</f>
        <v>20000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 t="s">
        <v>289</v>
      </c>
      <c r="B61" s="13" t="s">
        <v>289</v>
      </c>
      <c r="C61" s="13">
        <f t="array" ref="C61">iferror(INDEX('2018 clean final'!A61:B203,match(B61,'2018 clean final'!A61:A203,0),2),0)</f>
        <v>3000</v>
      </c>
      <c r="D61" s="13">
        <f t="array" ref="D61">iferror(INDEX('2019 clean final'!A:B,MATCH(B61,'2019 clean final'!A:A,0),2),0)</f>
        <v>0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 t="s">
        <v>27</v>
      </c>
      <c r="B62" s="13" t="s">
        <v>27</v>
      </c>
      <c r="C62" s="13">
        <f t="array" ref="C62">iferror(INDEX('2018 clean final'!A62:B204,match(B62,'2018 clean final'!A62:A204,0),2),0)</f>
        <v>114000</v>
      </c>
      <c r="D62" s="13">
        <f t="array" ref="D62">iferror(INDEX('2019 clean final'!A:B,MATCH(B62,'2019 clean final'!A:A,0),2),0)</f>
        <v>0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 t="s">
        <v>351</v>
      </c>
      <c r="B63" s="13" t="s">
        <v>351</v>
      </c>
      <c r="C63" s="13">
        <f t="array" ref="C63">iferror(INDEX('2018 clean final'!A63:B205,match(B63,'2018 clean final'!A63:A205,0),2),0)</f>
        <v>15000</v>
      </c>
      <c r="D63" s="13">
        <f t="array" ref="D63">iferror(INDEX('2019 clean final'!A:B,MATCH(B63,'2019 clean final'!A:A,0),2),0)</f>
        <v>14250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 t="s">
        <v>782</v>
      </c>
      <c r="B64" s="13" t="s">
        <v>782</v>
      </c>
      <c r="C64" s="13">
        <f t="array" ref="C64">iferror(INDEX('2018 clean final'!A64:B206,match(B64,'2018 clean final'!A64:A206,0),2),0)</f>
        <v>160000</v>
      </c>
      <c r="D64" s="13">
        <f t="array" ref="D64">iferror(INDEX('2019 clean final'!A:B,MATCH(B64,'2019 clean final'!A:A,0),2),0)</f>
        <v>0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 t="s">
        <v>752</v>
      </c>
      <c r="B65" s="13" t="s">
        <v>752</v>
      </c>
      <c r="C65" s="13">
        <f t="array" ref="C65">iferror(INDEX('2018 clean final'!A65:B207,match(B65,'2018 clean final'!A65:A207,0),2),0)</f>
        <v>50000</v>
      </c>
      <c r="D65" s="13">
        <f t="array" ref="D65">iferror(INDEX('2019 clean final'!A:B,MATCH(B65,'2019 clean final'!A:A,0),2),0)</f>
        <v>50000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 t="s">
        <v>210</v>
      </c>
      <c r="B66" s="13" t="s">
        <v>210</v>
      </c>
      <c r="C66" s="13">
        <f t="array" ref="C66">iferror(INDEX('2018 clean final'!A66:B208,match(B66,'2018 clean final'!A66:A208,0),2),0)</f>
        <v>180000</v>
      </c>
      <c r="D66" s="13">
        <f t="array" ref="D66">iferror(INDEX('2019 clean final'!A:B,MATCH(B66,'2019 clean final'!A:A,0),2),0)</f>
        <v>0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 t="s">
        <v>430</v>
      </c>
      <c r="B67" s="13" t="s">
        <v>430</v>
      </c>
      <c r="C67" s="13">
        <f t="array" ref="C67">iferror(INDEX('2018 clean final'!A67:B209,match(B67,'2018 clean final'!A67:A209,0),2),0)</f>
        <v>30000</v>
      </c>
      <c r="D67" s="13">
        <f t="array" ref="D67">iferror(INDEX('2019 clean final'!A:B,MATCH(B67,'2019 clean final'!A:A,0),2),0)</f>
        <v>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 t="s">
        <v>266</v>
      </c>
      <c r="B68" s="13" t="s">
        <v>266</v>
      </c>
      <c r="C68" s="13">
        <f t="array" ref="C68">iferror(INDEX('2018 clean final'!A68:B210,match(B68,'2018 clean final'!A68:A210,0),2),0)</f>
        <v>10000</v>
      </c>
      <c r="D68" s="13">
        <f t="array" ref="D68">iferror(INDEX('2019 clean final'!A:B,MATCH(B68,'2019 clean final'!A:A,0),2),0)</f>
        <v>0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 t="s">
        <v>285</v>
      </c>
      <c r="B69" s="13" t="s">
        <v>285</v>
      </c>
      <c r="C69" s="13">
        <f t="array" ref="C69">iferror(INDEX('2018 clean final'!A69:B211,match(B69,'2018 clean final'!A69:A211,0),2),0)</f>
        <v>52500</v>
      </c>
      <c r="D69" s="13">
        <f t="array" ref="D69">iferror(INDEX('2019 clean final'!A:B,MATCH(B69,'2019 clean final'!A:A,0),2),0)</f>
        <v>0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 t="s">
        <v>681</v>
      </c>
      <c r="B70" s="13" t="s">
        <v>681</v>
      </c>
      <c r="C70" s="13">
        <f t="array" ref="C70">iferror(INDEX('2018 clean final'!A70:B212,match(B70,'2018 clean final'!A70:A212,0),2),0)</f>
        <v>45000</v>
      </c>
      <c r="D70" s="13">
        <f t="array" ref="D70">iferror(INDEX('2019 clean final'!A:B,MATCH(B70,'2019 clean final'!A:A,0),2),0)</f>
        <v>45000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 t="s">
        <v>122</v>
      </c>
      <c r="B71" s="13" t="s">
        <v>122</v>
      </c>
      <c r="C71" s="13">
        <f t="array" ref="C71">iferror(INDEX('2018 clean final'!A71:B213,match(B71,'2018 clean final'!A71:A213,0),2),0)</f>
        <v>17500</v>
      </c>
      <c r="D71" s="13">
        <f t="array" ref="D71">iferror(INDEX('2019 clean final'!A:B,MATCH(B71,'2019 clean final'!A:A,0),2),0)</f>
        <v>17500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 t="s">
        <v>656</v>
      </c>
      <c r="B72" s="13" t="s">
        <v>656</v>
      </c>
      <c r="C72" s="13">
        <f t="array" ref="C72">iferror(INDEX('2018 clean final'!A72:B214,match(B72,'2018 clean final'!A72:A214,0),2),0)</f>
        <v>332775</v>
      </c>
      <c r="D72" s="13">
        <f t="array" ref="D72">iferror(INDEX('2019 clean final'!A:B,MATCH(B72,'2019 clean final'!A:A,0),2),0)</f>
        <v>487775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 t="s">
        <v>281</v>
      </c>
      <c r="B73" s="13" t="s">
        <v>281</v>
      </c>
      <c r="C73" s="13">
        <f t="array" ref="C73">iferror(INDEX('2018 clean final'!A73:B215,match(B73,'2018 clean final'!A73:A215,0),2),0)</f>
        <v>10000</v>
      </c>
      <c r="D73" s="13">
        <f t="array" ref="D73">iferror(INDEX('2019 clean final'!A:B,MATCH(B73,'2019 clean final'!A:A,0),2),0)</f>
        <v>0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 t="s">
        <v>783</v>
      </c>
      <c r="B74" s="13" t="s">
        <v>783</v>
      </c>
      <c r="C74" s="13">
        <f t="array" ref="C74">iferror(INDEX('2018 clean final'!A74:B216,match(B74,'2018 clean final'!A74:A216,0),2),0)</f>
        <v>34000</v>
      </c>
      <c r="D74" s="13">
        <f t="array" ref="D74">iferror(INDEX('2019 clean final'!A:B,MATCH(B74,'2019 clean final'!A:A,0),2),0)</f>
        <v>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 t="s">
        <v>318</v>
      </c>
      <c r="B75" s="13" t="s">
        <v>318</v>
      </c>
      <c r="C75" s="13">
        <f t="array" ref="C75">iferror(INDEX('2018 clean final'!A75:B217,match(B75,'2018 clean final'!A75:A217,0),2),0)</f>
        <v>5000</v>
      </c>
      <c r="D75" s="13">
        <f t="array" ref="D75">iferror(INDEX('2019 clean final'!A:B,MATCH(B75,'2019 clean final'!A:A,0),2),0)</f>
        <v>0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 t="s">
        <v>165</v>
      </c>
      <c r="B76" s="13" t="s">
        <v>165</v>
      </c>
      <c r="C76" s="13">
        <f t="array" ref="C76">iferror(INDEX('2018 clean final'!A76:B218,match(B76,'2018 clean final'!A76:A218,0),2),0)</f>
        <v>8000</v>
      </c>
      <c r="D76" s="13">
        <f t="array" ref="D76">iferror(INDEX('2019 clean final'!A:B,MATCH(B76,'2019 clean final'!A:A,0),2),0)</f>
        <v>0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 t="s">
        <v>635</v>
      </c>
      <c r="B77" s="13" t="s">
        <v>635</v>
      </c>
      <c r="C77" s="13">
        <f t="array" ref="C77">iferror(INDEX('2018 clean final'!A77:B219,match(B77,'2018 clean final'!A77:A219,0),2),0)</f>
        <v>9900</v>
      </c>
      <c r="D77" s="13">
        <f t="array" ref="D77">iferror(INDEX('2019 clean final'!A:B,MATCH(B77,'2019 clean final'!A:A,0),2),0)</f>
        <v>12500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 t="s">
        <v>784</v>
      </c>
      <c r="B78" s="13" t="s">
        <v>784</v>
      </c>
      <c r="C78" s="13">
        <f t="array" ref="C78">iferror(INDEX('2018 clean final'!A78:B220,match(B78,'2018 clean final'!A78:A220,0),2),0)</f>
        <v>13000</v>
      </c>
      <c r="D78" s="13">
        <f t="array" ref="D78">iferror(INDEX('2019 clean final'!A:B,MATCH(B78,'2019 clean final'!A:A,0),2),0)</f>
        <v>0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 t="s">
        <v>785</v>
      </c>
      <c r="B79" s="13" t="s">
        <v>785</v>
      </c>
      <c r="C79" s="13">
        <f t="array" ref="C79">iferror(INDEX('2018 clean final'!A79:B221,match(B79,'2018 clean final'!A79:A221,0),2),0)</f>
        <v>5000</v>
      </c>
      <c r="D79" s="13">
        <f t="array" ref="D79">iferror(INDEX('2019 clean final'!A:B,MATCH(B79,'2019 clean final'!A:A,0),2),0)</f>
        <v>0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 t="s">
        <v>277</v>
      </c>
      <c r="B80" s="13" t="s">
        <v>277</v>
      </c>
      <c r="C80" s="13">
        <f t="array" ref="C80">iferror(INDEX('2018 clean final'!A80:B222,match(B80,'2018 clean final'!A80:A222,0),2),0)</f>
        <v>15000</v>
      </c>
      <c r="D80" s="13">
        <f t="array" ref="D80">iferror(INDEX('2019 clean final'!A:B,MATCH(B80,'2019 clean final'!A:A,0),2),0)</f>
        <v>15000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 t="s">
        <v>786</v>
      </c>
      <c r="B81" s="13" t="s">
        <v>786</v>
      </c>
      <c r="C81" s="13">
        <f t="array" ref="C81">iferror(INDEX('2018 clean final'!A81:B223,match(B81,'2018 clean final'!A81:A223,0),2),0)</f>
        <v>14000</v>
      </c>
      <c r="D81" s="13">
        <f t="array" ref="D81">iferror(INDEX('2019 clean final'!A:B,MATCH(B81,'2019 clean final'!A:A,0),2),0)</f>
        <v>0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 t="s">
        <v>787</v>
      </c>
      <c r="B82" s="13" t="s">
        <v>787</v>
      </c>
      <c r="C82" s="13">
        <f t="array" ref="C82">iferror(INDEX('2018 clean final'!A82:B224,match(B82,'2018 clean final'!A82:A224,0),2),0)</f>
        <v>7000</v>
      </c>
      <c r="D82" s="13">
        <f t="array" ref="D82">iferror(INDEX('2019 clean final'!A:B,MATCH(B82,'2019 clean final'!A:A,0),2),0)</f>
        <v>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 t="s">
        <v>788</v>
      </c>
      <c r="B83" s="13" t="s">
        <v>788</v>
      </c>
      <c r="C83" s="13">
        <f t="array" ref="C83">iferror(INDEX('2018 clean final'!A83:B225,match(B83,'2018 clean final'!A83:A225,0),2),0)</f>
        <v>25000</v>
      </c>
      <c r="D83" s="13">
        <f t="array" ref="D83">iferror(INDEX('2019 clean final'!A:B,MATCH(B83,'2019 clean final'!A:A,0),2),0)</f>
        <v>0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 t="s">
        <v>164</v>
      </c>
      <c r="B84" s="13" t="s">
        <v>164</v>
      </c>
      <c r="C84" s="13">
        <f t="array" ref="C84">iferror(INDEX('2018 clean final'!A84:B226,match(B84,'2018 clean final'!A84:A226,0),2),0)</f>
        <v>5000</v>
      </c>
      <c r="D84" s="13">
        <f t="array" ref="D84">iferror(INDEX('2019 clean final'!A:B,MATCH(B84,'2019 clean final'!A:A,0),2),0)</f>
        <v>6000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 t="s">
        <v>789</v>
      </c>
      <c r="B85" s="13" t="s">
        <v>789</v>
      </c>
      <c r="C85" s="13">
        <f t="array" ref="C85">iferror(INDEX('2018 clean final'!A85:B227,match(B85,'2018 clean final'!A85:A227,0),2),0)</f>
        <v>230000</v>
      </c>
      <c r="D85" s="13">
        <f t="array" ref="D85">iferror(INDEX('2019 clean final'!A:B,MATCH(B85,'2019 clean final'!A:A,0),2),0)</f>
        <v>0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 t="s">
        <v>790</v>
      </c>
      <c r="B86" s="13" t="s">
        <v>790</v>
      </c>
      <c r="C86" s="13">
        <f t="array" ref="C86">iferror(INDEX('2018 clean final'!A86:B228,match(B86,'2018 clean final'!A86:A228,0),2),0)</f>
        <v>20000</v>
      </c>
      <c r="D86" s="13">
        <f t="array" ref="D86">iferror(INDEX('2019 clean final'!A:B,MATCH(B86,'2019 clean final'!A:A,0),2),0)</f>
        <v>0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 t="s">
        <v>791</v>
      </c>
      <c r="B87" s="13" t="s">
        <v>791</v>
      </c>
      <c r="C87" s="13">
        <f t="array" ref="C87">iferror(INDEX('2018 clean final'!A87:B229,match(B87,'2018 clean final'!A87:A229,0),2),0)</f>
        <v>59400</v>
      </c>
      <c r="D87" s="13">
        <f t="array" ref="D87">iferror(INDEX('2019 clean final'!A:B,MATCH(B87,'2019 clean final'!A:A,0),2),0)</f>
        <v>0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 t="s">
        <v>176</v>
      </c>
      <c r="B88" s="13" t="s">
        <v>176</v>
      </c>
      <c r="C88" s="13">
        <f t="array" ref="C88">iferror(INDEX('2018 clean final'!A88:B230,match(B88,'2018 clean final'!A88:A230,0),2),0)</f>
        <v>12600</v>
      </c>
      <c r="D88" s="13">
        <f t="array" ref="D88">iferror(INDEX('2019 clean final'!A:B,MATCH(B88,'2019 clean final'!A:A,0),2),0)</f>
        <v>0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 t="s">
        <v>247</v>
      </c>
      <c r="B89" s="13" t="s">
        <v>247</v>
      </c>
      <c r="C89" s="13">
        <f t="array" ref="C89">iferror(INDEX('2018 clean final'!A89:B231,match(B89,'2018 clean final'!A89:A231,0),2),0)</f>
        <v>8000</v>
      </c>
      <c r="D89" s="13">
        <f t="array" ref="D89">iferror(INDEX('2019 clean final'!A:B,MATCH(B89,'2019 clean final'!A:A,0),2),0)</f>
        <v>0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 t="s">
        <v>577</v>
      </c>
      <c r="B90" s="13" t="s">
        <v>577</v>
      </c>
      <c r="C90" s="13">
        <f t="array" ref="C90">iferror(INDEX('2018 clean final'!A90:B232,match(B90,'2018 clean final'!A90:A232,0),2),0)</f>
        <v>96187.5</v>
      </c>
      <c r="D90" s="13">
        <f t="array" ref="D90">iferror(INDEX('2019 clean final'!A:B,MATCH(B90,'2019 clean final'!A:A,0),2),0)</f>
        <v>91379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 t="s">
        <v>274</v>
      </c>
      <c r="B91" s="13" t="s">
        <v>274</v>
      </c>
      <c r="C91" s="13">
        <f t="array" ref="C91">iferror(INDEX('2018 clean final'!A91:B233,match(B91,'2018 clean final'!A91:A233,0),2),0)</f>
        <v>10000</v>
      </c>
      <c r="D91" s="13">
        <f t="array" ref="D91">iferror(INDEX('2019 clean final'!A:B,MATCH(B91,'2019 clean final'!A:A,0),2),0)</f>
        <v>0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 t="s">
        <v>792</v>
      </c>
      <c r="B92" s="13" t="s">
        <v>792</v>
      </c>
      <c r="C92" s="13">
        <f t="array" ref="C92">iferror(INDEX('2018 clean final'!A92:B234,match(B92,'2018 clean final'!A92:A234,0),2),0)</f>
        <v>40000</v>
      </c>
      <c r="D92" s="13">
        <f t="array" ref="D92">iferror(INDEX('2019 clean final'!A:B,MATCH(B92,'2019 clean final'!A:A,0),2),0)</f>
        <v>0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 t="s">
        <v>793</v>
      </c>
      <c r="B93" s="13" t="s">
        <v>793</v>
      </c>
      <c r="C93" s="13">
        <f t="array" ref="C93">iferror(INDEX('2018 clean final'!A93:B235,match(B93,'2018 clean final'!A93:A235,0),2),0)</f>
        <v>35000</v>
      </c>
      <c r="D93" s="13">
        <f t="array" ref="D93">iferror(INDEX('2019 clean final'!A:B,MATCH(B93,'2019 clean final'!A:A,0),2),0)</f>
        <v>0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 t="s">
        <v>411</v>
      </c>
      <c r="B94" s="13" t="s">
        <v>411</v>
      </c>
      <c r="C94" s="13">
        <f t="array" ref="C94">iferror(INDEX('2018 clean final'!A94:B236,match(B94,'2018 clean final'!A94:A236,0),2),0)</f>
        <v>2000</v>
      </c>
      <c r="D94" s="13">
        <f t="array" ref="D94">iferror(INDEX('2019 clean final'!A:B,MATCH(B94,'2019 clean final'!A:A,0),2),0)</f>
        <v>0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 t="s">
        <v>794</v>
      </c>
      <c r="B95" s="13" t="s">
        <v>794</v>
      </c>
      <c r="C95" s="13">
        <f t="array" ref="C95">iferror(INDEX('2018 clean final'!A95:B237,match(B95,'2018 clean final'!A95:A237,0),2),0)</f>
        <v>3000000</v>
      </c>
      <c r="D95" s="13">
        <f t="array" ref="D95">iferror(INDEX('2019 clean final'!A:B,MATCH(B95,'2019 clean final'!A:A,0),2),0)</f>
        <v>0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 t="s">
        <v>78</v>
      </c>
      <c r="B96" s="13" t="s">
        <v>78</v>
      </c>
      <c r="C96" s="13">
        <f t="array" ref="C96">iferror(INDEX('2018 clean final'!A96:B238,match(B96,'2018 clean final'!A96:A238,0),2),0)</f>
        <v>60000</v>
      </c>
      <c r="D96" s="13">
        <f t="array" ref="D96">iferror(INDEX('2019 clean final'!A:B,MATCH(B96,'2019 clean final'!A:A,0),2),0)</f>
        <v>0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 t="s">
        <v>795</v>
      </c>
      <c r="B97" s="13" t="s">
        <v>795</v>
      </c>
      <c r="C97" s="13">
        <f t="array" ref="C97">iferror(INDEX('2018 clean final'!A97:B239,match(B97,'2018 clean final'!A97:A239,0),2),0)</f>
        <v>15000</v>
      </c>
      <c r="D97" s="13">
        <f t="array" ref="D97">iferror(INDEX('2019 clean final'!A:B,MATCH(B97,'2019 clean final'!A:A,0),2),0)</f>
        <v>0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 t="s">
        <v>240</v>
      </c>
      <c r="B98" s="13" t="s">
        <v>240</v>
      </c>
      <c r="C98" s="13">
        <f t="array" ref="C98">iferror(INDEX('2018 clean final'!A98:B240,match(B98,'2018 clean final'!A98:A240,0),2),0)</f>
        <v>15200</v>
      </c>
      <c r="D98" s="13">
        <f t="array" ref="D98">iferror(INDEX('2019 clean final'!A:B,MATCH(B98,'2019 clean final'!A:A,0),2),0)</f>
        <v>15200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 t="s">
        <v>221</v>
      </c>
      <c r="B99" s="13" t="s">
        <v>221</v>
      </c>
      <c r="C99" s="13">
        <f t="array" ref="C99">iferror(INDEX('2018 clean final'!A99:B241,match(B99,'2018 clean final'!A99:A241,0),2),0)</f>
        <v>5800</v>
      </c>
      <c r="D99" s="13">
        <f t="array" ref="D99">iferror(INDEX('2019 clean final'!A:B,MATCH(B99,'2019 clean final'!A:A,0),2),0)</f>
        <v>0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 t="s">
        <v>389</v>
      </c>
      <c r="B100" s="13" t="s">
        <v>389</v>
      </c>
      <c r="C100" s="13">
        <f t="array" ref="C100">iferror(INDEX('2018 clean final'!A100:B242,match(B100,'2018 clean final'!A100:A242,0),2),0)</f>
        <v>8000</v>
      </c>
      <c r="D100" s="13">
        <f t="array" ref="D100">iferror(INDEX('2019 clean final'!A:B,MATCH(B100,'2019 clean final'!A:A,0),2),0)</f>
        <v>0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 t="s">
        <v>194</v>
      </c>
      <c r="B101" s="13" t="s">
        <v>194</v>
      </c>
      <c r="C101" s="13">
        <f t="array" ref="C101">iferror(INDEX('2018 clean final'!A101:B243,match(B101,'2018 clean final'!A101:A243,0),2),0)</f>
        <v>14825</v>
      </c>
      <c r="D101" s="13">
        <f t="array" ref="D101">iferror(INDEX('2019 clean final'!A:B,MATCH(B101,'2019 clean final'!A:A,0),2),0)</f>
        <v>0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 t="s">
        <v>168</v>
      </c>
      <c r="B102" s="13" t="s">
        <v>168</v>
      </c>
      <c r="C102" s="13">
        <f t="array" ref="C102">iferror(INDEX('2018 clean final'!A102:B244,match(B102,'2018 clean final'!A102:A244,0),2),0)</f>
        <v>15000</v>
      </c>
      <c r="D102" s="13">
        <f t="array" ref="D102">iferror(INDEX('2019 clean final'!A:B,MATCH(B102,'2019 clean final'!A:A,0),2),0)</f>
        <v>0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 t="s">
        <v>104</v>
      </c>
      <c r="B103" s="13" t="s">
        <v>104</v>
      </c>
      <c r="C103" s="13">
        <f t="array" ref="C103">iferror(INDEX('2018 clean final'!A103:B245,match(B103,'2018 clean final'!A103:A245,0),2),0)</f>
        <v>15000</v>
      </c>
      <c r="D103" s="13">
        <f t="array" ref="D103">iferror(INDEX('2019 clean final'!A:B,MATCH(B103,'2019 clean final'!A:A,0),2),0)</f>
        <v>26000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 t="s">
        <v>323</v>
      </c>
      <c r="B104" s="13" t="s">
        <v>323</v>
      </c>
      <c r="C104" s="13">
        <f t="array" ref="C104">iferror(INDEX('2018 clean final'!A104:B246,match(B104,'2018 clean final'!A104:A246,0),2),0)</f>
        <v>17940</v>
      </c>
      <c r="D104" s="13">
        <f t="array" ref="D104">iferror(INDEX('2019 clean final'!A:B,MATCH(B104,'2019 clean final'!A:A,0),2),0)</f>
        <v>0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 t="s">
        <v>796</v>
      </c>
      <c r="B105" s="13" t="s">
        <v>796</v>
      </c>
      <c r="C105" s="13">
        <f t="array" ref="C105">iferror(INDEX('2018 clean final'!A105:B247,match(B105,'2018 clean final'!A105:A247,0),2),0)</f>
        <v>65000</v>
      </c>
      <c r="D105" s="13">
        <f t="array" ref="D105">iferror(INDEX('2019 clean final'!A:B,MATCH(B105,'2019 clean final'!A:A,0),2),0)</f>
        <v>0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 t="s">
        <v>109</v>
      </c>
      <c r="B106" s="13" t="s">
        <v>109</v>
      </c>
      <c r="C106" s="13">
        <f t="array" ref="C106">iferror(INDEX('2018 clean final'!A106:B248,match(B106,'2018 clean final'!A106:A248,0),2),0)</f>
        <v>24176</v>
      </c>
      <c r="D106" s="13">
        <f t="array" ref="D106">iferror(INDEX('2019 clean final'!A:B,MATCH(B106,'2019 clean final'!A:A,0),2),0)</f>
        <v>0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 t="s">
        <v>797</v>
      </c>
      <c r="B107" s="13" t="s">
        <v>797</v>
      </c>
      <c r="C107" s="13">
        <f t="array" ref="C107">iferror(INDEX('2018 clean final'!A107:B249,match(B107,'2018 clean final'!A107:A249,0),2),0)</f>
        <v>42700</v>
      </c>
      <c r="D107" s="13">
        <f t="array" ref="D107">iferror(INDEX('2019 clean final'!A:B,MATCH(B107,'2019 clean final'!A:A,0),2),0)</f>
        <v>0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 t="s">
        <v>160</v>
      </c>
      <c r="B108" s="13" t="s">
        <v>160</v>
      </c>
      <c r="C108" s="13">
        <f t="array" ref="C108">iferror(INDEX('2018 clean final'!A108:B250,match(B108,'2018 clean final'!A108:A250,0),2),0)</f>
        <v>11000</v>
      </c>
      <c r="D108" s="13">
        <f t="array" ref="D108">iferror(INDEX('2019 clean final'!A:B,MATCH(B108,'2019 clean final'!A:A,0),2),0)</f>
        <v>0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 t="s">
        <v>127</v>
      </c>
      <c r="B109" s="13" t="s">
        <v>127</v>
      </c>
      <c r="C109" s="13">
        <f t="array" ref="C109">iferror(INDEX('2018 clean final'!A109:B251,match(B109,'2018 clean final'!A109:A251,0),2),0)</f>
        <v>10000</v>
      </c>
      <c r="D109" s="13">
        <f t="array" ref="D109">iferror(INDEX('2019 clean final'!A:B,MATCH(B109,'2019 clean final'!A:A,0),2),0)</f>
        <v>0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 t="s">
        <v>65</v>
      </c>
      <c r="B110" s="13" t="s">
        <v>65</v>
      </c>
      <c r="C110" s="13">
        <f t="array" ref="C110">iferror(INDEX('2018 clean final'!A110:B252,match(B110,'2018 clean final'!A110:A252,0),2),0)</f>
        <v>77000</v>
      </c>
      <c r="D110" s="13">
        <f t="array" ref="D110">iferror(INDEX('2019 clean final'!A:B,MATCH(B110,'2019 clean final'!A:A,0),2),0)</f>
        <v>0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 t="s">
        <v>45</v>
      </c>
      <c r="B111" s="13" t="s">
        <v>45</v>
      </c>
      <c r="C111" s="13">
        <f t="array" ref="C111">iferror(INDEX('2018 clean final'!A111:B253,match(B111,'2018 clean final'!A111:A253,0),2),0)</f>
        <v>10870</v>
      </c>
      <c r="D111" s="13">
        <f t="array" ref="D111">iferror(INDEX('2019 clean final'!A:B,MATCH(B111,'2019 clean final'!A:A,0),2),0)</f>
        <v>0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 t="s">
        <v>95</v>
      </c>
      <c r="B112" s="13" t="s">
        <v>95</v>
      </c>
      <c r="C112" s="13">
        <f t="array" ref="C112">iferror(INDEX('2018 clean final'!A112:B254,match(B112,'2018 clean final'!A112:A254,0),2),0)</f>
        <v>49000</v>
      </c>
      <c r="D112" s="13">
        <f t="array" ref="D112">iferror(INDEX('2019 clean final'!A:B,MATCH(B112,'2019 clean final'!A:A,0),2),0)</f>
        <v>0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 t="s">
        <v>798</v>
      </c>
      <c r="B113" s="13" t="s">
        <v>798</v>
      </c>
      <c r="C113" s="13">
        <f t="array" ref="C113">iferror(INDEX('2018 clean final'!A113:B255,match(B113,'2018 clean final'!A113:A255,0),2),0)</f>
        <v>5000</v>
      </c>
      <c r="D113" s="13">
        <f t="array" ref="D113">iferror(INDEX('2019 clean final'!A:B,MATCH(B113,'2019 clean final'!A:A,0),2),0)</f>
        <v>0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 t="s">
        <v>432</v>
      </c>
      <c r="B114" s="13" t="s">
        <v>432</v>
      </c>
      <c r="C114" s="13">
        <f t="array" ref="C114">iferror(INDEX('2018 clean final'!A114:B256,match(B114,'2018 clean final'!A114:A256,0),2),0)</f>
        <v>72200</v>
      </c>
      <c r="D114" s="13">
        <f t="array" ref="D114">iferror(INDEX('2019 clean final'!A:B,MATCH(B114,'2019 clean final'!A:A,0),2),0)</f>
        <v>0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 t="s">
        <v>145</v>
      </c>
      <c r="B115" s="13" t="s">
        <v>145</v>
      </c>
      <c r="C115" s="13">
        <f t="array" ref="C115">iferror(INDEX('2018 clean final'!A115:B257,match(B115,'2018 clean final'!A115:A257,0),2),0)</f>
        <v>5000</v>
      </c>
      <c r="D115" s="13">
        <f t="array" ref="D115">iferror(INDEX('2019 clean final'!A:B,MATCH(B115,'2019 clean final'!A:A,0),2),0)</f>
        <v>5000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>
        <f t="array" ref="C116">iferror(INDEX('2018 clean final'!A116:B258,match(B116,'2018 clean final'!A116:A258,0),2),0)</f>
        <v>0</v>
      </c>
      <c r="D116" s="13">
        <f t="array" ref="D116">iferror(INDEX('2019 clean final'!A:B,MATCH(B116,'2019 clean final'!A:A,0),2),0)</f>
        <v>0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4" t="str">
        <f t="array" ref="A117:A225">UNIQUE('2019 clean final'!A2:A1001)</f>
        <v>ADELE</v>
      </c>
      <c r="B117" s="13" t="s">
        <v>694</v>
      </c>
      <c r="C117" s="13">
        <f t="array" ref="C117">iferror(INDEX('2018 clean final'!A117:B259,match(B117,'2018 clean final'!A117:A259,0),2),0)</f>
        <v>0</v>
      </c>
      <c r="D117" s="13">
        <f t="array" ref="D117">iferror(INDEX('2019 clean final'!A:B,MATCH(B117,'2019 clean final'!A:A,0),2),0)</f>
        <v>12500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 t="s">
        <v>293</v>
      </c>
      <c r="B118" s="13" t="s">
        <v>472</v>
      </c>
      <c r="C118" s="13">
        <f t="array" ref="C118">iferror(INDEX('2018 clean final'!A118:B260,match(B118,'2018 clean final'!A118:A260,0),2),0)</f>
        <v>0</v>
      </c>
      <c r="D118" s="13">
        <f t="array" ref="D118">iferror(INDEX('2019 clean final'!A:B,MATCH(B118,'2019 clean final'!A:A,0),2),0)</f>
        <v>97740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 t="s">
        <v>203</v>
      </c>
      <c r="B119" s="13" t="s">
        <v>627</v>
      </c>
      <c r="C119" s="13">
        <f t="array" ref="C119">iferror(INDEX('2018 clean final'!A119:B261,match(B119,'2018 clean final'!A119:A261,0),2),0)</f>
        <v>0</v>
      </c>
      <c r="D119" s="13">
        <f t="array" ref="D119">iferror(INDEX('2019 clean final'!A:B,MATCH(B119,'2019 clean final'!A:A,0),2),0)</f>
        <v>20000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 t="s">
        <v>472</v>
      </c>
      <c r="B120" s="13" t="s">
        <v>638</v>
      </c>
      <c r="C120" s="13">
        <f t="array" ref="C120">iferror(INDEX('2018 clean final'!A120:B262,match(B120,'2018 clean final'!A120:A262,0),2),0)</f>
        <v>0</v>
      </c>
      <c r="D120" s="13">
        <f t="array" ref="D120">iferror(INDEX('2019 clean final'!A:B,MATCH(B120,'2019 clean final'!A:A,0),2),0)</f>
        <v>14250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 t="s">
        <v>627</v>
      </c>
      <c r="B121" s="13" t="s">
        <v>574</v>
      </c>
      <c r="C121" s="13">
        <f t="array" ref="C121">iferror(INDEX('2018 clean final'!A121:B263,match(B121,'2018 clean final'!A121:A263,0),2),0)</f>
        <v>0</v>
      </c>
      <c r="D121" s="13">
        <f t="array" ref="D121">iferror(INDEX('2019 clean final'!A:B,MATCH(B121,'2019 clean final'!A:A,0),2),0)</f>
        <v>180000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 t="s">
        <v>328</v>
      </c>
      <c r="B122" s="13" t="s">
        <v>498</v>
      </c>
      <c r="C122" s="13">
        <f t="array" ref="C122">iferror(INDEX('2018 clean final'!A122:B264,match(B122,'2018 clean final'!A122:A264,0),2),0)</f>
        <v>0</v>
      </c>
      <c r="D122" s="13">
        <f t="array" ref="D122">iferror(INDEX('2019 clean final'!A:B,MATCH(B122,'2019 clean final'!A:A,0),2),0)</f>
        <v>49000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 t="s">
        <v>439</v>
      </c>
      <c r="B123" s="13" t="s">
        <v>571</v>
      </c>
      <c r="C123" s="13">
        <f t="array" ref="C123">iferror(INDEX('2018 clean final'!A123:B265,match(B123,'2018 clean final'!A123:A265,0),2),0)</f>
        <v>0</v>
      </c>
      <c r="D123" s="13">
        <f t="array" ref="D123">iferror(INDEX('2019 clean final'!A:B,MATCH(B123,'2019 clean final'!A:A,0),2),0)</f>
        <v>82800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 t="s">
        <v>356</v>
      </c>
      <c r="B124" s="13" t="s">
        <v>515</v>
      </c>
      <c r="C124" s="13">
        <f t="array" ref="C124">iferror(INDEX('2018 clean final'!A124:B266,match(B124,'2018 clean final'!A124:A266,0),2),0)</f>
        <v>0</v>
      </c>
      <c r="D124" s="13">
        <f t="array" ref="D124">iferror(INDEX('2019 clean final'!A:B,MATCH(B124,'2019 clean final'!A:A,0),2),0)</f>
        <v>20000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 t="s">
        <v>638</v>
      </c>
      <c r="B125" s="13" t="s">
        <v>506</v>
      </c>
      <c r="C125" s="13">
        <f t="array" ref="C125">iferror(INDEX('2018 clean final'!A125:B267,match(B125,'2018 clean final'!A125:A267,0),2),0)</f>
        <v>0</v>
      </c>
      <c r="D125" s="13">
        <f t="array" ref="D125">iferror(INDEX('2019 clean final'!A:B,MATCH(B125,'2019 clean final'!A:A,0),2),0)</f>
        <v>26000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 t="s">
        <v>574</v>
      </c>
      <c r="B126" s="13" t="s">
        <v>216</v>
      </c>
      <c r="C126" s="13">
        <f t="array" ref="C126">iferror(INDEX('2018 clean final'!A126:B268,match(B126,'2018 clean final'!A126:A268,0),2),0)</f>
        <v>0</v>
      </c>
      <c r="D126" s="13">
        <f t="array" ref="D126">iferror(INDEX('2019 clean final'!A:B,MATCH(B126,'2019 clean final'!A:A,0),2),0)</f>
        <v>47500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 t="s">
        <v>498</v>
      </c>
      <c r="B127" s="13" t="s">
        <v>678</v>
      </c>
      <c r="C127" s="13">
        <f t="array" ref="C127">iferror(INDEX('2018 clean final'!A127:B269,match(B127,'2018 clean final'!A127:A269,0),2),0)</f>
        <v>0</v>
      </c>
      <c r="D127" s="13">
        <f t="array" ref="D127">iferror(INDEX('2019 clean final'!A:B,MATCH(B127,'2019 clean final'!A:A,0),2),0)</f>
        <v>30000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 t="s">
        <v>571</v>
      </c>
      <c r="B128" s="13" t="s">
        <v>565</v>
      </c>
      <c r="C128" s="13">
        <f t="array" ref="C128">iferror(INDEX('2018 clean final'!A128:B270,match(B128,'2018 clean final'!A128:A270,0),2),0)</f>
        <v>0</v>
      </c>
      <c r="D128" s="13">
        <f t="array" ref="D128">iferror(INDEX('2019 clean final'!A:B,MATCH(B128,'2019 clean final'!A:A,0),2),0)</f>
        <v>40000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 t="s">
        <v>243</v>
      </c>
      <c r="B129" s="13" t="s">
        <v>468</v>
      </c>
      <c r="C129" s="13">
        <f t="array" ref="C129">iferror(INDEX('2018 clean final'!A129:B271,match(B129,'2018 clean final'!A129:A271,0),2),0)</f>
        <v>0</v>
      </c>
      <c r="D129" s="13">
        <f t="array" ref="D129">iferror(INDEX('2019 clean final'!A:B,MATCH(B129,'2019 clean final'!A:A,0),2),0)</f>
        <v>25000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 t="s">
        <v>733</v>
      </c>
      <c r="B130" s="13" t="s">
        <v>580</v>
      </c>
      <c r="C130" s="13">
        <f t="array" ref="C130">iferror(INDEX('2018 clean final'!A130:B272,match(B130,'2018 clean final'!A130:A272,0),2),0)</f>
        <v>0</v>
      </c>
      <c r="D130" s="13">
        <f t="array" ref="D130">iferror(INDEX('2019 clean final'!A:B,MATCH(B130,'2019 clean final'!A:A,0),2),0)</f>
        <v>150000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 t="s">
        <v>515</v>
      </c>
      <c r="B131" s="13" t="s">
        <v>747</v>
      </c>
      <c r="C131" s="13">
        <f t="array" ref="C131">iferror(INDEX('2018 clean final'!A131:B273,match(B131,'2018 clean final'!A131:A273,0),2),0)</f>
        <v>0</v>
      </c>
      <c r="D131" s="13">
        <f t="array" ref="D131">iferror(INDEX('2019 clean final'!A:B,MATCH(B131,'2019 clean final'!A:A,0),2),0)</f>
        <v>25000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 t="s">
        <v>506</v>
      </c>
      <c r="B132" s="13" t="s">
        <v>475</v>
      </c>
      <c r="C132" s="13">
        <f t="array" ref="C132">iferror(INDEX('2018 clean final'!A132:B274,match(B132,'2018 clean final'!A132:A274,0),2),0)</f>
        <v>0</v>
      </c>
      <c r="D132" s="13">
        <f t="array" ref="D132">iferror(INDEX('2019 clean final'!A:B,MATCH(B132,'2019 clean final'!A:A,0),2),0)</f>
        <v>88000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 t="s">
        <v>179</v>
      </c>
      <c r="B133" s="13" t="s">
        <v>633</v>
      </c>
      <c r="C133" s="13">
        <f t="array" ref="C133">iferror(INDEX('2018 clean final'!A133:B275,match(B133,'2018 clean final'!A133:A275,0),2),0)</f>
        <v>0</v>
      </c>
      <c r="D133" s="13">
        <f t="array" ref="D133">iferror(INDEX('2019 clean final'!A:B,MATCH(B133,'2019 clean final'!A:A,0),2),0)</f>
        <v>8000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 t="s">
        <v>216</v>
      </c>
      <c r="B134" s="13" t="s">
        <v>491</v>
      </c>
      <c r="C134" s="13">
        <f t="array" ref="C134">iferror(INDEX('2018 clean final'!A134:B276,match(B134,'2018 clean final'!A134:A276,0),2),0)</f>
        <v>0</v>
      </c>
      <c r="D134" s="13">
        <f t="array" ref="D134">iferror(INDEX('2019 clean final'!A:B,MATCH(B134,'2019 clean final'!A:A,0),2),0)</f>
        <v>18000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 t="s">
        <v>678</v>
      </c>
      <c r="B135" s="13" t="s">
        <v>590</v>
      </c>
      <c r="C135" s="13">
        <f t="array" ref="C135">iferror(INDEX('2018 clean final'!A135:B277,match(B135,'2018 clean final'!A135:A277,0),2),0)</f>
        <v>0</v>
      </c>
      <c r="D135" s="13">
        <f t="array" ref="D135">iferror(INDEX('2019 clean final'!A:B,MATCH(B135,'2019 clean final'!A:A,0),2),0)</f>
        <v>500000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 t="s">
        <v>565</v>
      </c>
      <c r="B136" s="13" t="s">
        <v>600</v>
      </c>
      <c r="C136" s="13">
        <f t="array" ref="C136">iferror(INDEX('2018 clean final'!A136:B278,match(B136,'2018 clean final'!A136:A278,0),2),0)</f>
        <v>0</v>
      </c>
      <c r="D136" s="13">
        <f t="array" ref="D136">iferror(INDEX('2019 clean final'!A:B,MATCH(B136,'2019 clean final'!A:A,0),2),0)</f>
        <v>30000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 t="s">
        <v>468</v>
      </c>
      <c r="B137" s="13" t="s">
        <v>427</v>
      </c>
      <c r="C137" s="13">
        <f t="array" ref="C137">iferror(INDEX('2018 clean final'!A137:B279,match(B137,'2018 clean final'!A137:A279,0),2),0)</f>
        <v>0</v>
      </c>
      <c r="D137" s="13">
        <f t="array" ref="D137">iferror(INDEX('2019 clean final'!A:B,MATCH(B137,'2019 clean final'!A:A,0),2),0)</f>
        <v>25000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 t="s">
        <v>580</v>
      </c>
      <c r="B138" s="13" t="s">
        <v>716</v>
      </c>
      <c r="C138" s="13">
        <f t="array" ref="C138">iferror(INDEX('2018 clean final'!A138:B280,match(B138,'2018 clean final'!A138:A280,0),2),0)</f>
        <v>0</v>
      </c>
      <c r="D138" s="13">
        <f t="array" ref="D138">iferror(INDEX('2019 clean final'!A:B,MATCH(B138,'2019 clean final'!A:A,0),2),0)</f>
        <v>29000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 t="s">
        <v>136</v>
      </c>
      <c r="B139" s="13" t="s">
        <v>533</v>
      </c>
      <c r="C139" s="13">
        <f t="array" ref="C139">iferror(INDEX('2018 clean final'!A139:B281,match(B139,'2018 clean final'!A139:A281,0),2),0)</f>
        <v>0</v>
      </c>
      <c r="D139" s="13">
        <f t="array" ref="D139">iferror(INDEX('2019 clean final'!A:B,MATCH(B139,'2019 clean final'!A:A,0),2),0)</f>
        <v>15000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 t="s">
        <v>61</v>
      </c>
      <c r="B140" s="13" t="s">
        <v>624</v>
      </c>
      <c r="C140" s="13">
        <f t="array" ref="C140">iferror(INDEX('2018 clean final'!A140:B282,match(B140,'2018 clean final'!A140:A282,0),2),0)</f>
        <v>0</v>
      </c>
      <c r="D140" s="13">
        <f t="array" ref="D140">iferror(INDEX('2019 clean final'!A:B,MATCH(B140,'2019 clean final'!A:A,0),2),0)</f>
        <v>23500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 t="s">
        <v>747</v>
      </c>
      <c r="B141" s="13" t="s">
        <v>528</v>
      </c>
      <c r="C141" s="13">
        <f t="array" ref="C141">iferror(INDEX('2018 clean final'!A141:B283,match(B141,'2018 clean final'!A141:A283,0),2),0)</f>
        <v>0</v>
      </c>
      <c r="D141" s="13">
        <f t="array" ref="D141">iferror(INDEX('2019 clean final'!A:B,MATCH(B141,'2019 clean final'!A:A,0),2),0)</f>
        <v>1680000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 t="s">
        <v>475</v>
      </c>
      <c r="B142" s="13" t="s">
        <v>691</v>
      </c>
      <c r="C142" s="13">
        <f t="array" ref="C142">iferror(INDEX('2018 clean final'!A142:B284,match(B142,'2018 clean final'!A142:A284,0),2),0)</f>
        <v>0</v>
      </c>
      <c r="D142" s="13">
        <f t="array" ref="D142">iferror(INDEX('2019 clean final'!A:B,MATCH(B142,'2019 clean final'!A:A,0),2),0)</f>
        <v>4350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 t="s">
        <v>633</v>
      </c>
      <c r="B143" s="13" t="s">
        <v>686</v>
      </c>
      <c r="C143" s="13">
        <f t="array" ref="C143">iferror(INDEX('2018 clean final'!A143:B285,match(B143,'2018 clean final'!A143:A285,0),2),0)</f>
        <v>0</v>
      </c>
      <c r="D143" s="13">
        <f t="array" ref="D143">iferror(INDEX('2019 clean final'!A:B,MATCH(B143,'2019 clean final'!A:A,0),2),0)</f>
        <v>3500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 t="s">
        <v>625</v>
      </c>
      <c r="B144" s="13" t="s">
        <v>651</v>
      </c>
      <c r="C144" s="13">
        <f t="array" ref="C144">iferror(INDEX('2018 clean final'!A144:B286,match(B144,'2018 clean final'!A144:A286,0),2),0)</f>
        <v>0</v>
      </c>
      <c r="D144" s="13">
        <f t="array" ref="D144">iferror(INDEX('2019 clean final'!A:B,MATCH(B144,'2019 clean final'!A:A,0),2),0)</f>
        <v>38000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 t="s">
        <v>139</v>
      </c>
      <c r="B145" s="13" t="s">
        <v>703</v>
      </c>
      <c r="C145" s="13">
        <f t="array" ref="C145">iferror(INDEX('2018 clean final'!A145:B287,match(B145,'2018 clean final'!A145:A287,0),2),0)</f>
        <v>0</v>
      </c>
      <c r="D145" s="13">
        <f t="array" ref="D145">iferror(INDEX('2019 clean final'!A:B,MATCH(B145,'2019 clean final'!A:A,0),2),0)</f>
        <v>20000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 t="s">
        <v>613</v>
      </c>
      <c r="B146" s="13" t="s">
        <v>530</v>
      </c>
      <c r="C146" s="13">
        <f t="array" ref="C146">iferror(INDEX('2018 clean final'!A146:B288,match(B146,'2018 clean final'!A146:A288,0),2),0)</f>
        <v>0</v>
      </c>
      <c r="D146" s="13">
        <f t="array" ref="D146">iferror(INDEX('2019 clean final'!A:B,MATCH(B146,'2019 clean final'!A:A,0),2),0)</f>
        <v>150000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 t="s">
        <v>309</v>
      </c>
      <c r="B147" s="13" t="s">
        <v>725</v>
      </c>
      <c r="C147" s="13">
        <f t="array" ref="C147">iferror(INDEX('2018 clean final'!A147:B289,match(B147,'2018 clean final'!A147:A289,0),2),0)</f>
        <v>0</v>
      </c>
      <c r="D147" s="13">
        <f t="array" ref="D147">iferror(INDEX('2019 clean final'!A:B,MATCH(B147,'2019 clean final'!A:A,0),2),0)</f>
        <v>160000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 t="s">
        <v>380</v>
      </c>
      <c r="B148" s="13" t="s">
        <v>661</v>
      </c>
      <c r="C148" s="13">
        <f t="array" ref="C148">iferror(INDEX('2018 clean final'!A148:B290,match(B148,'2018 clean final'!A148:A290,0),2),0)</f>
        <v>0</v>
      </c>
      <c r="D148" s="13">
        <f t="array" ref="D148">iferror(INDEX('2019 clean final'!A:B,MATCH(B148,'2019 clean final'!A:A,0),2),0)</f>
        <v>41250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 t="s">
        <v>491</v>
      </c>
      <c r="B149" s="13" t="s">
        <v>658</v>
      </c>
      <c r="C149" s="13">
        <f t="array" ref="C149">iferror(INDEX('2018 clean final'!A149:B291,match(B149,'2018 clean final'!A149:A291,0),2),0)</f>
        <v>0</v>
      </c>
      <c r="D149" s="13">
        <f t="array" ref="D149">iferror(INDEX('2019 clean final'!A:B,MATCH(B149,'2019 clean final'!A:A,0),2),0)</f>
        <v>204000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 t="s">
        <v>590</v>
      </c>
      <c r="B150" s="13" t="s">
        <v>615</v>
      </c>
      <c r="C150" s="13">
        <f t="array" ref="C150">iferror(INDEX('2018 clean final'!A150:B292,match(B150,'2018 clean final'!A150:A292,0),2),0)</f>
        <v>0</v>
      </c>
      <c r="D150" s="13">
        <f t="array" ref="D150">iferror(INDEX('2019 clean final'!A:B,MATCH(B150,'2019 clean final'!A:A,0),2),0)</f>
        <v>22310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 t="s">
        <v>148</v>
      </c>
      <c r="B151" s="13" t="s">
        <v>463</v>
      </c>
      <c r="C151" s="13">
        <f t="array" ref="C151">iferror(INDEX('2018 clean final'!A151:B293,match(B151,'2018 clean final'!A151:A293,0),2),0)</f>
        <v>0</v>
      </c>
      <c r="D151" s="13">
        <f t="array" ref="D151">iferror(INDEX('2019 clean final'!A:B,MATCH(B151,'2019 clean final'!A:A,0),2),0)</f>
        <v>5000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 t="s">
        <v>378</v>
      </c>
      <c r="B152" s="13" t="s">
        <v>665</v>
      </c>
      <c r="C152" s="13">
        <f t="array" ref="C152">iferror(INDEX('2018 clean final'!A152:B294,match(B152,'2018 clean final'!A152:A294,0),2),0)</f>
        <v>0</v>
      </c>
      <c r="D152" s="13">
        <f t="array" ref="D152">iferror(INDEX('2019 clean final'!A:B,MATCH(B152,'2019 clean final'!A:A,0),2),0)</f>
        <v>3000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 t="s">
        <v>374</v>
      </c>
      <c r="B153" s="13" t="s">
        <v>558</v>
      </c>
      <c r="C153" s="13">
        <f t="array" ref="C153">iferror(INDEX('2018 clean final'!A153:B295,match(B153,'2018 clean final'!A153:A295,0),2),0)</f>
        <v>0</v>
      </c>
      <c r="D153" s="13">
        <f t="array" ref="D153">iferror(INDEX('2019 clean final'!A:B,MATCH(B153,'2019 clean final'!A:A,0),2),0)</f>
        <v>34000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 t="s">
        <v>600</v>
      </c>
      <c r="B154" s="13" t="s">
        <v>649</v>
      </c>
      <c r="C154" s="13">
        <f t="array" ref="C154">iferror(INDEX('2018 clean final'!A154:B296,match(B154,'2018 clean final'!A154:A296,0),2),0)</f>
        <v>0</v>
      </c>
      <c r="D154" s="13">
        <f t="array" ref="D154">iferror(INDEX('2019 clean final'!A:B,MATCH(B154,'2019 clean final'!A:A,0),2),0)</f>
        <v>6600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 t="s">
        <v>427</v>
      </c>
      <c r="B155" s="13" t="s">
        <v>714</v>
      </c>
      <c r="C155" s="13">
        <f t="array" ref="C155">iferror(INDEX('2018 clean final'!A155:B297,match(B155,'2018 clean final'!A155:A297,0),2),0)</f>
        <v>0</v>
      </c>
      <c r="D155" s="13">
        <f t="array" ref="D155">iferror(INDEX('2019 clean final'!A:B,MATCH(B155,'2019 clean final'!A:A,0),2),0)</f>
        <v>4000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 t="s">
        <v>448</v>
      </c>
      <c r="B156" s="13" t="s">
        <v>620</v>
      </c>
      <c r="C156" s="13">
        <f t="array" ref="C156">iferror(INDEX('2018 clean final'!A156:B298,match(B156,'2018 clean final'!A156:A298,0),2),0)</f>
        <v>0</v>
      </c>
      <c r="D156" s="13">
        <f t="array" ref="D156">iferror(INDEX('2019 clean final'!A:B,MATCH(B156,'2019 clean final'!A:A,0),2),0)</f>
        <v>15000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 t="s">
        <v>716</v>
      </c>
      <c r="B157" s="13" t="s">
        <v>583</v>
      </c>
      <c r="C157" s="13">
        <f t="array" ref="C157">iferror(INDEX('2018 clean final'!A157:B299,match(B157,'2018 clean final'!A157:A299,0),2),0)</f>
        <v>0</v>
      </c>
      <c r="D157" s="13">
        <f t="array" ref="D157">iferror(INDEX('2019 clean final'!A:B,MATCH(B157,'2019 clean final'!A:A,0),2),0)</f>
        <v>27500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 t="s">
        <v>533</v>
      </c>
      <c r="B158" s="13" t="s">
        <v>509</v>
      </c>
      <c r="C158" s="13">
        <f t="array" ref="C158">iferror(INDEX('2018 clean final'!A158:B300,match(B158,'2018 clean final'!A158:A300,0),2),0)</f>
        <v>0</v>
      </c>
      <c r="D158" s="13">
        <f t="array" ref="D158">iferror(INDEX('2019 clean final'!A:B,MATCH(B158,'2019 clean final'!A:A,0),2),0)</f>
        <v>14500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 t="s">
        <v>624</v>
      </c>
      <c r="B159" s="13" t="s">
        <v>631</v>
      </c>
      <c r="C159" s="13">
        <f t="array" ref="C159">iferror(INDEX('2018 clean final'!A159:B301,match(B159,'2018 clean final'!A159:A301,0),2),0)</f>
        <v>0</v>
      </c>
      <c r="D159" s="13">
        <f t="array" ref="D159">iferror(INDEX('2019 clean final'!A:B,MATCH(B159,'2019 clean final'!A:A,0),2),0)</f>
        <v>9000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 t="s">
        <v>249</v>
      </c>
      <c r="B160" s="13" t="s">
        <v>543</v>
      </c>
      <c r="C160" s="13">
        <f t="array" ref="C160">iferror(INDEX('2018 clean final'!A160:B302,match(B160,'2018 clean final'!A160:A302,0),2),0)</f>
        <v>0</v>
      </c>
      <c r="D160" s="13">
        <f t="array" ref="D160">iferror(INDEX('2019 clean final'!A:B,MATCH(B160,'2019 clean final'!A:A,0),2),0)</f>
        <v>7000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 t="s">
        <v>528</v>
      </c>
      <c r="B161" s="13" t="s">
        <v>488</v>
      </c>
      <c r="C161" s="13">
        <f t="array" ref="C161">iferror(INDEX('2018 clean final'!A161:B303,match(B161,'2018 clean final'!A161:A303,0),2),0)</f>
        <v>0</v>
      </c>
      <c r="D161" s="13">
        <f t="array" ref="D161">iferror(INDEX('2019 clean final'!A:B,MATCH(B161,'2019 clean final'!A:A,0),2),0)</f>
        <v>15000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 t="s">
        <v>191</v>
      </c>
      <c r="B162" s="13" t="s">
        <v>688</v>
      </c>
      <c r="C162" s="13">
        <f t="array" ref="C162">iferror(INDEX('2018 clean final'!A162:B304,match(B162,'2018 clean final'!A162:A304,0),2),0)</f>
        <v>0</v>
      </c>
      <c r="D162" s="13">
        <f t="array" ref="D162">iferror(INDEX('2019 clean final'!A:B,MATCH(B162,'2019 clean final'!A:A,0),2),0)</f>
        <v>4500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 t="s">
        <v>364</v>
      </c>
      <c r="B163" s="13" t="s">
        <v>607</v>
      </c>
      <c r="C163" s="13">
        <f t="array" ref="C163">iferror(INDEX('2018 clean final'!A163:B305,match(B163,'2018 clean final'!A163:A305,0),2),0)</f>
        <v>0</v>
      </c>
      <c r="D163" s="13">
        <f t="array" ref="D163">iferror(INDEX('2019 clean final'!A:B,MATCH(B163,'2019 clean final'!A:A,0),2),0)</f>
        <v>55000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 t="s">
        <v>691</v>
      </c>
      <c r="B164" s="13" t="s">
        <v>632</v>
      </c>
      <c r="C164" s="13">
        <f t="array" ref="C164">iferror(INDEX('2018 clean final'!A164:B306,match(B164,'2018 clean final'!A164:A306,0),2),0)</f>
        <v>0</v>
      </c>
      <c r="D164" s="13">
        <f t="array" ref="D164">iferror(INDEX('2019 clean final'!A:B,MATCH(B164,'2019 clean final'!A:A,0),2),0)</f>
        <v>8826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 t="s">
        <v>686</v>
      </c>
      <c r="B165" s="13" t="s">
        <v>721</v>
      </c>
      <c r="C165" s="13">
        <f t="array" ref="C165">iferror(INDEX('2018 clean final'!A165:B307,match(B165,'2018 clean final'!A165:A307,0),2),0)</f>
        <v>0</v>
      </c>
      <c r="D165" s="13">
        <f t="array" ref="D165">iferror(INDEX('2019 clean final'!A:B,MATCH(B165,'2019 clean final'!A:A,0),2),0)</f>
        <v>50000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 t="s">
        <v>651</v>
      </c>
      <c r="B166" s="13" t="s">
        <v>519</v>
      </c>
      <c r="C166" s="13">
        <f t="array" ref="C166">iferror(INDEX('2018 clean final'!A166:B308,match(B166,'2018 clean final'!A166:A308,0),2),0)</f>
        <v>0</v>
      </c>
      <c r="D166" s="13">
        <f t="array" ref="D166">iferror(INDEX('2019 clean final'!A:B,MATCH(B166,'2019 clean final'!A:A,0),2),0)</f>
        <v>25000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 t="s">
        <v>348</v>
      </c>
      <c r="B167" s="13" t="s">
        <v>710</v>
      </c>
      <c r="C167" s="13">
        <f t="array" ref="C167">iferror(INDEX('2018 clean final'!A167:B309,match(B167,'2018 clean final'!A167:A309,0),2),0)</f>
        <v>0</v>
      </c>
      <c r="D167" s="13">
        <f t="array" ref="D167">iferror(INDEX('2019 clean final'!A:B,MATCH(B167,'2019 clean final'!A:A,0),2),0)</f>
        <v>25000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 t="s">
        <v>703</v>
      </c>
      <c r="B168" s="13" t="s">
        <v>568</v>
      </c>
      <c r="C168" s="13">
        <f t="array" ref="C168">iferror(INDEX('2018 clean final'!A168:B310,match(B168,'2018 clean final'!A168:A310,0),2),0)</f>
        <v>0</v>
      </c>
      <c r="D168" s="13">
        <f t="array" ref="D168">iferror(INDEX('2019 clean final'!A:B,MATCH(B168,'2019 clean final'!A:A,0),2),0)</f>
        <v>230000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 t="s">
        <v>530</v>
      </c>
      <c r="B169" s="13" t="s">
        <v>736</v>
      </c>
      <c r="C169" s="13">
        <f t="array" ref="C169">iferror(INDEX('2018 clean final'!A169:B311,match(B169,'2018 clean final'!A169:A311,0),2),0)</f>
        <v>0</v>
      </c>
      <c r="D169" s="13">
        <f t="array" ref="D169">iferror(INDEX('2019 clean final'!A:B,MATCH(B169,'2019 clean final'!A:A,0),2),0)</f>
        <v>56400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 t="s">
        <v>231</v>
      </c>
      <c r="B170" s="13" t="s">
        <v>730</v>
      </c>
      <c r="C170" s="13">
        <f t="array" ref="C170">iferror(INDEX('2018 clean final'!A170:B312,match(B170,'2018 clean final'!A170:A312,0),2),0)</f>
        <v>0</v>
      </c>
      <c r="D170" s="13">
        <f t="array" ref="D170">iferror(INDEX('2019 clean final'!A:B,MATCH(B170,'2019 clean final'!A:A,0),2),0)</f>
        <v>8000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 t="s">
        <v>351</v>
      </c>
      <c r="B171" s="13" t="s">
        <v>629</v>
      </c>
      <c r="C171" s="13">
        <f t="array" ref="C171">iferror(INDEX('2018 clean final'!A171:B313,match(B171,'2018 clean final'!A171:A313,0),2),0)</f>
        <v>0</v>
      </c>
      <c r="D171" s="13">
        <f t="array" ref="D171">iferror(INDEX('2019 clean final'!A:B,MATCH(B171,'2019 clean final'!A:A,0),2),0)</f>
        <v>6700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 t="s">
        <v>725</v>
      </c>
      <c r="B172" s="13" t="s">
        <v>84</v>
      </c>
      <c r="C172" s="13">
        <f t="array" ref="C172">iferror(INDEX('2018 clean final'!A172:B314,match(B172,'2018 clean final'!A172:A314,0),2),0)</f>
        <v>0</v>
      </c>
      <c r="D172" s="13">
        <f t="array" ref="D172">iferror(INDEX('2019 clean final'!A:B,MATCH(B172,'2019 clean final'!A:A,0),2),0)</f>
        <v>25000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 t="s">
        <v>752</v>
      </c>
      <c r="B173" s="13" t="s">
        <v>481</v>
      </c>
      <c r="C173" s="13">
        <f t="array" ref="C173">iferror(INDEX('2018 clean final'!A173:B315,match(B173,'2018 clean final'!A173:A315,0),2),0)</f>
        <v>0</v>
      </c>
      <c r="D173" s="13">
        <f t="array" ref="D173">iferror(INDEX('2019 clean final'!A:B,MATCH(B173,'2019 clean final'!A:A,0),2),0)</f>
        <v>225000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 t="s">
        <v>661</v>
      </c>
      <c r="B174" s="13" t="s">
        <v>540</v>
      </c>
      <c r="C174" s="13">
        <f t="array" ref="C174">iferror(INDEX('2018 clean final'!A174:B316,match(B174,'2018 clean final'!A174:A316,0),2),0)</f>
        <v>0</v>
      </c>
      <c r="D174" s="13">
        <f t="array" ref="D174">iferror(INDEX('2019 clean final'!A:B,MATCH(B174,'2019 clean final'!A:A,0),2),0)</f>
        <v>3000000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 t="s">
        <v>658</v>
      </c>
      <c r="B175" s="13" t="s">
        <v>712</v>
      </c>
      <c r="C175" s="13">
        <f t="array" ref="C175">iferror(INDEX('2018 clean final'!A175:B317,match(B175,'2018 clean final'!A175:A317,0),2),0)</f>
        <v>0</v>
      </c>
      <c r="D175" s="13">
        <f t="array" ref="D175">iferror(INDEX('2019 clean final'!A:B,MATCH(B175,'2019 clean final'!A:A,0),2),0)</f>
        <v>5800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 t="s">
        <v>615</v>
      </c>
      <c r="B176" s="13" t="s">
        <v>548</v>
      </c>
      <c r="C176" s="13">
        <f t="array" ref="C176">iferror(INDEX('2018 clean final'!A176:B318,match(B176,'2018 clean final'!A176:A318,0),2),0)</f>
        <v>0</v>
      </c>
      <c r="D176" s="13">
        <f t="array" ref="D176">iferror(INDEX('2019 clean final'!A:B,MATCH(B176,'2019 clean final'!A:A,0),2),0)</f>
        <v>15000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 t="s">
        <v>463</v>
      </c>
      <c r="B177" s="13" t="s">
        <v>538</v>
      </c>
      <c r="C177" s="13">
        <f t="array" ref="C177">iferror(INDEX('2018 clean final'!A177:B319,match(B177,'2018 clean final'!A177:A319,0),2),0)</f>
        <v>0</v>
      </c>
      <c r="D177" s="13">
        <f t="array" ref="D177">iferror(INDEX('2019 clean final'!A:B,MATCH(B177,'2019 clean final'!A:A,0),2),0)</f>
        <v>114000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 t="s">
        <v>665</v>
      </c>
      <c r="B178" s="13" t="s">
        <v>739</v>
      </c>
      <c r="C178" s="13">
        <f t="array" ref="C178">iferror(INDEX('2018 clean final'!A178:B320,match(B178,'2018 clean final'!A178:A320,0),2),0)</f>
        <v>0</v>
      </c>
      <c r="D178" s="13">
        <f t="array" ref="D178">iferror(INDEX('2019 clean final'!A:B,MATCH(B178,'2019 clean final'!A:A,0),2),0)</f>
        <v>25000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 t="s">
        <v>681</v>
      </c>
      <c r="B179" s="13" t="s">
        <v>593</v>
      </c>
      <c r="C179" s="13">
        <f t="array" ref="C179">iferror(INDEX('2018 clean final'!A179:B321,match(B179,'2018 clean final'!A179:A321,0),2),0)</f>
        <v>0</v>
      </c>
      <c r="D179" s="13">
        <f t="array" ref="D179">iferror(INDEX('2019 clean final'!A:B,MATCH(B179,'2019 clean final'!A:A,0),2),0)</f>
        <v>5000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 t="s">
        <v>122</v>
      </c>
      <c r="B180" s="13" t="s">
        <v>502</v>
      </c>
      <c r="C180" s="13">
        <f t="array" ref="C180">iferror(INDEX('2018 clean final'!A180:B322,match(B180,'2018 clean final'!A180:A322,0),2),0)</f>
        <v>0</v>
      </c>
      <c r="D180" s="13">
        <f t="array" ref="D180">iferror(INDEX('2019 clean final'!A:B,MATCH(B180,'2019 clean final'!A:A,0),2),0)</f>
        <v>400000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 t="s">
        <v>656</v>
      </c>
      <c r="B181" s="13" t="s">
        <v>485</v>
      </c>
      <c r="C181" s="13">
        <f t="array" ref="C181">iferror(INDEX('2018 clean final'!A181:B323,match(B181,'2018 clean final'!A181:A323,0),2),0)</f>
        <v>0</v>
      </c>
      <c r="D181" s="13">
        <f t="array" ref="D181">iferror(INDEX('2019 clean final'!A:B,MATCH(B181,'2019 clean final'!A:A,0),2),0)</f>
        <v>216000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 t="s">
        <v>558</v>
      </c>
      <c r="B182" s="13" t="s">
        <v>478</v>
      </c>
      <c r="C182" s="13">
        <f t="array" ref="C182">iferror(INDEX('2018 clean final'!A182:B324,match(B182,'2018 clean final'!A182:A324,0),2),0)</f>
        <v>0</v>
      </c>
      <c r="D182" s="13">
        <f t="array" ref="D182">iferror(INDEX('2019 clean final'!A:B,MATCH(B182,'2019 clean final'!A:A,0),2),0)</f>
        <v>10000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 t="s">
        <v>649</v>
      </c>
      <c r="B183" s="13" t="s">
        <v>526</v>
      </c>
      <c r="C183" s="13">
        <f t="array" ref="C183">iferror(INDEX('2018 clean final'!A183:B325,match(B183,'2018 clean final'!A183:A325,0),2),0)</f>
        <v>0</v>
      </c>
      <c r="D183" s="13">
        <f t="array" ref="D183">iferror(INDEX('2019 clean final'!A:B,MATCH(B183,'2019 clean final'!A:A,0),2),0)</f>
        <v>165000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 t="s">
        <v>714</v>
      </c>
      <c r="B184" s="13" t="s">
        <v>641</v>
      </c>
      <c r="C184" s="13">
        <f t="array" ref="C184">iferror(INDEX('2018 clean final'!A184:B326,match(B184,'2018 clean final'!A184:A326,0),2),0)</f>
        <v>0</v>
      </c>
      <c r="D184" s="13">
        <f t="array" ref="D184">iferror(INDEX('2019 clean final'!A:B,MATCH(B184,'2019 clean final'!A:A,0),2),0)</f>
        <v>49000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 t="s">
        <v>620</v>
      </c>
      <c r="B185" s="13" t="s">
        <v>743</v>
      </c>
      <c r="C185" s="13">
        <f t="array" ref="C185">iferror(INDEX('2018 clean final'!A185:B327,match(B185,'2018 clean final'!A185:A327,0),2),0)</f>
        <v>0</v>
      </c>
      <c r="D185" s="13">
        <f t="array" ref="D185">iferror(INDEX('2019 clean final'!A:B,MATCH(B185,'2019 clean final'!A:A,0),2),0)</f>
        <v>69000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 t="s">
        <v>635</v>
      </c>
      <c r="B186" s="13" t="s">
        <v>700</v>
      </c>
      <c r="C186" s="13">
        <f t="array" ref="C186">iferror(INDEX('2018 clean final'!A186:B328,match(B186,'2018 clean final'!A186:A328,0),2),0)</f>
        <v>0</v>
      </c>
      <c r="D186" s="13">
        <f t="array" ref="D186">iferror(INDEX('2019 clean final'!A:B,MATCH(B186,'2019 clean final'!A:A,0),2),0)</f>
        <v>25000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 t="s">
        <v>583</v>
      </c>
      <c r="B187" s="13" t="s">
        <v>494</v>
      </c>
      <c r="C187" s="13">
        <f t="array" ref="C187">iferror(INDEX('2018 clean final'!A187:B329,match(B187,'2018 clean final'!A187:A329,0),2),0)</f>
        <v>0</v>
      </c>
      <c r="D187" s="13">
        <f t="array" ref="D187">iferror(INDEX('2019 clean final'!A:B,MATCH(B187,'2019 clean final'!A:A,0),2),0)</f>
        <v>55000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 t="s">
        <v>509</v>
      </c>
      <c r="B188" s="13" t="s">
        <v>623</v>
      </c>
      <c r="C188" s="13">
        <f t="array" ref="C188">iferror(INDEX('2018 clean final'!A188:B330,match(B188,'2018 clean final'!A188:A330,0),2),0)</f>
        <v>0</v>
      </c>
      <c r="D188" s="13">
        <f t="array" ref="D188">iferror(INDEX('2019 clean final'!A:B,MATCH(B188,'2019 clean final'!A:A,0),2),0)</f>
        <v>10000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 t="s">
        <v>631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 t="s">
        <v>543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 t="s">
        <v>488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 t="s">
        <v>688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 t="s">
        <v>607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 t="s">
        <v>277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 t="s">
        <v>632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 t="s">
        <v>721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 t="s">
        <v>519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 t="s">
        <v>164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 t="s">
        <v>710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 t="s">
        <v>568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 t="s">
        <v>736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 t="s">
        <v>730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 t="s">
        <v>577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 t="s">
        <v>629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 t="s">
        <v>84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 t="s">
        <v>481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 t="s">
        <v>540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 t="s">
        <v>712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 t="s">
        <v>548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 t="s">
        <v>240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 t="s">
        <v>538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 t="s">
        <v>739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 t="s">
        <v>593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 t="s">
        <v>104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 t="s">
        <v>502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 t="s">
        <v>485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 t="s">
        <v>478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 t="s">
        <v>526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 t="s">
        <v>641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 t="s">
        <v>743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 t="s">
        <v>145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 t="s">
        <v>700</v>
      </c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 t="s">
        <v>494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 t="s">
        <v>623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18.38"/>
    <col customWidth="1" min="3" max="3" width="14.5"/>
  </cols>
  <sheetData>
    <row r="1" ht="27.0" customHeight="1">
      <c r="A1" s="11" t="s">
        <v>808</v>
      </c>
      <c r="B1" s="11" t="s">
        <v>809</v>
      </c>
      <c r="C1" s="11" t="s">
        <v>810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392</v>
      </c>
      <c r="B2" s="13">
        <v>25000.0</v>
      </c>
      <c r="C2" s="13">
        <v>12500.0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3" t="s">
        <v>235</v>
      </c>
      <c r="B3" s="13">
        <v>2100.0</v>
      </c>
      <c r="C3" s="13">
        <v>0.0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3" t="s">
        <v>419</v>
      </c>
      <c r="B4" s="13">
        <v>87400.0</v>
      </c>
      <c r="C4" s="13">
        <v>0.0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3" t="s">
        <v>293</v>
      </c>
      <c r="B5" s="13">
        <v>58000.0</v>
      </c>
      <c r="C5" s="13">
        <v>58000.0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3" t="s">
        <v>757</v>
      </c>
      <c r="B6" s="13">
        <v>24000.0</v>
      </c>
      <c r="C6" s="13">
        <v>0.0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3" t="s">
        <v>203</v>
      </c>
      <c r="B7" s="13">
        <v>45000.0</v>
      </c>
      <c r="C7" s="13">
        <v>15000.0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" t="s">
        <v>224</v>
      </c>
      <c r="B8" s="13">
        <v>7190.0</v>
      </c>
      <c r="C8" s="13">
        <v>0.0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" t="s">
        <v>758</v>
      </c>
      <c r="B9" s="13">
        <v>97740.0</v>
      </c>
      <c r="C9" s="13">
        <v>0.0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 t="s">
        <v>472</v>
      </c>
      <c r="B10" s="13">
        <v>0.0</v>
      </c>
      <c r="C10" s="13">
        <v>97740.0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 t="s">
        <v>627</v>
      </c>
      <c r="B11" s="13">
        <v>0.0</v>
      </c>
      <c r="C11" s="13">
        <v>20000.0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 t="s">
        <v>759</v>
      </c>
      <c r="B12" s="13">
        <v>40000.0</v>
      </c>
      <c r="C12" s="13">
        <v>0.0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 t="s">
        <v>328</v>
      </c>
      <c r="B13" s="13">
        <v>25000.0</v>
      </c>
      <c r="C13" s="13">
        <v>14500.0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 t="s">
        <v>439</v>
      </c>
      <c r="B14" s="13">
        <v>90000.0</v>
      </c>
      <c r="C14" s="13">
        <v>90000.0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 t="s">
        <v>356</v>
      </c>
      <c r="B15" s="13">
        <v>60000.0</v>
      </c>
      <c r="C15" s="13">
        <v>58000.0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 t="s">
        <v>415</v>
      </c>
      <c r="B16" s="13">
        <v>14250.0</v>
      </c>
      <c r="C16" s="13">
        <v>0.0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 t="s">
        <v>638</v>
      </c>
      <c r="B17" s="13">
        <v>0.0</v>
      </c>
      <c r="C17" s="13">
        <v>14250.0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 t="s">
        <v>760</v>
      </c>
      <c r="B18" s="13">
        <v>180000.0</v>
      </c>
      <c r="C18" s="13">
        <v>0.0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 t="s">
        <v>574</v>
      </c>
      <c r="B19" s="13">
        <v>0.0</v>
      </c>
      <c r="C19" s="13">
        <v>180000.0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 t="s">
        <v>498</v>
      </c>
      <c r="B20" s="13">
        <v>0.0</v>
      </c>
      <c r="C20" s="13">
        <v>49000.0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 t="s">
        <v>571</v>
      </c>
      <c r="B21" s="13">
        <v>0.0</v>
      </c>
      <c r="C21" s="13">
        <v>82800.0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 t="s">
        <v>761</v>
      </c>
      <c r="B22" s="13">
        <v>137000.0</v>
      </c>
      <c r="C22" s="13">
        <v>0.0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 t="s">
        <v>243</v>
      </c>
      <c r="B23" s="13">
        <v>57000.0</v>
      </c>
      <c r="C23" s="13">
        <v>57000.0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 t="s">
        <v>733</v>
      </c>
      <c r="B24" s="13">
        <v>6500.0</v>
      </c>
      <c r="C24" s="13">
        <v>6500.0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 t="s">
        <v>515</v>
      </c>
      <c r="B25" s="13">
        <v>0.0</v>
      </c>
      <c r="C25" s="13">
        <v>20000.0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 t="s">
        <v>182</v>
      </c>
      <c r="B26" s="13">
        <v>33250.0</v>
      </c>
      <c r="C26" s="13">
        <v>0.0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 t="s">
        <v>506</v>
      </c>
      <c r="B27" s="13">
        <v>0.0</v>
      </c>
      <c r="C27" s="13">
        <v>26000.0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 t="s">
        <v>179</v>
      </c>
      <c r="B28" s="13">
        <v>407253.0</v>
      </c>
      <c r="C28" s="13">
        <v>407253.0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 t="s">
        <v>216</v>
      </c>
      <c r="B29" s="13">
        <v>0.0</v>
      </c>
      <c r="C29" s="13">
        <v>47500.0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 t="s">
        <v>762</v>
      </c>
      <c r="B30" s="13">
        <v>47500.0</v>
      </c>
      <c r="C30" s="13">
        <v>0.0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 t="s">
        <v>763</v>
      </c>
      <c r="B31" s="13">
        <v>9610.0</v>
      </c>
      <c r="C31" s="13">
        <v>0.0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 t="s">
        <v>764</v>
      </c>
      <c r="B32" s="13">
        <v>7900.0</v>
      </c>
      <c r="C32" s="13">
        <v>0.0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 t="s">
        <v>678</v>
      </c>
      <c r="B33" s="13">
        <v>0.0</v>
      </c>
      <c r="C33" s="13">
        <v>30000.0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 t="s">
        <v>765</v>
      </c>
      <c r="B34" s="13">
        <v>150000.0</v>
      </c>
      <c r="C34" s="13">
        <v>0.0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 t="s">
        <v>565</v>
      </c>
      <c r="B35" s="13">
        <v>0.0</v>
      </c>
      <c r="C35" s="13">
        <v>40000.0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 t="s">
        <v>468</v>
      </c>
      <c r="B36" s="13">
        <v>0.0</v>
      </c>
      <c r="C36" s="13">
        <v>25000.0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 t="s">
        <v>766</v>
      </c>
      <c r="B37" s="13">
        <v>23500.0</v>
      </c>
      <c r="C37" s="13">
        <v>0.0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 t="s">
        <v>580</v>
      </c>
      <c r="B38" s="13">
        <v>0.0</v>
      </c>
      <c r="C38" s="13">
        <v>150000.0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 t="s">
        <v>767</v>
      </c>
      <c r="B39" s="13">
        <v>40000.0</v>
      </c>
      <c r="C39" s="13">
        <v>0.0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 t="s">
        <v>136</v>
      </c>
      <c r="B40" s="13">
        <v>42750.0</v>
      </c>
      <c r="C40" s="13">
        <v>42750.0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 t="s">
        <v>61</v>
      </c>
      <c r="B41" s="13">
        <v>4372007.0</v>
      </c>
      <c r="C41" s="13">
        <v>4372000.0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 t="s">
        <v>768</v>
      </c>
      <c r="B42" s="13">
        <v>25000.0</v>
      </c>
      <c r="C42" s="13">
        <v>0.0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 t="s">
        <v>747</v>
      </c>
      <c r="B43" s="13">
        <v>0.0</v>
      </c>
      <c r="C43" s="13">
        <v>25000.0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 t="s">
        <v>475</v>
      </c>
      <c r="B44" s="13">
        <v>0.0</v>
      </c>
      <c r="C44" s="13">
        <v>88000.0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 t="s">
        <v>633</v>
      </c>
      <c r="B45" s="13">
        <v>0.0</v>
      </c>
      <c r="C45" s="13">
        <v>8000.0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 t="s">
        <v>769</v>
      </c>
      <c r="B46" s="13">
        <v>19025.0</v>
      </c>
      <c r="C46" s="13">
        <v>0.0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 t="s">
        <v>770</v>
      </c>
      <c r="B47" s="13">
        <v>200000.0</v>
      </c>
      <c r="C47" s="13">
        <v>0.0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 t="s">
        <v>625</v>
      </c>
      <c r="B48" s="13">
        <v>10000.0</v>
      </c>
      <c r="C48" s="13">
        <v>10000.0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 t="s">
        <v>139</v>
      </c>
      <c r="B49" s="13">
        <v>5000.0</v>
      </c>
      <c r="C49" s="13">
        <v>8000.0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 t="s">
        <v>613</v>
      </c>
      <c r="B50" s="13">
        <v>420000.0</v>
      </c>
      <c r="C50" s="13">
        <v>440000.0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 t="s">
        <v>309</v>
      </c>
      <c r="B51" s="13">
        <v>139000.0</v>
      </c>
      <c r="C51" s="13">
        <v>125000.0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 t="s">
        <v>771</v>
      </c>
      <c r="B52" s="13">
        <v>3500.0</v>
      </c>
      <c r="C52" s="13">
        <v>0.0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 t="s">
        <v>772</v>
      </c>
      <c r="B53" s="13">
        <v>133663.21</v>
      </c>
      <c r="C53" s="13">
        <v>0.0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 t="s">
        <v>380</v>
      </c>
      <c r="B54" s="13">
        <v>320000.0</v>
      </c>
      <c r="C54" s="13">
        <v>120000.0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 t="s">
        <v>491</v>
      </c>
      <c r="B55" s="13">
        <v>0.0</v>
      </c>
      <c r="C55" s="13">
        <v>18000.0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 t="s">
        <v>590</v>
      </c>
      <c r="B56" s="13">
        <v>0.0</v>
      </c>
      <c r="C56" s="13">
        <v>500000.0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 t="s">
        <v>368</v>
      </c>
      <c r="B57" s="13">
        <v>8500.0</v>
      </c>
      <c r="C57" s="13">
        <v>0.0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 t="s">
        <v>401</v>
      </c>
      <c r="B58" s="13">
        <v>7500.0</v>
      </c>
      <c r="C58" s="13">
        <v>0.0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 t="s">
        <v>148</v>
      </c>
      <c r="B59" s="13">
        <v>30000.0</v>
      </c>
      <c r="C59" s="13">
        <v>35000.0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 t="s">
        <v>378</v>
      </c>
      <c r="B60" s="13">
        <v>10300.0</v>
      </c>
      <c r="C60" s="13">
        <v>8500.0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 t="s">
        <v>773</v>
      </c>
      <c r="B61" s="13">
        <v>15000.0</v>
      </c>
      <c r="C61" s="13">
        <v>0.0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 t="s">
        <v>53</v>
      </c>
      <c r="B62" s="13">
        <v>32000.0</v>
      </c>
      <c r="C62" s="13">
        <v>0.0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 t="s">
        <v>374</v>
      </c>
      <c r="B63" s="13">
        <v>29000.0</v>
      </c>
      <c r="C63" s="13">
        <v>33000.0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 t="s">
        <v>600</v>
      </c>
      <c r="B64" s="13">
        <v>0.0</v>
      </c>
      <c r="C64" s="13">
        <v>30000.0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 t="s">
        <v>427</v>
      </c>
      <c r="B65" s="13">
        <v>0.0</v>
      </c>
      <c r="C65" s="13">
        <v>25000.0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 t="s">
        <v>774</v>
      </c>
      <c r="B66" s="13">
        <v>25000.0</v>
      </c>
      <c r="C66" s="13">
        <v>0.0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 t="s">
        <v>448</v>
      </c>
      <c r="B67" s="13">
        <v>14250.0</v>
      </c>
      <c r="C67" s="13">
        <v>14250.0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 t="s">
        <v>716</v>
      </c>
      <c r="B68" s="13">
        <v>0.0</v>
      </c>
      <c r="C68" s="13">
        <v>29000.0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 t="s">
        <v>533</v>
      </c>
      <c r="B69" s="13">
        <v>0.0</v>
      </c>
      <c r="C69" s="13">
        <v>15000.0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 t="s">
        <v>624</v>
      </c>
      <c r="B70" s="13">
        <v>0.0</v>
      </c>
      <c r="C70" s="13">
        <v>23500.0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 t="s">
        <v>775</v>
      </c>
      <c r="B71" s="13">
        <v>95932.0</v>
      </c>
      <c r="C71" s="13">
        <v>0.0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 t="s">
        <v>249</v>
      </c>
      <c r="B72" s="13">
        <v>54000.0</v>
      </c>
      <c r="C72" s="13">
        <v>52000.0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 t="s">
        <v>528</v>
      </c>
      <c r="B73" s="13">
        <v>0.0</v>
      </c>
      <c r="C73" s="13">
        <v>1680000.0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 t="s">
        <v>776</v>
      </c>
      <c r="B74" s="13">
        <v>1680000.0</v>
      </c>
      <c r="C74" s="13">
        <v>0.0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 t="s">
        <v>191</v>
      </c>
      <c r="B75" s="13">
        <v>47500.0</v>
      </c>
      <c r="C75" s="13">
        <v>47500.0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 t="s">
        <v>364</v>
      </c>
      <c r="B76" s="13">
        <v>3000.0</v>
      </c>
      <c r="C76" s="13">
        <v>10000.0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 t="s">
        <v>691</v>
      </c>
      <c r="B77" s="13">
        <v>0.0</v>
      </c>
      <c r="C77" s="13">
        <v>4350.0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 t="s">
        <v>686</v>
      </c>
      <c r="B78" s="13">
        <v>0.0</v>
      </c>
      <c r="C78" s="13">
        <v>3500.0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 t="s">
        <v>651</v>
      </c>
      <c r="B79" s="13">
        <v>0.0</v>
      </c>
      <c r="C79" s="13">
        <v>38000.0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 t="s">
        <v>777</v>
      </c>
      <c r="B80" s="13">
        <v>38000.0</v>
      </c>
      <c r="C80" s="13">
        <v>0.0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 t="s">
        <v>778</v>
      </c>
      <c r="B81" s="13">
        <v>38000.0</v>
      </c>
      <c r="C81" s="13">
        <v>0.0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 t="s">
        <v>779</v>
      </c>
      <c r="B82" s="13">
        <v>55000.0</v>
      </c>
      <c r="C82" s="13">
        <v>0.0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 t="s">
        <v>173</v>
      </c>
      <c r="B83" s="13">
        <v>8000.0</v>
      </c>
      <c r="C83" s="13">
        <v>0.0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 t="s">
        <v>348</v>
      </c>
      <c r="B84" s="13">
        <v>25000.0</v>
      </c>
      <c r="C84" s="13">
        <v>25000.0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 t="s">
        <v>780</v>
      </c>
      <c r="B85" s="13">
        <v>7700.0</v>
      </c>
      <c r="C85" s="13">
        <v>0.0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 t="s">
        <v>703</v>
      </c>
      <c r="B86" s="13">
        <v>0.0</v>
      </c>
      <c r="C86" s="13">
        <v>20000.0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 t="s">
        <v>530</v>
      </c>
      <c r="B87" s="13">
        <v>0.0</v>
      </c>
      <c r="C87" s="13">
        <v>150000.0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 t="s">
        <v>781</v>
      </c>
      <c r="B88" s="13">
        <v>150000.0</v>
      </c>
      <c r="C88" s="13">
        <v>0.0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 t="s">
        <v>231</v>
      </c>
      <c r="B89" s="13">
        <v>20000.0</v>
      </c>
      <c r="C89" s="13">
        <v>20000.0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 t="s">
        <v>289</v>
      </c>
      <c r="B90" s="13">
        <v>3000.0</v>
      </c>
      <c r="C90" s="13">
        <v>0.0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 t="s">
        <v>27</v>
      </c>
      <c r="B91" s="13">
        <v>114000.0</v>
      </c>
      <c r="C91" s="13">
        <v>0.0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 t="s">
        <v>351</v>
      </c>
      <c r="B92" s="13">
        <v>15000.0</v>
      </c>
      <c r="C92" s="13">
        <v>14250.0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 t="s">
        <v>725</v>
      </c>
      <c r="B93" s="13">
        <v>0.0</v>
      </c>
      <c r="C93" s="13">
        <v>160000.0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 t="s">
        <v>782</v>
      </c>
      <c r="B94" s="13">
        <v>160000.0</v>
      </c>
      <c r="C94" s="13">
        <v>0.0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 t="s">
        <v>752</v>
      </c>
      <c r="B95" s="13">
        <v>50000.0</v>
      </c>
      <c r="C95" s="13">
        <v>50000.0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 t="s">
        <v>661</v>
      </c>
      <c r="B96" s="13">
        <v>0.0</v>
      </c>
      <c r="C96" s="13">
        <v>41250.0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 t="s">
        <v>210</v>
      </c>
      <c r="B97" s="13">
        <v>180000.0</v>
      </c>
      <c r="C97" s="13">
        <v>0.0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 t="s">
        <v>658</v>
      </c>
      <c r="B98" s="13">
        <v>0.0</v>
      </c>
      <c r="C98" s="13">
        <v>204000.0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 t="s">
        <v>615</v>
      </c>
      <c r="B99" s="13">
        <v>0.0</v>
      </c>
      <c r="C99" s="13">
        <v>22310.0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 t="s">
        <v>430</v>
      </c>
      <c r="B100" s="13">
        <v>30000.0</v>
      </c>
      <c r="C100" s="13">
        <v>0.0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 t="s">
        <v>463</v>
      </c>
      <c r="B101" s="13">
        <v>0.0</v>
      </c>
      <c r="C101" s="13">
        <v>5000.0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 t="s">
        <v>266</v>
      </c>
      <c r="B102" s="13">
        <v>10000.0</v>
      </c>
      <c r="C102" s="13">
        <v>0.0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 t="s">
        <v>285</v>
      </c>
      <c r="B103" s="13">
        <v>52500.0</v>
      </c>
      <c r="C103" s="13">
        <v>0.0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 t="s">
        <v>665</v>
      </c>
      <c r="B104" s="13">
        <v>0.0</v>
      </c>
      <c r="C104" s="13">
        <v>3000.0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 t="s">
        <v>681</v>
      </c>
      <c r="B105" s="13">
        <v>45000.0</v>
      </c>
      <c r="C105" s="13">
        <v>45000.0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 t="s">
        <v>122</v>
      </c>
      <c r="B106" s="13">
        <v>17500.0</v>
      </c>
      <c r="C106" s="13">
        <v>17500.0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 t="s">
        <v>656</v>
      </c>
      <c r="B107" s="13">
        <v>332775.0</v>
      </c>
      <c r="C107" s="13">
        <v>487775.0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 t="s">
        <v>281</v>
      </c>
      <c r="B108" s="13">
        <v>10000.0</v>
      </c>
      <c r="C108" s="13">
        <v>0.0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 t="s">
        <v>783</v>
      </c>
      <c r="B109" s="13">
        <v>34000.0</v>
      </c>
      <c r="C109" s="13">
        <v>0.0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 t="s">
        <v>558</v>
      </c>
      <c r="B110" s="13">
        <v>0.0</v>
      </c>
      <c r="C110" s="13">
        <v>34000.0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 t="s">
        <v>649</v>
      </c>
      <c r="B111" s="13">
        <v>0.0</v>
      </c>
      <c r="C111" s="13">
        <v>6600.0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 t="s">
        <v>714</v>
      </c>
      <c r="B112" s="13">
        <v>0.0</v>
      </c>
      <c r="C112" s="13">
        <v>4000.0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 t="s">
        <v>318</v>
      </c>
      <c r="B113" s="13">
        <v>5000.0</v>
      </c>
      <c r="C113" s="13">
        <v>0.0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 t="s">
        <v>165</v>
      </c>
      <c r="B114" s="13">
        <v>8000.0</v>
      </c>
      <c r="C114" s="13">
        <v>0.0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 t="s">
        <v>620</v>
      </c>
      <c r="B115" s="13">
        <v>0.0</v>
      </c>
      <c r="C115" s="13">
        <v>15000.0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 t="s">
        <v>635</v>
      </c>
      <c r="B116" s="13">
        <v>9900.0</v>
      </c>
      <c r="C116" s="13">
        <v>12500.0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 t="s">
        <v>583</v>
      </c>
      <c r="B117" s="13">
        <v>0.0</v>
      </c>
      <c r="C117" s="13">
        <v>27500.0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 t="s">
        <v>509</v>
      </c>
      <c r="B118" s="13">
        <v>0.0</v>
      </c>
      <c r="C118" s="13">
        <v>14500.0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 t="s">
        <v>784</v>
      </c>
      <c r="B119" s="13">
        <v>13000.0</v>
      </c>
      <c r="C119" s="13">
        <v>0.0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 t="s">
        <v>631</v>
      </c>
      <c r="B120" s="13">
        <v>0.0</v>
      </c>
      <c r="C120" s="13">
        <v>9000.0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 t="s">
        <v>543</v>
      </c>
      <c r="B121" s="13">
        <v>0.0</v>
      </c>
      <c r="C121" s="13">
        <v>7000.0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 t="s">
        <v>488</v>
      </c>
      <c r="B122" s="13">
        <v>0.0</v>
      </c>
      <c r="C122" s="13">
        <v>15000.0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 t="s">
        <v>785</v>
      </c>
      <c r="B123" s="13">
        <v>5000.0</v>
      </c>
      <c r="C123" s="13">
        <v>0.0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 t="s">
        <v>688</v>
      </c>
      <c r="B124" s="13">
        <v>0.0</v>
      </c>
      <c r="C124" s="13">
        <v>4500.0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 t="s">
        <v>607</v>
      </c>
      <c r="B125" s="13">
        <v>0.0</v>
      </c>
      <c r="C125" s="13">
        <v>55000.0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 t="s">
        <v>277</v>
      </c>
      <c r="B126" s="13">
        <v>15000.0</v>
      </c>
      <c r="C126" s="13">
        <v>15000.0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 t="s">
        <v>632</v>
      </c>
      <c r="B127" s="13">
        <v>0.0</v>
      </c>
      <c r="C127" s="13">
        <v>8826.0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 t="s">
        <v>786</v>
      </c>
      <c r="B128" s="13">
        <v>14000.0</v>
      </c>
      <c r="C128" s="13">
        <v>0.0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 t="s">
        <v>721</v>
      </c>
      <c r="B129" s="13">
        <v>0.0</v>
      </c>
      <c r="C129" s="13">
        <v>50000.0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 t="s">
        <v>787</v>
      </c>
      <c r="B130" s="13">
        <v>7000.0</v>
      </c>
      <c r="C130" s="13">
        <v>0.0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 t="s">
        <v>519</v>
      </c>
      <c r="B131" s="13">
        <v>0.0</v>
      </c>
      <c r="C131" s="13">
        <v>25000.0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 t="s">
        <v>788</v>
      </c>
      <c r="B132" s="13">
        <v>25000.0</v>
      </c>
      <c r="C132" s="13">
        <v>0.0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 t="s">
        <v>164</v>
      </c>
      <c r="B133" s="13">
        <v>5000.0</v>
      </c>
      <c r="C133" s="13">
        <v>6000.0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 t="s">
        <v>789</v>
      </c>
      <c r="B134" s="13">
        <v>230000.0</v>
      </c>
      <c r="C134" s="13">
        <v>0.0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 t="s">
        <v>710</v>
      </c>
      <c r="B135" s="13">
        <v>0.0</v>
      </c>
      <c r="C135" s="13">
        <v>25000.0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 t="s">
        <v>568</v>
      </c>
      <c r="B136" s="13">
        <v>0.0</v>
      </c>
      <c r="C136" s="13">
        <v>230000.0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 t="s">
        <v>790</v>
      </c>
      <c r="B137" s="13">
        <v>20000.0</v>
      </c>
      <c r="C137" s="13">
        <v>0.0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 t="s">
        <v>736</v>
      </c>
      <c r="B138" s="13">
        <v>0.0</v>
      </c>
      <c r="C138" s="13">
        <v>56400.0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 t="s">
        <v>791</v>
      </c>
      <c r="B139" s="13">
        <v>59400.0</v>
      </c>
      <c r="C139" s="13">
        <v>0.0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 t="s">
        <v>176</v>
      </c>
      <c r="B140" s="13">
        <v>12600.0</v>
      </c>
      <c r="C140" s="13">
        <v>0.0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 t="s">
        <v>247</v>
      </c>
      <c r="B141" s="13">
        <v>8000.0</v>
      </c>
      <c r="C141" s="13">
        <v>0.0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 t="s">
        <v>730</v>
      </c>
      <c r="B142" s="13">
        <v>0.0</v>
      </c>
      <c r="C142" s="13">
        <v>8000.0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 t="s">
        <v>577</v>
      </c>
      <c r="B143" s="13">
        <v>96187.5</v>
      </c>
      <c r="C143" s="13">
        <v>91379.0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 t="s">
        <v>274</v>
      </c>
      <c r="B144" s="13">
        <v>10000.0</v>
      </c>
      <c r="C144" s="13">
        <v>0.0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 t="s">
        <v>629</v>
      </c>
      <c r="B145" s="13">
        <v>0.0</v>
      </c>
      <c r="C145" s="13">
        <v>6700.0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 t="s">
        <v>792</v>
      </c>
      <c r="B146" s="13">
        <v>40000.0</v>
      </c>
      <c r="C146" s="13">
        <v>0.0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 t="s">
        <v>84</v>
      </c>
      <c r="B147" s="13">
        <v>0.0</v>
      </c>
      <c r="C147" s="13">
        <v>25000.0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 t="s">
        <v>793</v>
      </c>
      <c r="B148" s="13">
        <v>35000.0</v>
      </c>
      <c r="C148" s="13">
        <v>0.0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 t="s">
        <v>481</v>
      </c>
      <c r="B149" s="13">
        <v>0.0</v>
      </c>
      <c r="C149" s="13">
        <v>225000.0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 t="s">
        <v>411</v>
      </c>
      <c r="B150" s="13">
        <v>2000.0</v>
      </c>
      <c r="C150" s="13">
        <v>0.0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 t="s">
        <v>540</v>
      </c>
      <c r="B151" s="13">
        <v>0.0</v>
      </c>
      <c r="C151" s="13">
        <v>3000000.0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 t="s">
        <v>794</v>
      </c>
      <c r="B152" s="13">
        <v>3000000.0</v>
      </c>
      <c r="C152" s="13">
        <v>0.0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 t="s">
        <v>712</v>
      </c>
      <c r="B153" s="13">
        <v>0.0</v>
      </c>
      <c r="C153" s="13">
        <v>5800.0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 t="s">
        <v>78</v>
      </c>
      <c r="B154" s="13">
        <v>60000.0</v>
      </c>
      <c r="C154" s="13">
        <v>0.0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 t="s">
        <v>548</v>
      </c>
      <c r="B155" s="13">
        <v>0.0</v>
      </c>
      <c r="C155" s="13">
        <v>15000.0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 t="s">
        <v>795</v>
      </c>
      <c r="B156" s="13">
        <v>15000.0</v>
      </c>
      <c r="C156" s="13">
        <v>0.0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 t="s">
        <v>240</v>
      </c>
      <c r="B157" s="13">
        <v>15200.0</v>
      </c>
      <c r="C157" s="13">
        <v>15200.0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 t="s">
        <v>221</v>
      </c>
      <c r="B158" s="13">
        <v>5800.0</v>
      </c>
      <c r="C158" s="13">
        <v>0.0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 t="s">
        <v>538</v>
      </c>
      <c r="B159" s="13">
        <v>0.0</v>
      </c>
      <c r="C159" s="13">
        <v>114000.0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 t="s">
        <v>389</v>
      </c>
      <c r="B160" s="13">
        <v>8000.0</v>
      </c>
      <c r="C160" s="13">
        <v>0.0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 t="s">
        <v>194</v>
      </c>
      <c r="B161" s="13">
        <v>14825.0</v>
      </c>
      <c r="C161" s="13">
        <v>0.0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 t="s">
        <v>739</v>
      </c>
      <c r="B162" s="13">
        <v>0.0</v>
      </c>
      <c r="C162" s="13">
        <v>25000.0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 t="s">
        <v>168</v>
      </c>
      <c r="B163" s="13">
        <v>15000.0</v>
      </c>
      <c r="C163" s="13">
        <v>0.0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 t="s">
        <v>593</v>
      </c>
      <c r="B164" s="13">
        <v>0.0</v>
      </c>
      <c r="C164" s="13">
        <v>5000.0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 t="s">
        <v>104</v>
      </c>
      <c r="B165" s="13">
        <v>15000.0</v>
      </c>
      <c r="C165" s="13">
        <v>26000.0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 t="s">
        <v>323</v>
      </c>
      <c r="B166" s="13">
        <v>17940.0</v>
      </c>
      <c r="C166" s="13">
        <v>0.0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 t="s">
        <v>502</v>
      </c>
      <c r="B167" s="13">
        <v>0.0</v>
      </c>
      <c r="C167" s="13">
        <v>400000.0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 t="s">
        <v>485</v>
      </c>
      <c r="B168" s="13">
        <v>0.0</v>
      </c>
      <c r="C168" s="13">
        <v>216000.0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 t="s">
        <v>796</v>
      </c>
      <c r="B169" s="13">
        <v>65000.0</v>
      </c>
      <c r="C169" s="13">
        <v>0.0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 t="s">
        <v>109</v>
      </c>
      <c r="B170" s="13">
        <v>24176.0</v>
      </c>
      <c r="C170" s="13">
        <v>0.0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 t="s">
        <v>797</v>
      </c>
      <c r="B171" s="13">
        <v>42700.0</v>
      </c>
      <c r="C171" s="13">
        <v>0.0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 t="s">
        <v>478</v>
      </c>
      <c r="B172" s="13">
        <v>0.0</v>
      </c>
      <c r="C172" s="13">
        <v>10000.0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 t="s">
        <v>160</v>
      </c>
      <c r="B173" s="13">
        <v>11000.0</v>
      </c>
      <c r="C173" s="13">
        <v>0.0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 t="s">
        <v>127</v>
      </c>
      <c r="B174" s="13">
        <v>10000.0</v>
      </c>
      <c r="C174" s="13">
        <v>0.0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 t="s">
        <v>65</v>
      </c>
      <c r="B175" s="13">
        <v>77000.0</v>
      </c>
      <c r="C175" s="13">
        <v>0.0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 t="s">
        <v>45</v>
      </c>
      <c r="B176" s="13">
        <v>10870.0</v>
      </c>
      <c r="C176" s="13">
        <v>0.0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 t="s">
        <v>526</v>
      </c>
      <c r="B177" s="13">
        <v>0.0</v>
      </c>
      <c r="C177" s="13">
        <v>165000.0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 t="s">
        <v>641</v>
      </c>
      <c r="B178" s="13">
        <v>0.0</v>
      </c>
      <c r="C178" s="13">
        <v>49000.0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 t="s">
        <v>95</v>
      </c>
      <c r="B179" s="13">
        <v>49000.0</v>
      </c>
      <c r="C179" s="13">
        <v>0.0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 t="s">
        <v>798</v>
      </c>
      <c r="B180" s="13">
        <v>5000.0</v>
      </c>
      <c r="C180" s="13">
        <v>0.0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 t="s">
        <v>432</v>
      </c>
      <c r="B181" s="13">
        <v>72200.0</v>
      </c>
      <c r="C181" s="13">
        <v>0.0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 t="s">
        <v>743</v>
      </c>
      <c r="B182" s="13">
        <v>0.0</v>
      </c>
      <c r="C182" s="13">
        <v>69000.0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 t="s">
        <v>145</v>
      </c>
      <c r="B183" s="13">
        <v>5000.0</v>
      </c>
      <c r="C183" s="13">
        <v>5000.0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 t="s">
        <v>700</v>
      </c>
      <c r="B184" s="13">
        <v>0.0</v>
      </c>
      <c r="C184" s="13">
        <v>25000.0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 t="s">
        <v>494</v>
      </c>
      <c r="B185" s="13">
        <v>0.0</v>
      </c>
      <c r="C185" s="13">
        <v>55000.0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 t="s">
        <v>623</v>
      </c>
      <c r="B186" s="13">
        <v>0.0</v>
      </c>
      <c r="C186" s="13">
        <v>10000.0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>
        <v>0.0</v>
      </c>
      <c r="C187" s="13">
        <v>0.0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drawing r:id="rId1"/>
</worksheet>
</file>
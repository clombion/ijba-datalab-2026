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édric Lombion" sheetId="1" r:id="rId5"/>
    <sheet state="visible" name="Christophe Hosebian-Vartanian" sheetId="2" r:id="rId6"/>
    <sheet state="visible" name="Rachida SARRE" sheetId="3" r:id="rId7"/>
    <sheet state="visible" name="PG" sheetId="4" r:id="rId8"/>
    <sheet state="visible" name="Laura LE STRAT" sheetId="5" r:id="rId9"/>
    <sheet state="visible" name="GROPALLO-PIERRON" sheetId="6" r:id="rId10"/>
    <sheet state="visible" name="Léa Surmaire" sheetId="7" r:id="rId11"/>
    <sheet state="visible" name="Rezki - Lacoux" sheetId="8" r:id="rId12"/>
    <sheet state="visible" name="czaja" sheetId="9" r:id="rId13"/>
    <sheet state="visible" name="Victoria" sheetId="10" r:id="rId14"/>
    <sheet state="visible" name="Emilie" sheetId="11" r:id="rId15"/>
    <sheet state="visible" name="Amandine Hustache " sheetId="12" r:id="rId16"/>
    <sheet state="visible" name="TT" sheetId="13" r:id="rId17"/>
    <sheet state="visible" name="Timothée" sheetId="14" r:id="rId18"/>
    <sheet state="visible" name="Marie Lemaitre" sheetId="15" r:id="rId19"/>
    <sheet state="visible" name="Léna" sheetId="16" r:id="rId20"/>
    <sheet state="visible" name="MathildeL" sheetId="17" r:id="rId21"/>
    <sheet state="visible" name="Marie Montels" sheetId="18" r:id="rId22"/>
    <sheet state="visible" name="VIctor" sheetId="19" r:id="rId23"/>
    <sheet state="visible" name="Théo" sheetId="20" r:id="rId24"/>
    <sheet state="visible" name="Jordan" sheetId="21" r:id="rId25"/>
    <sheet state="visible" name="Erwan" sheetId="22" r:id="rId26"/>
    <sheet state="visible" name="Mathieu" sheetId="23" r:id="rId27"/>
    <sheet state="visible" name="Alex" sheetId="24" r:id="rId28"/>
    <sheet state="visible" name="Dany " sheetId="25" r:id="rId29"/>
    <sheet state="visible" name="Anastasia" sheetId="26" r:id="rId30"/>
    <sheet state="visible" name="Souhard" sheetId="27" r:id="rId31"/>
    <sheet state="visible" name="Jeanne Maisiat" sheetId="28" r:id="rId32"/>
    <sheet state="visible" name="Pauline Achard" sheetId="29" r:id="rId33"/>
    <sheet state="visible" name="Paulin" sheetId="30" r:id="rId34"/>
    <sheet state="visible" name="Alexis M" sheetId="31" r:id="rId35"/>
    <sheet state="visible" name="Noa Thomas" sheetId="32" r:id="rId36"/>
  </sheets>
  <definedNames/>
  <calcPr/>
</workbook>
</file>

<file path=xl/sharedStrings.xml><?xml version="1.0" encoding="utf-8"?>
<sst xmlns="http://schemas.openxmlformats.org/spreadsheetml/2006/main" count="1667" uniqueCount="1319">
  <si>
    <t>Titre</t>
  </si>
  <si>
    <t>2011[3]</t>
  </si>
  <si>
    <t>2012[4]</t>
  </si>
  <si>
    <t>*Le Monde*</t>
  </si>
  <si>
    <t>2,8</t>
  </si>
  <si>
    <t>*Le Parisien*/*Aujourd'hui en France*</t>
  </si>
  <si>
    <t>*L’Équipe*</t>
  </si>
  <si>
    <t>2,18</t>
  </si>
  <si>
    <t>2,58</t>
  </si>
  <si>
    <t>*Le Figaro*</t>
  </si>
  <si>
    <t>1,19</t>
  </si>
  <si>
    <t>1,23</t>
  </si>
  <si>
    <t>*Libération*</t>
  </si>
  <si>
    <t>0,96</t>
  </si>
  <si>
    <t>0,86</t>
  </si>
  <si>
    <t>1,3</t>
  </si>
  <si>
    <t>*Les Échos*</t>
  </si>
  <si>
    <t>0,47</t>
  </si>
  <si>
    <t>0,45</t>
  </si>
  <si>
    <t>0,67</t>
  </si>
  <si>
    <t>*La Croix*</t>
  </si>
  <si>
    <t>0,40</t>
  </si>
  <si>
    <t>0,37</t>
  </si>
  <si>
    <t>0,61</t>
  </si>
  <si>
    <t>*L'Humanité*</t>
  </si>
  <si>
    <t>0,28</t>
  </si>
  <si>
    <t>Ensemble PQN</t>
  </si>
  <si>
    <t>7,89</t>
  </si>
  <si>
    <t>7,80</t>
  </si>
  <si>
    <t>Mois</t>
  </si>
  <si>
    <t>Numéro</t>
  </si>
  <si>
    <t>Janvier</t>
  </si>
  <si>
    <t>Février</t>
  </si>
  <si>
    <t>Mars</t>
  </si>
  <si>
    <t>Avril</t>
  </si>
  <si>
    <t>Mai</t>
  </si>
  <si>
    <t>donne moi ton &lt;3 bb</t>
  </si>
  <si>
    <t xml:space="preserve">salu bg </t>
  </si>
  <si>
    <t>tem lé frites?</t>
  </si>
  <si>
    <t>c ki ?</t>
  </si>
  <si>
    <t>AUGMENTATION DES DÉCÈS EN NOUVELLE AQUITAINE</t>
  </si>
  <si>
    <t>Année 2017</t>
  </si>
  <si>
    <t>Année 2018</t>
  </si>
  <si>
    <t>7 180</t>
  </si>
  <si>
    <t>6 185</t>
  </si>
  <si>
    <t>5 744</t>
  </si>
  <si>
    <t>5 728</t>
  </si>
  <si>
    <t>5 472</t>
  </si>
  <si>
    <t>6 463</t>
  </si>
  <si>
    <t>5 017</t>
  </si>
  <si>
    <t>5 439</t>
  </si>
  <si>
    <t>5 296</t>
  </si>
  <si>
    <t>5 127</t>
  </si>
  <si>
    <t>Juin</t>
  </si>
  <si>
    <t>4 684</t>
  </si>
  <si>
    <t>4 964</t>
  </si>
  <si>
    <t>Juillet</t>
  </si>
  <si>
    <t>4 983</t>
  </si>
  <si>
    <t>5 118</t>
  </si>
  <si>
    <t>Août</t>
  </si>
  <si>
    <t>4 909</t>
  </si>
  <si>
    <t>4 985</t>
  </si>
  <si>
    <t>Septembre</t>
  </si>
  <si>
    <t>5 085</t>
  </si>
  <si>
    <t>4 856</t>
  </si>
  <si>
    <t>Octobre</t>
  </si>
  <si>
    <t>5 208</t>
  </si>
  <si>
    <t>5 301</t>
  </si>
  <si>
    <t>Novembre</t>
  </si>
  <si>
    <t>5 378</t>
  </si>
  <si>
    <t>5 376</t>
  </si>
  <si>
    <t>Décembre</t>
  </si>
  <si>
    <t>5 974</t>
  </si>
  <si>
    <t>5 514</t>
  </si>
  <si>
    <t xml:space="preserve">
</t>
  </si>
  <si>
    <t>Rang</t>
  </si>
  <si>
    <t>Pays/Territoire</t>
  </si>
  <si>
    <t>Capitale</t>
  </si>
  <si>
    <t>Population</t>
  </si>
  <si>
    <t>Année</t>
  </si>
  <si>
    <t>Chine</t>
  </si>
  <si>
    <t>*Pékin*</t>
  </si>
  <si>
    <t>21 710 000[1]</t>
  </si>
  <si>
    <t>Japon</t>
  </si>
  <si>
    <t>*Tokyo*</t>
  </si>
  <si>
    <t>13 831 421[2]</t>
  </si>
  <si>
    <t>République Démocratique du Congo</t>
  </si>
  <si>
    <t>*Kinshasa*</t>
  </si>
  <si>
    <t>12 071 000</t>
  </si>
  <si>
    <t>Russie</t>
  </si>
  <si>
    <t>*Moscou*</t>
  </si>
  <si>
    <t>11 541 000[3]</t>
  </si>
  <si>
    <t>Corée du Sud</t>
  </si>
  <si>
    <t>*Séoul*</t>
  </si>
  <si>
    <t>10 528 774[4]</t>
  </si>
  <si>
    <t>Indonésie</t>
  </si>
  <si>
    <t>*Jakarta*</t>
  </si>
  <si>
    <t>10 187 595[5]</t>
  </si>
  <si>
    <t>Bangladesh</t>
  </si>
  <si>
    <t>*Dacca*</t>
  </si>
  <si>
    <t>8 906 000 [6]</t>
  </si>
  <si>
    <t>Mexique</t>
  </si>
  <si>
    <t>*Mexico*</t>
  </si>
  <si>
    <t>8 851 080[7]</t>
  </si>
  <si>
    <t>Royaume-Uni</t>
  </si>
  <si>
    <t>*Londres*</t>
  </si>
  <si>
    <t>8 630 100[8]</t>
  </si>
  <si>
    <t>Pérou</t>
  </si>
  <si>
    <t>*Lima*</t>
  </si>
  <si>
    <t>8 481 415[9]</t>
  </si>
  <si>
    <t>Thaïlande</t>
  </si>
  <si>
    <t>*Bangkok*</t>
  </si>
  <si>
    <t>8 249 117[10]</t>
  </si>
  <si>
    <t>Iran</t>
  </si>
  <si>
    <t>*Téhéran*</t>
  </si>
  <si>
    <t>8 154 051</t>
  </si>
  <si>
    <t>Colombie</t>
  </si>
  <si>
    <t>*Bogota*</t>
  </si>
  <si>
    <t>7 613 303[11]</t>
  </si>
  <si>
    <t>Égypte</t>
  </si>
  <si>
    <t>*Le Caire*</t>
  </si>
  <si>
    <t>7 438 376</t>
  </si>
  <si>
    <t>Iraq</t>
  </si>
  <si>
    <t>*Bagdad*</t>
  </si>
  <si>
    <t>7 216 040 [12]</t>
  </si>
  <si>
    <t>* Hong Kong (Chine)*</t>
  </si>
  <si>
    <t>*Hong Kong*</t>
  </si>
  <si>
    <t>7 136 300[13]</t>
  </si>
  <si>
    <t>Singapour</t>
  </si>
  <si>
    <t>*Singapour*</t>
  </si>
  <si>
    <t>5 312 000[14]</t>
  </si>
  <si>
    <t>Turquie</t>
  </si>
  <si>
    <t>*Ankara*</t>
  </si>
  <si>
    <t>5 150 072</t>
  </si>
  <si>
    <t>Chili</t>
  </si>
  <si>
    <t>*Santiago*</t>
  </si>
  <si>
    <t>5 084 038[15]</t>
  </si>
  <si>
    <t>Arabie saoudite</t>
  </si>
  <si>
    <t>*Riyad*</t>
  </si>
  <si>
    <t>4 878 723[16]</t>
  </si>
  <si>
    <t>Algérie</t>
  </si>
  <si>
    <t>*Alger*</t>
  </si>
  <si>
    <t>4 000 000</t>
  </si>
  <si>
    <t>Allemagne</t>
  </si>
  <si>
    <t>*Berlin*</t>
  </si>
  <si>
    <t>3 520 000[17]</t>
  </si>
  <si>
    <t>Syrie</t>
  </si>
  <si>
    <t>*Damas*</t>
  </si>
  <si>
    <t>3 500 000</t>
  </si>
  <si>
    <t>Viêt Nam</t>
  </si>
  <si>
    <t>*Hanoï*</t>
  </si>
  <si>
    <t>3 398 889[18]</t>
  </si>
  <si>
    <t>Espagne</t>
  </si>
  <si>
    <t>*Madrid*</t>
  </si>
  <si>
    <t>3 233 527[19]</t>
  </si>
  <si>
    <t>Corée du Nord</t>
  </si>
  <si>
    <t>*Pyongyang*</t>
  </si>
  <si>
    <t>3 144 005</t>
  </si>
  <si>
    <t>Afghanistan</t>
  </si>
  <si>
    <t>*Kaboul*</t>
  </si>
  <si>
    <t>3 140 853</t>
  </si>
  <si>
    <t>Kenya</t>
  </si>
  <si>
    <t>*Nairobi*</t>
  </si>
  <si>
    <t>3 138 369</t>
  </si>
  <si>
    <t>Éthiopie</t>
  </si>
  <si>
    <t>*Addis-Abeba*</t>
  </si>
  <si>
    <t>3 040 740[20]</t>
  </si>
  <si>
    <t>Argentine</t>
  </si>
  <si>
    <t>*Buenos Aires*</t>
  </si>
  <si>
    <t>2 891 082[21]</t>
  </si>
  <si>
    <t>Italie</t>
  </si>
  <si>
    <t>*Rome*</t>
  </si>
  <si>
    <t>2 868 104[22]</t>
  </si>
  <si>
    <t>Ukraine</t>
  </si>
  <si>
    <t>*Kiev*</t>
  </si>
  <si>
    <t>2 847 200[23]</t>
  </si>
  <si>
    <t>Taïwan</t>
  </si>
  <si>
    <t>*Taipei*</t>
  </si>
  <si>
    <t>2 702 314</t>
  </si>
  <si>
    <t>Brésil</t>
  </si>
  <si>
    <t>*Brasília*</t>
  </si>
  <si>
    <t>2 648 532[24]</t>
  </si>
  <si>
    <t>Jordanie</t>
  </si>
  <si>
    <t>*Amman*</t>
  </si>
  <si>
    <t>2 600 603</t>
  </si>
  <si>
    <t>Angola</t>
  </si>
  <si>
    <t>*Luanda*</t>
  </si>
  <si>
    <t>2 453 779</t>
  </si>
  <si>
    <t>Afrique du Sud</t>
  </si>
  <si>
    <t>*Pretoria*</t>
  </si>
  <si>
    <t>2 345 908</t>
  </si>
  <si>
    <t>France</t>
  </si>
  <si>
    <t>*Paris*</t>
  </si>
  <si>
    <t>2 268 265[25]</t>
  </si>
  <si>
    <t>Ouzbékistan</t>
  </si>
  <si>
    <t>*Tashkent*</t>
  </si>
  <si>
    <t>2 207 850</t>
  </si>
  <si>
    <t>Azerbaïdjan</t>
  </si>
  <si>
    <t>*Bakou*</t>
  </si>
  <si>
    <t>2 204 200[26]</t>
  </si>
  <si>
    <t>Suède</t>
  </si>
  <si>
    <t>*Stockholm*</t>
  </si>
  <si>
    <t>2 171 459[27]</t>
  </si>
  <si>
    <t>Cuba</t>
  </si>
  <si>
    <t>*La Havane*</t>
  </si>
  <si>
    <t>2 135 498[28]</t>
  </si>
  <si>
    <t>Cambodge</t>
  </si>
  <si>
    <t>*Phnom Penh*</t>
  </si>
  <si>
    <t>2 011 725</t>
  </si>
  <si>
    <t>Roumanie</t>
  </si>
  <si>
    <t>*Bucarest*</t>
  </si>
  <si>
    <t>1 942 254[29]</t>
  </si>
  <si>
    <t>Venezuela</t>
  </si>
  <si>
    <t>*Caracas*</t>
  </si>
  <si>
    <t>1 838 939</t>
  </si>
  <si>
    <t>Maroc</t>
  </si>
  <si>
    <t>*Rabat*</t>
  </si>
  <si>
    <t>1 789 635</t>
  </si>
  <si>
    <t>Autriche</t>
  </si>
  <si>
    <t>*Vienne*</t>
  </si>
  <si>
    <t>1 749 673[30]</t>
  </si>
  <si>
    <t>Soudan</t>
  </si>
  <si>
    <t>*Khartoum*</t>
  </si>
  <si>
    <t>1 740 661</t>
  </si>
  <si>
    <t>Hongrie</t>
  </si>
  <si>
    <t>*Budapest*</t>
  </si>
  <si>
    <t>1 729 040[31]</t>
  </si>
  <si>
    <t>Pologne</t>
  </si>
  <si>
    <t>*Varsovie*</t>
  </si>
  <si>
    <t>1 711 324[32]</t>
  </si>
  <si>
    <t>Biélorussie</t>
  </si>
  <si>
    <t>*Minsk*</t>
  </si>
  <si>
    <t>1 702 061</t>
  </si>
  <si>
    <t>Philippines</t>
  </si>
  <si>
    <t>*Manille*</t>
  </si>
  <si>
    <t>1 652 171[33]</t>
  </si>
  <si>
    <t>Ouganda</t>
  </si>
  <si>
    <t>*Kampala*</t>
  </si>
  <si>
    <t>1 659 600</t>
  </si>
  <si>
    <t>Ghana</t>
  </si>
  <si>
    <t>*Accra*</t>
  </si>
  <si>
    <t>1 640 507</t>
  </si>
  <si>
    <t>Cameroun</t>
  </si>
  <si>
    <t>*Yaoundé*</t>
  </si>
  <si>
    <t>1 616 000 [34]</t>
  </si>
  <si>
    <t>Madagascar</t>
  </si>
  <si>
    <t>*Antananarivo*</t>
  </si>
  <si>
    <t>1 613 375[35]</t>
  </si>
  <si>
    <t>Liban</t>
  </si>
  <si>
    <t>*Beyrouth*</t>
  </si>
  <si>
    <t>1 574 387</t>
  </si>
  <si>
    <t>Équateur</t>
  </si>
  <si>
    <t>*Quito*</t>
  </si>
  <si>
    <t>1 504 991</t>
  </si>
  <si>
    <t>Zimbabwe</t>
  </si>
  <si>
    <t>*Harare*</t>
  </si>
  <si>
    <t>1 487 028</t>
  </si>
  <si>
    <t>Qatar</t>
  </si>
  <si>
    <t>*Doha*</t>
  </si>
  <si>
    <t>1 450 000</t>
  </si>
  <si>
    <t>Yémen</t>
  </si>
  <si>
    <t>*Sanaa*</t>
  </si>
  <si>
    <t>1 431 649</t>
  </si>
  <si>
    <t>Guinée</t>
  </si>
  <si>
    <t>*Conakry*</t>
  </si>
  <si>
    <t>1 399 981</t>
  </si>
  <si>
    <t>Malaisie</t>
  </si>
  <si>
    <t>*Kuala Lumpur*</t>
  </si>
  <si>
    <t>1 381 830</t>
  </si>
  <si>
    <t>Uruguay</t>
  </si>
  <si>
    <t>*Montevideo*</t>
  </si>
  <si>
    <t>1 369 797</t>
  </si>
  <si>
    <t>Zambie</t>
  </si>
  <si>
    <t>*Lusaka*</t>
  </si>
  <si>
    <t>1 331 254</t>
  </si>
  <si>
    <t>* Somaliland*</t>
  </si>
  <si>
    <t>*Hargeisa*</t>
  </si>
  <si>
    <t>1 300 000</t>
  </si>
  <si>
    <t>Mali</t>
  </si>
  <si>
    <t>*Bamako*</t>
  </si>
  <si>
    <t>1 289 626</t>
  </si>
  <si>
    <t>République tchèque</t>
  </si>
  <si>
    <t>*Prague*</t>
  </si>
  <si>
    <t>1 241 664[36]</t>
  </si>
  <si>
    <t>Haïti</t>
  </si>
  <si>
    <t>*Port-au-Prince*</t>
  </si>
  <si>
    <t>1 235 227</t>
  </si>
  <si>
    <t>Libye</t>
  </si>
  <si>
    <t>*Tripoli*</t>
  </si>
  <si>
    <t>1 184 045</t>
  </si>
  <si>
    <t>Koweït</t>
  </si>
  <si>
    <t>*Koweït*</t>
  </si>
  <si>
    <t>1 171 880</t>
  </si>
  <si>
    <t>Serbie</t>
  </si>
  <si>
    <t>*Belgrade*</t>
  </si>
  <si>
    <t>1 154 589</t>
  </si>
  <si>
    <t>République dominicaine</t>
  </si>
  <si>
    <t>*Saint-Domingue*</t>
  </si>
  <si>
    <t>1 111 838[37]</t>
  </si>
  <si>
    <t>Somalie</t>
  </si>
  <si>
    <t>*Mogadiscio*</t>
  </si>
  <si>
    <t>1 097 133</t>
  </si>
  <si>
    <t>Burundi</t>
  </si>
  <si>
    <t>*Bujumbura*</t>
  </si>
  <si>
    <t>1 092 859</t>
  </si>
  <si>
    <t>Congo</t>
  </si>
  <si>
    <t>*Brazzaville*</t>
  </si>
  <si>
    <t>1 088 044</t>
  </si>
  <si>
    <t>Belgique</t>
  </si>
  <si>
    <t>*Bruxelles-Ville*</t>
  </si>
  <si>
    <t>168 230[38]</t>
  </si>
  <si>
    <t>Arménie</t>
  </si>
  <si>
    <t>*Erevan*</t>
  </si>
  <si>
    <t>1 080 487[35]</t>
  </si>
  <si>
    <t>Mozambique</t>
  </si>
  <si>
    <t>*Maputo*</t>
  </si>
  <si>
    <t>1 076 689</t>
  </si>
  <si>
    <t>Sierra Leone</t>
  </si>
  <si>
    <t>*Freetown*</t>
  </si>
  <si>
    <t>1 070 200</t>
  </si>
  <si>
    <t>Géorgie</t>
  </si>
  <si>
    <t>*Tbilissi*</t>
  </si>
  <si>
    <t>1 044 993</t>
  </si>
  <si>
    <t>Sénégal</t>
  </si>
  <si>
    <t>*Dakar*</t>
  </si>
  <si>
    <t>1 030 594</t>
  </si>
  <si>
    <t>Burkina Faso</t>
  </si>
  <si>
    <t>*Ouagadougou*</t>
  </si>
  <si>
    <t>1 005 231</t>
  </si>
  <si>
    <t>Ireland</t>
  </si>
  <si>
    <t>*Dublin*</t>
  </si>
  <si>
    <t>1 045 769</t>
  </si>
  <si>
    <t>Liberia</t>
  </si>
  <si>
    <t>*Monrovia*</t>
  </si>
  <si>
    <t>1 010 970</t>
  </si>
  <si>
    <t>Guatemala</t>
  </si>
  <si>
    <t>*Guatemala*</t>
  </si>
  <si>
    <t>1 103 865 [39]</t>
  </si>
  <si>
    <t>Pakistan</t>
  </si>
  <si>
    <t>*Islamabad*</t>
  </si>
  <si>
    <t>955 629</t>
  </si>
  <si>
    <t>Nicaragua</t>
  </si>
  <si>
    <t>*Managua*</t>
  </si>
  <si>
    <t>926 883</t>
  </si>
  <si>
    <t>Myanmar</t>
  </si>
  <si>
    <t>*Naypyidaw*[40]</t>
  </si>
  <si>
    <t>925 000[41]</t>
  </si>
  <si>
    <t>Mongolie</t>
  </si>
  <si>
    <t>*Oulan-Bator*</t>
  </si>
  <si>
    <t>907 802</t>
  </si>
  <si>
    <t>Malawi</t>
  </si>
  <si>
    <t>*Lilongwe*</t>
  </si>
  <si>
    <t>902 388</t>
  </si>
  <si>
    <t>Canada</t>
  </si>
  <si>
    <t>*Ottawa*</t>
  </si>
  <si>
    <t>898 150[42]</t>
  </si>
  <si>
    <t>Bolivie</t>
  </si>
  <si>
    <t>*Sucre*</t>
  </si>
  <si>
    <t>877 363</t>
  </si>
  <si>
    <t>Kirghizstan</t>
  </si>
  <si>
    <t>*Bichkek*</t>
  </si>
  <si>
    <t>843 240</t>
  </si>
  <si>
    <t>Kazakhstan</t>
  </si>
  <si>
    <t>*Noursoultan*</t>
  </si>
  <si>
    <t>835 153</t>
  </si>
  <si>
    <t>Togo</t>
  </si>
  <si>
    <t>*Lomé*</t>
  </si>
  <si>
    <t>824 738</t>
  </si>
  <si>
    <t>Panama</t>
  </si>
  <si>
    <t>*Panama*</t>
  </si>
  <si>
    <t>813 097</t>
  </si>
  <si>
    <t>Népal</t>
  </si>
  <si>
    <t>*Katmandou*</t>
  </si>
  <si>
    <t>812 026</t>
  </si>
  <si>
    <t>Pays-Bas</t>
  </si>
  <si>
    <t>*Amsterdam*</t>
  </si>
  <si>
    <t>810 909[43]</t>
  </si>
  <si>
    <t>Croatie</t>
  </si>
  <si>
    <t>*Zagreb*</t>
  </si>
  <si>
    <t>804 200[44]</t>
  </si>
  <si>
    <t>Oman</t>
  </si>
  <si>
    <t>*Mascate*</t>
  </si>
  <si>
    <t>797 000[45]</t>
  </si>
  <si>
    <t>Niger</t>
  </si>
  <si>
    <t>*Niamey*</t>
  </si>
  <si>
    <t>794 814[43]</t>
  </si>
  <si>
    <t>Moldavie</t>
  </si>
  <si>
    <t>*Chișinău*</t>
  </si>
  <si>
    <t>794 800 [46]</t>
  </si>
  <si>
    <t>Israël</t>
  </si>
  <si>
    <t>*Jérusalem*[47]</t>
  </si>
  <si>
    <t>780 200[48]</t>
  </si>
  <si>
    <t>Nigeria</t>
  </si>
  <si>
    <t>*Abuja*</t>
  </si>
  <si>
    <t>778 567</t>
  </si>
  <si>
    <t>[49]</t>
  </si>
  <si>
    <t>Albanie</t>
  </si>
  <si>
    <t>*Tirana*</t>
  </si>
  <si>
    <t>763 634</t>
  </si>
  <si>
    <t>Tunisie</t>
  </si>
  <si>
    <t>*Tunis*</t>
  </si>
  <si>
    <t>767 629</t>
  </si>
  <si>
    <t>Turkménistan</t>
  </si>
  <si>
    <t>*Achgabat*</t>
  </si>
  <si>
    <t>763 537</t>
  </si>
  <si>
    <t>Tchad</t>
  </si>
  <si>
    <t>*N'Djaména*</t>
  </si>
  <si>
    <t>751 288</t>
  </si>
  <si>
    <t>Honduras</t>
  </si>
  <si>
    <t>*Tegucigalpa*</t>
  </si>
  <si>
    <t>735 982</t>
  </si>
  <si>
    <t>République centrafricaine</t>
  </si>
  <si>
    <t>*Bangui*</t>
  </si>
  <si>
    <t>731 548</t>
  </si>
  <si>
    <t>Grèce</t>
  </si>
  <si>
    <t>*Athènes*</t>
  </si>
  <si>
    <t>721 477</t>
  </si>
  <si>
    <t>Mauritanie</t>
  </si>
  <si>
    <t>*Nouakchott*</t>
  </si>
  <si>
    <t>719 167</t>
  </si>
  <si>
    <t>Rwanda</t>
  </si>
  <si>
    <t>*Kigali*</t>
  </si>
  <si>
    <t>718 414</t>
  </si>
  <si>
    <t>Lettonie</t>
  </si>
  <si>
    <t>*Riga*</t>
  </si>
  <si>
    <t>713 016</t>
  </si>
  <si>
    <t>Jamaïque</t>
  </si>
  <si>
    <t>*Kingston*</t>
  </si>
  <si>
    <t>701 063</t>
  </si>
  <si>
    <t>États-Unis</t>
  </si>
  <si>
    <t>*Washington*</t>
  </si>
  <si>
    <t>658 893</t>
  </si>
  <si>
    <t>Norvège</t>
  </si>
  <si>
    <t>*Oslo*</t>
  </si>
  <si>
    <t>645 701[50]</t>
  </si>
  <si>
    <t>Finlande</t>
  </si>
  <si>
    <t>*Helsinki*</t>
  </si>
  <si>
    <t>596 661[51]</t>
  </si>
  <si>
    <t>Émirats arabes unis</t>
  </si>
  <si>
    <t>*Abou Dhabi*</t>
  </si>
  <si>
    <t>585 097[52]</t>
  </si>
  <si>
    <t>Tadjikistan</t>
  </si>
  <si>
    <t>*Douchanbé*</t>
  </si>
  <si>
    <t>582 496</t>
  </si>
  <si>
    <t>Lituanie</t>
  </si>
  <si>
    <t>*Vilnius*</t>
  </si>
  <si>
    <t>556 723</t>
  </si>
  <si>
    <t>Gabon</t>
  </si>
  <si>
    <t>*Libreville*</t>
  </si>
  <si>
    <t>556 425</t>
  </si>
  <si>
    <t>Érythrée</t>
  </si>
  <si>
    <t>*Asmara*</t>
  </si>
  <si>
    <t>543 707</t>
  </si>
  <si>
    <t>Portugal</t>
  </si>
  <si>
    <t>*Lisbonne*</t>
  </si>
  <si>
    <t>564 657</t>
  </si>
  <si>
    <t>El Salvador</t>
  </si>
  <si>
    <t>*San Salvador*</t>
  </si>
  <si>
    <t>521 366</t>
  </si>
  <si>
    <t>Paraguay</t>
  </si>
  <si>
    <t>*Asunción*</t>
  </si>
  <si>
    <t>520 722</t>
  </si>
  <si>
    <t>* Macao (Chine)*</t>
  </si>
  <si>
    <t>*Macao*</t>
  </si>
  <si>
    <t>520 400[53]</t>
  </si>
  <si>
    <t>Macédoine</t>
  </si>
  <si>
    <t>*Skopje*</t>
  </si>
  <si>
    <t>668 518[54]</t>
  </si>
  <si>
    <t>Danemark</t>
  </si>
  <si>
    <t>*Copenhague*</t>
  </si>
  <si>
    <t>562 253</t>
  </si>
  <si>
    <t>Djibouti</t>
  </si>
  <si>
    <t>*Djibouti*</t>
  </si>
  <si>
    <t>475 332</t>
  </si>
  <si>
    <t>Côte d'Ivoire</t>
  </si>
  <si>
    <t>*Yamoussoukro*</t>
  </si>
  <si>
    <t>454 929</t>
  </si>
  <si>
    <t>Guinée-Bissau</t>
  </si>
  <si>
    <t>*Bissau*</t>
  </si>
  <si>
    <t>452 640</t>
  </si>
  <si>
    <t>Slovaquie</t>
  </si>
  <si>
    <t>*Bratislava*</t>
  </si>
  <si>
    <t>424 207</t>
  </si>
  <si>
    <t>* Puerto Rico (États-Unis)*</t>
  </si>
  <si>
    <t>*San Juan*</t>
  </si>
  <si>
    <t>421 356</t>
  </si>
  <si>
    <t>Estonie</t>
  </si>
  <si>
    <t>*Tallinn*</t>
  </si>
  <si>
    <t>403 547[55]</t>
  </si>
  <si>
    <t>Bulgarie</t>
  </si>
  <si>
    <t>*Sofia*</t>
  </si>
  <si>
    <t>400 000[56]</t>
  </si>
  <si>
    <t>Bosnie-Herzégovine</t>
  </si>
  <si>
    <t>*Sarajevo*</t>
  </si>
  <si>
    <t>383 604</t>
  </si>
  <si>
    <t>Nouvelle-Zélande</t>
  </si>
  <si>
    <t>*Wellington*</t>
  </si>
  <si>
    <t>381 900[57]</t>
  </si>
  <si>
    <t>Sud-Soudan</t>
  </si>
  <si>
    <t>*Djouba*</t>
  </si>
  <si>
    <t>372 410</t>
  </si>
  <si>
    <t>Australie</t>
  </si>
  <si>
    <t>*Canberra*</t>
  </si>
  <si>
    <t>354 644[58]</t>
  </si>
  <si>
    <t>Costa Rica</t>
  </si>
  <si>
    <t>*San José*</t>
  </si>
  <si>
    <t>328 195</t>
  </si>
  <si>
    <t>Papouasie-Nouvelle-Guinée</t>
  </si>
  <si>
    <t>*Port Moresby*</t>
  </si>
  <si>
    <t>299 396[59]</t>
  </si>
  <si>
    <t>Laos</t>
  </si>
  <si>
    <t>*Vientiane*</t>
  </si>
  <si>
    <t>287 579</t>
  </si>
  <si>
    <t>Tanzanie</t>
  </si>
  <si>
    <t>*Dodoma*</t>
  </si>
  <si>
    <t>287 200</t>
  </si>
  <si>
    <t>2002 est.[60]</t>
  </si>
  <si>
    <t>Lesotho</t>
  </si>
  <si>
    <t>*Maseru*</t>
  </si>
  <si>
    <t>267 652[59]</t>
  </si>
  <si>
    <t>Chypre</t>
  </si>
  <si>
    <t>*Nicosie*</t>
  </si>
  <si>
    <t>270 000</t>
  </si>
  <si>
    <t>2004[61]</t>
  </si>
  <si>
    <t>Slovénie</t>
  </si>
  <si>
    <t>*Ljubljana*</t>
  </si>
  <si>
    <t>280 140</t>
  </si>
  <si>
    <t>Suriname</t>
  </si>
  <si>
    <t>*Paramaribo*</t>
  </si>
  <si>
    <t>254 147</t>
  </si>
  <si>
    <t>Namibie</t>
  </si>
  <si>
    <t>*Windhoek*</t>
  </si>
  <si>
    <t>252 721</t>
  </si>
  <si>
    <t>Inde</t>
  </si>
  <si>
    <t>*New Delhi*</t>
  </si>
  <si>
    <t>249 998</t>
  </si>
  <si>
    <t>Bahamas</t>
  </si>
  <si>
    <t>*Nassau*</t>
  </si>
  <si>
    <t>248 948</t>
  </si>
  <si>
    <t>Botswana</t>
  </si>
  <si>
    <t>*Gaborone*</t>
  </si>
  <si>
    <t>225 656[62]</t>
  </si>
  <si>
    <t>Bénin</t>
  </si>
  <si>
    <t>*Porto-Novo*</t>
  </si>
  <si>
    <t>223 552</t>
  </si>
  <si>
    <t>[63]</t>
  </si>
  <si>
    <t>* Kosovo*</t>
  </si>
  <si>
    <t>*Pristina*</t>
  </si>
  <si>
    <t>198 214</t>
  </si>
  <si>
    <t>* Sahara occidental*</t>
  </si>
  <si>
    <t>*Tifariti*</t>
  </si>
  <si>
    <t>3 000 [64]</t>
  </si>
  <si>
    <t>* Transnistrie*</t>
  </si>
  <si>
    <t>*Tiraspol*</t>
  </si>
  <si>
    <t>159 163</t>
  </si>
  <si>
    <t>Réunion</t>
  </si>
  <si>
    <t>*Saint-Denis*</t>
  </si>
  <si>
    <t>147 931</t>
  </si>
  <si>
    <t>Maurice</t>
  </si>
  <si>
    <t>*Port-Louis*</t>
  </si>
  <si>
    <t>147 251[65]</t>
  </si>
  <si>
    <t>Bahreïn</t>
  </si>
  <si>
    <t>*Manama*</t>
  </si>
  <si>
    <t>140 616</t>
  </si>
  <si>
    <t>Guyana</t>
  </si>
  <si>
    <t>*Georgetown*</t>
  </si>
  <si>
    <t>134 599</t>
  </si>
  <si>
    <t>Cap-Vert</t>
  </si>
  <si>
    <t>*Praia*</t>
  </si>
  <si>
    <t>125 464</t>
  </si>
  <si>
    <t>Suisse</t>
  </si>
  <si>
    <t>*Berne*</t>
  </si>
  <si>
    <t>137 919</t>
  </si>
  <si>
    <t>[66]</t>
  </si>
  <si>
    <t>Sri Lanka</t>
  </si>
  <si>
    <t>*Sri Jayawardenapura Kotte*</t>
  </si>
  <si>
    <t>118 556[67]</t>
  </si>
  <si>
    <t>Islande</t>
  </si>
  <si>
    <t>*Reykjavík*</t>
  </si>
  <si>
    <t>115 000[68]</t>
  </si>
  <si>
    <t>Barbade</t>
  </si>
  <si>
    <t>*Bridgetown*</t>
  </si>
  <si>
    <t>110 000</t>
  </si>
  <si>
    <t>Maldives</t>
  </si>
  <si>
    <t>*Malé*</t>
  </si>
  <si>
    <t>103 693</t>
  </si>
  <si>
    <t>Bhutan</t>
  </si>
  <si>
    <t>*Thimphu*</t>
  </si>
  <si>
    <t>101 259 [67]</t>
  </si>
  <si>
    <t>Guinée équatoriale</t>
  </si>
  <si>
    <t>*Malabo*</t>
  </si>
  <si>
    <t>100 677 [69]</t>
  </si>
  <si>
    <t>* Nouvelle-Calédonie (France)*</t>
  </si>
  <si>
    <t>*Nouméa*</t>
  </si>
  <si>
    <t>89 207[70]</t>
  </si>
  <si>
    <t>* Chypre du Nord*</t>
  </si>
  <si>
    <t>*Nicosia*</t>
  </si>
  <si>
    <t>84 893</t>
  </si>
  <si>
    <t>Fidji</t>
  </si>
  <si>
    <t>*Chienathiry*</t>
  </si>
  <si>
    <t>84 410[70]</t>
  </si>
  <si>
    <t>Swaziland</t>
  </si>
  <si>
    <t>*Mbabane*</t>
  </si>
  <si>
    <t>81 594</t>
  </si>
  <si>
    <t>Luxembourg</t>
  </si>
  <si>
    <t>*Luxembourg*</t>
  </si>
  <si>
    <t>76 420[71]</t>
  </si>
  <si>
    <t>Sainte-Lucie</t>
  </si>
  <si>
    <t>*Castries*</t>
  </si>
  <si>
    <t>70 000[72]</t>
  </si>
  <si>
    <t>* Îles Mariannes du Nord (États-Unis)*</t>
  </si>
  <si>
    <t>*Saipan*</t>
  </si>
  <si>
    <t>62 392 (2000)[73]</t>
  </si>
  <si>
    <t>Comores</t>
  </si>
  <si>
    <t>*Moroni*</t>
  </si>
  <si>
    <t>60 200</t>
  </si>
  <si>
    <t>Salomon</t>
  </si>
  <si>
    <t>*Honiara*</t>
  </si>
  <si>
    <t>59 288[70]</t>
  </si>
  <si>
    <t>Timor-Oriental</t>
  </si>
  <si>
    <t>*Dili*</t>
  </si>
  <si>
    <t>59 069</t>
  </si>
  <si>
    <t>São Tomé-et-Principe</t>
  </si>
  <si>
    <t>*São Tome*</t>
  </si>
  <si>
    <t>56 166</t>
  </si>
  <si>
    <t>* Samoa américaines (États-Unis)*</t>
  </si>
  <si>
    <t>*Pago Pago*</t>
  </si>
  <si>
    <t>52 000 (2003)[74]</t>
  </si>
  <si>
    <t>Trinidad-et-Tobago</t>
  </si>
  <si>
    <t>*Port of Spain*</t>
  </si>
  <si>
    <t>50 479</t>
  </si>
  <si>
    <t>* Haut-Karabagh*</t>
  </si>
  <si>
    <t>*Stepanakert*</t>
  </si>
  <si>
    <t>49 986</t>
  </si>
  <si>
    <t>* Curaçao (Pays-Bas)*</t>
  </si>
  <si>
    <t>*Willemstad*</t>
  </si>
  <si>
    <t>49 885 [75]</t>
  </si>
  <si>
    <t>Saint-Vincent-et-les-Grenadines</t>
  </si>
  <si>
    <t>*Kingstown*</t>
  </si>
  <si>
    <t>40 020</t>
  </si>
  <si>
    <t>Samoa</t>
  </si>
  <si>
    <t>*Apia*</t>
  </si>
  <si>
    <t>39 813[76]</t>
  </si>
  <si>
    <t>Vanuatu</t>
  </si>
  <si>
    <t>*Port Vila*</t>
  </si>
  <si>
    <t>38 000 [77]</t>
  </si>
  <si>
    <t>Monaco</t>
  </si>
  <si>
    <t>*Monaco*</t>
  </si>
  <si>
    <t>35 986 (2011 est.)[78]</t>
  </si>
  <si>
    <t>Gambie</t>
  </si>
  <si>
    <t>*Banjul*</t>
  </si>
  <si>
    <t>34 828</t>
  </si>
  <si>
    <t>Kiribati</t>
  </si>
  <si>
    <t>*Tarawa*</t>
  </si>
  <si>
    <t>30 000[79]</t>
  </si>
  <si>
    <t>* Aruba (Pays-Bas)*</t>
  </si>
  <si>
    <t>*Oranjestad*</t>
  </si>
  <si>
    <t>29 998[80]</t>
  </si>
  <si>
    <t>Seychelles</t>
  </si>
  <si>
    <t>*Victoria*</t>
  </si>
  <si>
    <t>29 298</t>
  </si>
  <si>
    <t>* Gibraltar (Royaume-Uni)*</t>
  </si>
  <si>
    <t>*Gibraltar*</t>
  </si>
  <si>
    <t>29 286</t>
  </si>
  <si>
    <t>* Jersey (Royaume-Uni)*</t>
  </si>
  <si>
    <t>*Saint Helier*</t>
  </si>
  <si>
    <t>28 380</t>
  </si>
  <si>
    <t>Brunei</t>
  </si>
  <si>
    <t>*Bandar Seri Begawan*</t>
  </si>
  <si>
    <t>28 135</t>
  </si>
  <si>
    <t>* Îles Caïmans (Royaume-Uni)*</t>
  </si>
  <si>
    <t>*George Town*</t>
  </si>
  <si>
    <t>26 798</t>
  </si>
  <si>
    <t>* Île de Man (Royaume-Uni)*</t>
  </si>
  <si>
    <t>*Douglas*</t>
  </si>
  <si>
    <t>26 600</t>
  </si>
  <si>
    <t>* Polynésie française (France)*</t>
  </si>
  <si>
    <t>*Papeete*</t>
  </si>
  <si>
    <t>26 200 [81]</t>
  </si>
  <si>
    <t>* Palestine (Cisjordanie)*</t>
  </si>
  <si>
    <t>*Ramallah et Jérusalem-Est(proclamer)*</t>
  </si>
  <si>
    <t>25 500[82]</t>
  </si>
  <si>
    <t>Îles Marshall</t>
  </si>
  <si>
    <t>*Majuro*</t>
  </si>
  <si>
    <t>25 400</t>
  </si>
  <si>
    <t>Andorre</t>
  </si>
  <si>
    <t>*Andorre-la-Vieille*</t>
  </si>
  <si>
    <t>22 884</t>
  </si>
  <si>
    <t>Antigua-et-Barbuda</t>
  </si>
  <si>
    <t>*Saint John's*</t>
  </si>
  <si>
    <t>22 679[83]</t>
  </si>
  <si>
    <t>Tonga</t>
  </si>
  <si>
    <t>*Nukuʻalofa*</t>
  </si>
  <si>
    <t>22 400</t>
  </si>
  <si>
    <t>* Îles Féroé (Danemark)*</t>
  </si>
  <si>
    <t>*Tórshavn*</t>
  </si>
  <si>
    <t>18 573 [84]</t>
  </si>
  <si>
    <t>* Guernesey (Royaume-Uni)*</t>
  </si>
  <si>
    <t>*Saint-Pierre-Port*</t>
  </si>
  <si>
    <t>16 701</t>
  </si>
  <si>
    <t>Belize</t>
  </si>
  <si>
    <t>*Belmopan*</t>
  </si>
  <si>
    <t>16 451[85]</t>
  </si>
  <si>
    <t>* Groenland*</t>
  </si>
  <si>
    <t>*Nuuk*</t>
  </si>
  <si>
    <t>15 469</t>
  </si>
  <si>
    <t>Dominique</t>
  </si>
  <si>
    <t>*Roseau*</t>
  </si>
  <si>
    <t>14 847 [86]</t>
  </si>
  <si>
    <t>Saint-Christophe-et-Niévès</t>
  </si>
  <si>
    <t>*Basseterre*</t>
  </si>
  <si>
    <t>13 043 [87]</t>
  </si>
  <si>
    <t>* Åland (Finlande)*</t>
  </si>
  <si>
    <t>*Mariehamn*</t>
  </si>
  <si>
    <t>11 296 [51]</t>
  </si>
  <si>
    <t>* Îles Vierges américaines (États-Unis)*</t>
  </si>
  <si>
    <t>*Charlotte Amalie*</t>
  </si>
  <si>
    <t>10 817</t>
  </si>
  <si>
    <t>Micronésie</t>
  </si>
  <si>
    <t>*Palikir*</t>
  </si>
  <si>
    <t>9 900</t>
  </si>
  <si>
    <t>* Îles Vierges britanniques (Royaume-Uni)*</t>
  </si>
  <si>
    <t>*Road Town*</t>
  </si>
  <si>
    <t>9 400</t>
  </si>
  <si>
    <t>Grenade</t>
  </si>
  <si>
    <t>*Saint-Georges*</t>
  </si>
  <si>
    <t>7 500</t>
  </si>
  <si>
    <t>Malte</t>
  </si>
  <si>
    <t>*La Valette*</t>
  </si>
  <si>
    <t>6 675[88]</t>
  </si>
  <si>
    <t>* Saint-Martin (France)*</t>
  </si>
  <si>
    <t>*Saint-Pierre (Antilles françaises)*</t>
  </si>
  <si>
    <t>5 700</t>
  </si>
  <si>
    <t>* Saint-Pierre-et-Miquelon (France)*</t>
  </si>
  <si>
    <t>*Saint-Pierre*</t>
  </si>
  <si>
    <t>5 509</t>
  </si>
  <si>
    <t>* Îles Cook (Nouvelle-Zélande)*</t>
  </si>
  <si>
    <t>*Avarua*</t>
  </si>
  <si>
    <t>5 445</t>
  </si>
  <si>
    <t>Liechtenstein</t>
  </si>
  <si>
    <t>*Vaduz*</t>
  </si>
  <si>
    <t>5 248</t>
  </si>
  <si>
    <t>Saint-Marin</t>
  </si>
  <si>
    <t>*Saint-Marin*</t>
  </si>
  <si>
    <t>4 493</t>
  </si>
  <si>
    <t>Tuvalu</t>
  </si>
  <si>
    <t>*Funafuti*</t>
  </si>
  <si>
    <t>4 492</t>
  </si>
  <si>
    <t>* Îles Turques-et-Caïques (Royaume-Uni)*</t>
  </si>
  <si>
    <t>*Cockburn Town*</t>
  </si>
  <si>
    <t>3 700</t>
  </si>
  <si>
    <t>* Saint-Barthélemy (France)*</t>
  </si>
  <si>
    <t>*Gustavia*</t>
  </si>
  <si>
    <t>6 000</t>
  </si>
  <si>
    <t>* Îles Malouines (Royaume-Uni)*</t>
  </si>
  <si>
    <t>*Port Stanley*</t>
  </si>
  <si>
    <t>2 115 [89]</t>
  </si>
  <si>
    <t>*Svalbard (Norvège)*</t>
  </si>
  <si>
    <t>*Longyearbyen*</t>
  </si>
  <si>
    <t>2 075</t>
  </si>
  <si>
    <t>* Île Christmas (Australie)*</t>
  </si>
  <si>
    <t>*Flying Fish Cove*</t>
  </si>
  <si>
    <t>1 493 [90]</t>
  </si>
  <si>
    <t>* Sint Maarten (Pays-Bas)*</t>
  </si>
  <si>
    <t>*Philipsburg*</t>
  </si>
  <si>
    <t>1 338</t>
  </si>
  <si>
    <t>* Wallis-et-Futuna (France)*</t>
  </si>
  <si>
    <t>*Mata-Utu*</t>
  </si>
  <si>
    <t>1 191</t>
  </si>
  <si>
    <t>* Anguilla (Royaume-Uni)*</t>
  </si>
  <si>
    <t>*The Valley*</t>
  </si>
  <si>
    <t>1 169</t>
  </si>
  <si>
    <t>Nauru</t>
  </si>
  <si>
    <t>*Yaren* *(de facto)*</t>
  </si>
  <si>
    <t>1 100[91]</t>
  </si>
  <si>
    <t>* Guam (États-Unis)*</t>
  </si>
  <si>
    <t>*Hagåtña*</t>
  </si>
  <si>
    <t>1 100</t>
  </si>
  <si>
    <t>* Montserrat (Royaume-Uni)*</t>
  </si>
  <si>
    <t>*Brades* *(de facto)*</t>
  </si>
  <si>
    <t>1 000</t>
  </si>
  <si>
    <t>* Bermudes (Royaume-Uni)*</t>
  </si>
  <si>
    <t>*Hamilton*</t>
  </si>
  <si>
    <t>* Île Norfolk (Australie)*</t>
  </si>
  <si>
    <t>880 [92]</t>
  </si>
  <si>
    <t>Vatican</t>
  </si>
  <si>
    <t>*Vatican*</t>
  </si>
  <si>
    <t>826 [93]</t>
  </si>
  <si>
    <t>2009 est</t>
  </si>
  <si>
    <t>* Sainte-Hélène, Ascension et Tristan da Cunha (Royaume-Uni)*</t>
  </si>
  <si>
    <t>*Jamestown*</t>
  </si>
  <si>
    <t>* Niue (Nouvelle-Zélande)*</t>
  </si>
  <si>
    <t>*Alofi*</t>
  </si>
  <si>
    <t>* Tokelau (Nouvelle-Zélande)*</t>
  </si>
  <si>
    <t>*Nukunonu* (de facto)</t>
  </si>
  <si>
    <t>Palaos</t>
  </si>
  <si>
    <t>*Melekeok*</t>
  </si>
  <si>
    <t>299[94]</t>
  </si>
  <si>
    <t>* Îles Cocos (Australie)*</t>
  </si>
  <si>
    <t>*West Island*</t>
  </si>
  <si>
    <t>* Îles Pitcairn (Royaume-Uni)*</t>
  </si>
  <si>
    <t>*Adamstown*</t>
  </si>
  <si>
    <t>* Géorgie du Sud-et-les Îles Sandwich du Sud (Royaume-Uni)*</t>
  </si>
  <si>
    <t>*King Edward Point*</t>
  </si>
  <si>
    <t>%</t>
  </si>
  <si>
    <t>Ensemble</t>
  </si>
  <si>
    <t>1566 679</t>
  </si>
  <si>
    <t>100,0</t>
  </si>
  <si>
    <t>1463 662</t>
  </si>
  <si>
    <t>0 à 14 ans</t>
  </si>
  <si>
    <t>269 891</t>
  </si>
  <si>
    <t>17,2</t>
  </si>
  <si>
    <t>253 722</t>
  </si>
  <si>
    <t>17,3</t>
  </si>
  <si>
    <t xml:space="preserve">15 à 29 ans </t>
  </si>
  <si>
    <t>298 073</t>
  </si>
  <si>
    <t>19,0</t>
  </si>
  <si>
    <t>282 477</t>
  </si>
  <si>
    <t>19,3</t>
  </si>
  <si>
    <t>30 à 44 ans</t>
  </si>
  <si>
    <t>309 756</t>
  </si>
  <si>
    <t>19,8</t>
  </si>
  <si>
    <t>292 042</t>
  </si>
  <si>
    <t>20,3</t>
  </si>
  <si>
    <t>45 à 59 ans</t>
  </si>
  <si>
    <t>307 231</t>
  </si>
  <si>
    <t>19,6</t>
  </si>
  <si>
    <t>292 541</t>
  </si>
  <si>
    <t>20,0</t>
  </si>
  <si>
    <t>60 à 74 ans</t>
  </si>
  <si>
    <t>243 423</t>
  </si>
  <si>
    <t>15,5</t>
  </si>
  <si>
    <t>205 947</t>
  </si>
  <si>
    <t>14,1</t>
  </si>
  <si>
    <t>75 ans et plus</t>
  </si>
  <si>
    <t>138 305</t>
  </si>
  <si>
    <t>8,8</t>
  </si>
  <si>
    <t>131 933</t>
  </si>
  <si>
    <t>9,0</t>
  </si>
  <si>
    <t>lundi</t>
  </si>
  <si>
    <t>mardi</t>
  </si>
  <si>
    <t>mercredi</t>
  </si>
  <si>
    <t>je te menace je vais t'arracher à la récré</t>
  </si>
  <si>
    <t>jeudi</t>
  </si>
  <si>
    <t>essaie même pas de trouver qui je suis</t>
  </si>
  <si>
    <t>vendredi</t>
  </si>
  <si>
    <t>donne moi 100€ ou je te donne à Marco</t>
  </si>
  <si>
    <t>JTM</t>
  </si>
  <si>
    <t>samedi</t>
  </si>
  <si>
    <t>Dany tu fais chier</t>
  </si>
  <si>
    <t>dimanche</t>
  </si>
  <si>
    <t>T NU</t>
  </si>
  <si>
    <t>ALLEZ LYON</t>
  </si>
  <si>
    <t>t nul</t>
  </si>
  <si>
    <t>on passe a coté j'ai plus de place en bas</t>
  </si>
  <si>
    <t>VIVE RUDI GARCIA</t>
  </si>
  <si>
    <t xml:space="preserve">ya quoi ? </t>
  </si>
  <si>
    <t>FDP DANY</t>
  </si>
  <si>
    <t>tu vas faire quoi ?</t>
  </si>
  <si>
    <t>coucou</t>
  </si>
  <si>
    <t>donne ton identité</t>
  </si>
  <si>
    <t xml:space="preserve">DEVINE </t>
  </si>
  <si>
    <t>czaja fais bien gaffea toi</t>
  </si>
  <si>
    <t>dénonce toi souhard</t>
  </si>
  <si>
    <t>ESTCEQUE TU M4ENTENDS EHOH ? OHOHOHOHOHOHOHO</t>
  </si>
  <si>
    <t>et non essaie encore</t>
  </si>
  <si>
    <t>PAUSE!!!!!!</t>
  </si>
  <si>
    <t xml:space="preserve">mais quel violence </t>
  </si>
  <si>
    <t>alexis caca</t>
  </si>
  <si>
    <t>Drapeau</t>
  </si>
  <si>
    <t>Carte</t>
  </si>
  <si>
    <t>Noms courts et officiels en français</t>
  </si>
  <si>
    <t>Statut[17]</t>
  </si>
  <si>
    <t>Noms locaux courts et officiels</t>
  </si>
  <si>
    <t>Superficie[11]</t>
  </si>
  <si>
    <t>substitution</t>
  </si>
  <si>
    <t>pop_finale</t>
  </si>
  <si>
    <t>Terres australes et antarctiques françaises[n 9]</t>
  </si>
  <si>
    <t>Territoire français d'outre-mer</t>
  </si>
  <si>
    <t>Saint-Pierre[n 10]</t>
  </si>
  <si>
    <t>Pas de population permanente[18]</t>
  </si>
  <si>
    <t>38,60 km2</t>
  </si>
  <si>
    <t>Sainte-Hélène, Ascension et Tristan da Cunha</t>
  </si>
  <si>
    <t>Territoire britannique d'outre-mer</t>
  </si>
  <si>
    <t>Anglais : *Saint Helena, Ascension and Tristan da Cunha*</t>
  </si>
  <si>
    <t>Jamestown</t>
  </si>
  <si>
    <t>5 661</t>
  </si>
  <si>
    <t>394 km2</t>
  </si>
  <si>
    <t>Georgetown</t>
  </si>
  <si>
    <t>88 km2</t>
  </si>
  <si>
    <t>Edinburgh of the Seven Seas</t>
  </si>
  <si>
    <t>207 km2</t>
  </si>
  <si>
    <t>Commune</t>
  </si>
  <si>
    <t>Population[1]</t>
  </si>
  <si>
    <t>Maire sortant</t>
  </si>
  <si>
    <t>Parti</t>
  </si>
  <si>
    <t>Maire élu</t>
  </si>
  <si>
    <t>Bannalec</t>
  </si>
  <si>
    <t>5 513</t>
  </si>
  <si>
    <t>Yves André</t>
  </si>
  <si>
    <t>PS</t>
  </si>
  <si>
    <t>Bénodet</t>
  </si>
  <si>
    <t>3 392</t>
  </si>
  <si>
    <t>Christian Pennanech</t>
  </si>
  <si>
    <t>DVD</t>
  </si>
  <si>
    <t>Bohars</t>
  </si>
  <si>
    <t>3 437</t>
  </si>
  <si>
    <t>Armel Gourvil</t>
  </si>
  <si>
    <t>Bourg-Blanc</t>
  </si>
  <si>
    <t>3 402</t>
  </si>
  <si>
    <t>Jean-Paul Berthouloux</t>
  </si>
  <si>
    <t>DVG</t>
  </si>
  <si>
    <t>Bernard Gibergues</t>
  </si>
  <si>
    <t>Brest</t>
  </si>
  <si>
    <t>140 547</t>
  </si>
  <si>
    <t>François Cuillandre</t>
  </si>
  <si>
    <t>Briec</t>
  </si>
  <si>
    <t>5 441</t>
  </si>
  <si>
    <t>Jean-Paul Le Pann</t>
  </si>
  <si>
    <t>Jean-Hubert Petillon</t>
  </si>
  <si>
    <t>Camaret-sur-Mer</t>
  </si>
  <si>
    <t>2 618</t>
  </si>
  <si>
    <t>Nadine Servant</t>
  </si>
  <si>
    <t>François Sénéchal</t>
  </si>
  <si>
    <t>Carantec</t>
  </si>
  <si>
    <t>3 129</t>
  </si>
  <si>
    <t>Jean-Guy Gueguen</t>
  </si>
  <si>
    <t>UDI</t>
  </si>
  <si>
    <t>Carhaix-Plouguer</t>
  </si>
  <si>
    <t>7 541</t>
  </si>
  <si>
    <t>Christian Troadec</t>
  </si>
  <si>
    <t>MBP</t>
  </si>
  <si>
    <t>Châteaulin</t>
  </si>
  <si>
    <t>5 217</t>
  </si>
  <si>
    <t>Gaëlle Nicolas</t>
  </si>
  <si>
    <t>UMP</t>
  </si>
  <si>
    <t>Châteauneuf-du-Faou</t>
  </si>
  <si>
    <t>3 650</t>
  </si>
  <si>
    <t>Christian Ménard</t>
  </si>
  <si>
    <t>Jean-Pierre Rolland</t>
  </si>
  <si>
    <t>Cléder</t>
  </si>
  <si>
    <t>3 844</t>
  </si>
  <si>
    <t>Gérard Danielou</t>
  </si>
  <si>
    <t>Clohars-Carnoët</t>
  </si>
  <si>
    <t>4 072</t>
  </si>
  <si>
    <t>Jacques Juloux</t>
  </si>
  <si>
    <t>Combrit</t>
  </si>
  <si>
    <t>3 620</t>
  </si>
  <si>
    <t>Jean-Claude Dupré</t>
  </si>
  <si>
    <t>Jacques Beaufils</t>
  </si>
  <si>
    <t>Concarneau</t>
  </si>
  <si>
    <t>18 826</t>
  </si>
  <si>
    <t>André Fidelin</t>
  </si>
  <si>
    <t>Crozon</t>
  </si>
  <si>
    <t>7 751</t>
  </si>
  <si>
    <t>Daniel Moysan</t>
  </si>
  <si>
    <t>Douarnenez</t>
  </si>
  <si>
    <t>14 815</t>
  </si>
  <si>
    <t>Philippe Paul</t>
  </si>
  <si>
    <t>Elliant</t>
  </si>
  <si>
    <t>3 206</t>
  </si>
  <si>
    <t>François Le Saux</t>
  </si>
  <si>
    <t>René Le Baron</t>
  </si>
  <si>
    <t>Ergué-Gabéric</t>
  </si>
  <si>
    <t>8 144</t>
  </si>
  <si>
    <t>Hervé Herry</t>
  </si>
  <si>
    <t>Fouesnant</t>
  </si>
  <si>
    <t>9 143</t>
  </si>
  <si>
    <t>Roger Le Goff</t>
  </si>
  <si>
    <t>Gouesnach</t>
  </si>
  <si>
    <t>2 568</t>
  </si>
  <si>
    <t>Michel Simon</t>
  </si>
  <si>
    <t>Gildas Gicquel</t>
  </si>
  <si>
    <t>Gouesnou</t>
  </si>
  <si>
    <t>6 024</t>
  </si>
  <si>
    <t>Michel Phelep</t>
  </si>
  <si>
    <t>Stéphane Roudaut</t>
  </si>
  <si>
    <t>Guilers</t>
  </si>
  <si>
    <t>7 430</t>
  </si>
  <si>
    <t>Pierre Ogor</t>
  </si>
  <si>
    <t>Guilvinec</t>
  </si>
  <si>
    <t>2 934</t>
  </si>
  <si>
    <t>Jean-Luc Tanneau</t>
  </si>
  <si>
    <t>Guipavas</t>
  </si>
  <si>
    <t>13 414</t>
  </si>
  <si>
    <t>Alain Queffélec</t>
  </si>
  <si>
    <t>Gurwan Moal</t>
  </si>
  <si>
    <t>La Forêt-Fouesnant</t>
  </si>
  <si>
    <t>3 300</t>
  </si>
  <si>
    <t>Raymond Peres</t>
  </si>
  <si>
    <t>Patrice Valadou</t>
  </si>
  <si>
    <t>Landéda</t>
  </si>
  <si>
    <t>3 603</t>
  </si>
  <si>
    <t>Christian Tréguer</t>
  </si>
  <si>
    <t>Christine Chevalier</t>
  </si>
  <si>
    <t>Landerneau</t>
  </si>
  <si>
    <t>15 148</t>
  </si>
  <si>
    <t>Patrick Leclerc</t>
  </si>
  <si>
    <t>Landivisiau</t>
  </si>
  <si>
    <t>9 176</t>
  </si>
  <si>
    <t>Georges Tigreat</t>
  </si>
  <si>
    <t>Laurence Claisse</t>
  </si>
  <si>
    <t>Lannilis</t>
  </si>
  <si>
    <t>5 320</t>
  </si>
  <si>
    <t>Claude Guiavarc'h</t>
  </si>
  <si>
    <t>Jean-François Tréguer</t>
  </si>
  <si>
    <t>Le Conquet</t>
  </si>
  <si>
    <t>2 688</t>
  </si>
  <si>
    <t>Xavier Jean</t>
  </si>
  <si>
    <t>Le Folgoët</t>
  </si>
  <si>
    <t>3 101</t>
  </si>
  <si>
    <t>Bernard Tanguy</t>
  </si>
  <si>
    <t>Le Relecq-Kerhuon</t>
  </si>
  <si>
    <t>10 849</t>
  </si>
  <si>
    <t>Yohann Nédélec</t>
  </si>
  <si>
    <t>Lesneven</t>
  </si>
  <si>
    <t>7 125</t>
  </si>
  <si>
    <t>Jean-Yves Le Goff</t>
  </si>
  <si>
    <t>Claudie Balcon</t>
  </si>
  <si>
    <t>Locmaria-Plouzané</t>
  </si>
  <si>
    <t>4 816</t>
  </si>
  <si>
    <t>Viviane Godebert</t>
  </si>
  <si>
    <t>Loctudy</t>
  </si>
  <si>
    <t>4 069</t>
  </si>
  <si>
    <t>Joël Piété</t>
  </si>
  <si>
    <t>Christine Zamuner</t>
  </si>
  <si>
    <t>Loperhet</t>
  </si>
  <si>
    <t>3 616</t>
  </si>
  <si>
    <t>François Collec</t>
  </si>
  <si>
    <t>Jean-Paul Morvan</t>
  </si>
  <si>
    <t>Melgven</t>
  </si>
  <si>
    <t>3 354</t>
  </si>
  <si>
    <t>Michelle Le Breton-Helwig</t>
  </si>
  <si>
    <t>Mellac</t>
  </si>
  <si>
    <t>2 696</t>
  </si>
  <si>
    <t>Bernard Pelleter</t>
  </si>
  <si>
    <t>Milizac</t>
  </si>
  <si>
    <t>3 148</t>
  </si>
  <si>
    <t>François Guiavarc'h</t>
  </si>
  <si>
    <t>Bernard Quillevere</t>
  </si>
  <si>
    <t>Moëlan-sur-Mer</t>
  </si>
  <si>
    <t>6 981</t>
  </si>
  <si>
    <t>Nicolas Morvan</t>
  </si>
  <si>
    <t>Marcel Le Pennec</t>
  </si>
  <si>
    <t>Morlaix</t>
  </si>
  <si>
    <t>15 549</t>
  </si>
  <si>
    <t>Agnès Le Brun</t>
  </si>
  <si>
    <t>Névez</t>
  </si>
  <si>
    <t>2 754</t>
  </si>
  <si>
    <t>Gérard Martin</t>
  </si>
  <si>
    <t>Albert Hervet</t>
  </si>
  <si>
    <t>Penmarch</t>
  </si>
  <si>
    <t>5 664</t>
  </si>
  <si>
    <t>Jacqueline Lazard</t>
  </si>
  <si>
    <t>Raynald Tanter</t>
  </si>
  <si>
    <t>Plabennec</t>
  </si>
  <si>
    <t>8 244</t>
  </si>
  <si>
    <t>Jean-Luc Bleunven</t>
  </si>
  <si>
    <t>Marie-Annick Creac'hcadec</t>
  </si>
  <si>
    <t>Pleuven</t>
  </si>
  <si>
    <t>2 630</t>
  </si>
  <si>
    <t>Jean Loaec</t>
  </si>
  <si>
    <t>Christian Rivière</t>
  </si>
  <si>
    <t>Pleyben</t>
  </si>
  <si>
    <t>3 687</t>
  </si>
  <si>
    <t>Annie Le Vaillant</t>
  </si>
  <si>
    <t>Pleyber-Christ</t>
  </si>
  <si>
    <t>3 085</t>
  </si>
  <si>
    <t>Thierry Piriou</t>
  </si>
  <si>
    <t>Plobannalec-Lesconil</t>
  </si>
  <si>
    <t>3 374</t>
  </si>
  <si>
    <t>Alain Lucas</t>
  </si>
  <si>
    <t>MoDem</t>
  </si>
  <si>
    <t>Frédéric Le Loc'h</t>
  </si>
  <si>
    <t>Plogonnec</t>
  </si>
  <si>
    <t>3 056</t>
  </si>
  <si>
    <t>Christian Kéribin</t>
  </si>
  <si>
    <t>Plomelin</t>
  </si>
  <si>
    <t>4 129</t>
  </si>
  <si>
    <t>Franck Pichon</t>
  </si>
  <si>
    <t>Jean-Paul Le Dantec</t>
  </si>
  <si>
    <t>Plomeur</t>
  </si>
  <si>
    <t>3 770</t>
  </si>
  <si>
    <t>Léa Laurent</t>
  </si>
  <si>
    <t>Ronan Credou</t>
  </si>
  <si>
    <t>Plonéour-Lanvern</t>
  </si>
  <si>
    <t>5 929</t>
  </si>
  <si>
    <t>Michel Canévet</t>
  </si>
  <si>
    <t>Plouarzel</t>
  </si>
  <si>
    <t>3 663</t>
  </si>
  <si>
    <t>André Talarmin</t>
  </si>
  <si>
    <t>Ploudalmézeau</t>
  </si>
  <si>
    <t>6 288</t>
  </si>
  <si>
    <t>Marguerite Lamour</t>
  </si>
  <si>
    <t>Ploudaniel</t>
  </si>
  <si>
    <t>3 670</t>
  </si>
  <si>
    <t>Joël Marchadour</t>
  </si>
  <si>
    <t>Plouédern</t>
  </si>
  <si>
    <t>2 783</t>
  </si>
  <si>
    <t>Jacques Refloch</t>
  </si>
  <si>
    <t>Bernard Goalec</t>
  </si>
  <si>
    <t>Plouescat</t>
  </si>
  <si>
    <t>Jean Le Duff</t>
  </si>
  <si>
    <t>Daniel Jacq</t>
  </si>
  <si>
    <t>Plougasnou</t>
  </si>
  <si>
    <t>3 159</t>
  </si>
  <si>
    <t>Yvon Tanguy</t>
  </si>
  <si>
    <t>Nathalie Bernard</t>
  </si>
  <si>
    <t>Plougastel-Daoulas</t>
  </si>
  <si>
    <t>13 264</t>
  </si>
  <si>
    <t>Dominique Cap</t>
  </si>
  <si>
    <t>Plougonvelin</t>
  </si>
  <si>
    <t>3 828</t>
  </si>
  <si>
    <t>Israël Bacor</t>
  </si>
  <si>
    <t>Bernard Gouerec</t>
  </si>
  <si>
    <t>Plougonven</t>
  </si>
  <si>
    <t>3 307</t>
  </si>
  <si>
    <t>André Prigent</t>
  </si>
  <si>
    <t>Yvon Le Cousse</t>
  </si>
  <si>
    <t>Plouguerneau</t>
  </si>
  <si>
    <t>6 373</t>
  </si>
  <si>
    <t>André Lesven</t>
  </si>
  <si>
    <t>Yannig Robin</t>
  </si>
  <si>
    <t>Plouhinec</t>
  </si>
  <si>
    <t>4 114</t>
  </si>
  <si>
    <t>Jean-Claude Hamon</t>
  </si>
  <si>
    <t>Bruno Le Port</t>
  </si>
  <si>
    <t>Plouigneau</t>
  </si>
  <si>
    <t>4 799</t>
  </si>
  <si>
    <t>Rollande Le Houerou</t>
  </si>
  <si>
    <t>Plourin-lès-Morlaix</t>
  </si>
  <si>
    <t>4 372</t>
  </si>
  <si>
    <t>Jacques Brigant</t>
  </si>
  <si>
    <t>Guy Pennec</t>
  </si>
  <si>
    <t>Plouvien</t>
  </si>
  <si>
    <t>Christian Calvez</t>
  </si>
  <si>
    <t>Plouvorn</t>
  </si>
  <si>
    <t>2 794</t>
  </si>
  <si>
    <t>Jean-Claude Marc</t>
  </si>
  <si>
    <t>François Palut</t>
  </si>
  <si>
    <t>Plouzané</t>
  </si>
  <si>
    <t>11 928</t>
  </si>
  <si>
    <t>Bernard Rioual</t>
  </si>
  <si>
    <t>Plozévet</t>
  </si>
  <si>
    <t>2 985</t>
  </si>
  <si>
    <t>Pierre Plouzennec</t>
  </si>
  <si>
    <t>Pluguffan</t>
  </si>
  <si>
    <t>Dominique Closier</t>
  </si>
  <si>
    <t>Alain Decourchelle</t>
  </si>
  <si>
    <t>Pont-Aven</t>
  </si>
  <si>
    <t>2 840</t>
  </si>
  <si>
    <t>Isabelle Biseau</t>
  </si>
  <si>
    <t>Jean-Marie Lebret</t>
  </si>
  <si>
    <t>Pont-de-Buis-lès-Quimerch</t>
  </si>
  <si>
    <t>3 887</t>
  </si>
  <si>
    <t>Roger Mellouët</t>
  </si>
  <si>
    <t>Pont-l'Abbé</t>
  </si>
  <si>
    <t>8 432</t>
  </si>
  <si>
    <t>Daniel Couïc</t>
  </si>
  <si>
    <t>Thierry Mavic</t>
  </si>
  <si>
    <t>Quimper</t>
  </si>
  <si>
    <t>63 235</t>
  </si>
  <si>
    <t>Bernard Poignant</t>
  </si>
  <si>
    <t>Ludovic Jolivet</t>
  </si>
  <si>
    <t>Quimperlé</t>
  </si>
  <si>
    <t>12 156</t>
  </si>
  <si>
    <t>Alain Pennec</t>
  </si>
  <si>
    <t>Michaël Quernez</t>
  </si>
  <si>
    <t>Rédené</t>
  </si>
  <si>
    <t>2 870</t>
  </si>
  <si>
    <t>Jean Lomenech</t>
  </si>
  <si>
    <t>Riec-sur-Bélon</t>
  </si>
  <si>
    <t>4 115</t>
  </si>
  <si>
    <t>Sébastien Miossec</t>
  </si>
  <si>
    <t>Roscoff</t>
  </si>
  <si>
    <t>3 594</t>
  </si>
  <si>
    <t>Joseph Séïté</t>
  </si>
  <si>
    <t>Rosporden</t>
  </si>
  <si>
    <t>7 334</t>
  </si>
  <si>
    <t>Gilbert Monfort</t>
  </si>
  <si>
    <t>Christine Le Tennier</t>
  </si>
  <si>
    <t>Saint-Évarzec</t>
  </si>
  <si>
    <t>3 539</t>
  </si>
  <si>
    <t>André Guillou</t>
  </si>
  <si>
    <t>Saint-Martin-des-Champs</t>
  </si>
  <si>
    <t>4 714</t>
  </si>
  <si>
    <t>René Fily</t>
  </si>
  <si>
    <t>François Hamon</t>
  </si>
  <si>
    <t>Saint-Pol-de-Léon</t>
  </si>
  <si>
    <t>6 804</t>
  </si>
  <si>
    <t>Nicolas Floc'h</t>
  </si>
  <si>
    <t>Saint-Renan</t>
  </si>
  <si>
    <t>7 612</t>
  </si>
  <si>
    <t>Bernard Foricher</t>
  </si>
  <si>
    <t>Gilles Mounier</t>
  </si>
  <si>
    <t>Saint-Thégonnec</t>
  </si>
  <si>
    <t>2 666</t>
  </si>
  <si>
    <t>Yvon Abiven</t>
  </si>
  <si>
    <t>Solange Creignou</t>
  </si>
  <si>
    <t>Saint-Yvi</t>
  </si>
  <si>
    <t>2 813</t>
  </si>
  <si>
    <t>Jacques François</t>
  </si>
  <si>
    <t>Scaër</t>
  </si>
  <si>
    <t>5 331</t>
  </si>
  <si>
    <t>Paulette Perez</t>
  </si>
  <si>
    <t>Taulé</t>
  </si>
  <si>
    <t>2 948</t>
  </si>
  <si>
    <t>Annie Hamon</t>
  </si>
  <si>
    <t>Trégunc</t>
  </si>
  <si>
    <t>6 905</t>
  </si>
  <si>
    <t>Jean-Claude Sacré</t>
  </si>
  <si>
    <t>Olivier Bellec</t>
  </si>
  <si>
    <t>Récompenses</t>
  </si>
  <si>
    <t>Artistes</t>
  </si>
  <si>
    <t>Détails</t>
  </si>
  <si>
    <t>Robbie Williams</t>
  </si>
  <si>
    <t>En solo (13) 
   - Meilleur artiste solo masculin britannique (4)[4],[5],[6],[7]
   - Meilleur single britannique (3)[4],[8],[5]
   - Meilleur vidéo britannique (3)[4],[8],[5]
   - Meilleure chanson des 25 ans (1)[9]
   - Icon Award (1)[10]
   - Contribution exceptionnelle à la musique (1)[11]
Avec le groupe Take That (5)
   - Meilleur single britannique (3)[12],[13],[14]
   - Meilleur groupe britannique (1)[15]
   - Meilleure vidéo britannique (1)[13]</t>
  </si>
  <si>
    <t>Adele</t>
  </si>
  <si>
    <t>- Meilleure artiste solo féminine britannique (2)[16],[17]
   - Meilleur album britannique (2)[16],[17]
   - Meilleur single britannique (2)[18],[17]
   - Meilleur succès global (2)[19],[20]
   - Choix des critiques (1)[21]</t>
  </si>
  <si>
    <t>Coldplay</t>
  </si>
  <si>
    <t>- Meilleur groupe britannique (4)[5],[7],[16],[17]
   - Meilleur album britannique (3)[5],[7],[22]
   - Meilleur single britannique (1)[22]
   - Meilleure performance live britannique (1)[18]</t>
  </si>
  <si>
    <t>Annie Lennox</t>
  </si>
  <si>
    <t>En solo (7) 
   - Meilleure artiste solo féminine britannique (6)[23],[24],[25],[26],[12]
   ,[14]
   - Meilleur album britannique (1)[12]
Avec le groupe Eurythmics (1)
   - Contribution exceptionnelle à la musique (1)[4]</t>
  </si>
  <si>
    <t>Harry Styles</t>
  </si>
  <si>
    <t>En solo (1) 
   - Meilleure vidéo britannique (1)[27]
Avec le groupe One Direction (7)
   - Meilleure vidéo britannique (4)[28],[29],[17],[30]
   - Meilleur succès global (2)[18],[28]
   - Meilleur single britannique (1)[16]</t>
  </si>
  <si>
    <t>Take That</t>
  </si>
  <si>
    <t>- Meilleur single britannique (5)[12],[13],[14],[31],[21]
   - Meilleur groupe britannique (1)[15]
   - Meilleure performance live britannique (1)[21]
   - Meilleure vidéo britannique (1)[13]</t>
  </si>
  <si>
    <t>Arctic Monkeys</t>
  </si>
  <si>
    <t>- Meilleur groupe britannique (3)[31],[21],[28]
   - Meilleur album britannique (3)[13],[21],[28]
   - Révélation britannique (1)[22]</t>
  </si>
  <si>
    <t>One Direction</t>
  </si>
  <si>
    <t>- Meilleure vidéo britannique (4)[28],[29],[17],[30]
   - Meilleur succès global (2)[18],[28]
   - Meilleur single britannique (1)[16]</t>
  </si>
  <si>
    <t>Paul McCartney</t>
  </si>
  <si>
    <t>En solo (3) 
   - Meilleur artiste solo masculin britannique (1)[32]
   - Contribution exceptionnelle à la musique (1)[21]
   - Trophée Sony de l'excellence technique (1)[32]
Avec les Beatles (4)
   - Contribution exceptionnelle à la musique (2)[33],[32]
   - Meilleur groupe britannique (1)[33]
   - Meilleur album britannique (1)[33]</t>
  </si>
  <si>
    <t>Damon Albarn</t>
  </si>
  <si>
    <t>Avec le groupe Blur (5) 
   - Meilleur album britannique (1)[34]
   - Meilleur groupe britannique (1)[34]
   - Meilleur single britannique (1)[34]
   - Meilleure vidéo britannique (1)[34]
   - Contribution exceptionnelle à la musique (1)[16]
Avec le groupe Gorillaz (1)
   - Meilleur groupe britannique (1) [27]</t>
  </si>
  <si>
    <t>David Bowie</t>
  </si>
  <si>
    <t>- Meilleur artiste solo masculin britannique (3)[23],[28],[30]
   - Meilleur album britannique (1)[30]
   - Contribution exceptionnelle à la musique (1)[14]
   - Icon Award (1)[35]</t>
  </si>
  <si>
    <t>Oasis</t>
  </si>
  <si>
    <t>- Meilleur album britannique (1)[14]
   - Meilleur album britannique des 30 dernières années (1)[11]
   - Révélation britannique (1)[34]
   - Meilleur groupe britannique (1)[14]
   - Meilleure vidéo britannique (1)[14]
   - Contribution exceptionnelle à la musique (1)[31]</t>
  </si>
  <si>
    <t>Ed Sheeran</t>
  </si>
  <si>
    <t>- Meilleur artiste solo masculin britannique (2)[16],[29]
   - Meilleur succès global (2)[27],[36]
   - Meilleur album britannique (1)[29]
   - Révélation britannique (1)[16]</t>
  </si>
  <si>
    <t>Blur</t>
  </si>
  <si>
    <t>- Meilleur album britannique (1)[34]
   - Meilleur groupe britannique (1)[34]
   - Meilleur single britannique (1)[34]
   - Meilleure vidéo britannique (1)[34]
   - Contribution exceptionnelle à la musique (1)[16]</t>
  </si>
  <si>
    <t>Phil Collins</t>
  </si>
  <si>
    <t>- Meilleur artiste solo masculin britannique (3)[24],[25],[26]
   - Meilleur album britannique (1)[24]
   - Meilleur single britannique (1)[26]</t>
  </si>
  <si>
    <t>Elton John</t>
  </si>
  <si>
    <t>- Contribution exceptionnelle à la musique (2)[24],[34]
   - Meilleur artiste solo masculin britannique (1)[37]
   - Icon Award (1)[38]
   - Freddie Mercury Award (1)[39]</t>
  </si>
  <si>
    <t>George Michael</t>
  </si>
  <si>
    <t>En solo (3) 
   - Meilleur artiste solo masculin britannique (2)[40],[41]
   - Meilleur album britannique (1)[37]
Avec le groupe Wham! (2)
   - Meilleur groupe britannique (1)[42]
   - Contribution exceptionnelle à la musique (1)[24]</t>
  </si>
  <si>
    <t>Spice Girls</t>
  </si>
  <si>
    <t>- Meilleur single britannique (1)[41]
   - Meilleure vidéo britannique (1)[41]
   - Contribution exceptionnelle à la musique (1)[8]
   - Album britannique le plus vendu (1)[39]
   - Meilleur prestation aux Brit Awards des 30 dernières années (1)[11]</t>
  </si>
  <si>
    <t>The Beatles</t>
  </si>
  <si>
    <t>- Contribution exceptionnelle à la musique (2)[33],[32]
   - Meilleur album britannique (1)[33]
   - Meilleur groupe britannique (1)[33]</t>
  </si>
  <si>
    <t>Dido</t>
  </si>
  <si>
    <t>- Meilleure artiste solo féminine britannique (2)[6],[43]
   - Meilleur album britannique (1)[6]
   - Meilleur single britannique (1)[43]</t>
  </si>
  <si>
    <t>Freddie Mercury</t>
  </si>
  <si>
    <t>En solo (1) 
   - Contribution exceptionnelle à la musique (1)[44]
Avec le groupe Queen (3)
   - Meilleur single britannique (2)[33],[44]
   - Contribution exceptionnelle à la musique (1)[26]</t>
  </si>
  <si>
    <t>Manic Street Preachers</t>
  </si>
  <si>
    <t>- Meilleur album britannique (2)[41],[4]
   - Meilleur groupe britannique (2)[41],[4]</t>
  </si>
  <si>
    <t>Emeli Sandé</t>
  </si>
  <si>
    <t>- Meilleure artiste solo féminine britannique (2)[18],[30]
   - Meilleur album britannique (1)[18]
   - Choix des critiques (1)[16]</t>
  </si>
  <si>
    <t>Dave Stewart</t>
  </si>
  <si>
    <t>En solo (3) 
   - Meilleur producteur britannique (3)[24],[45],[26]
Avec le groupe Eurythmics (1)
   - Contribution exceptionnelle à la musique (1)[4]</t>
  </si>
  <si>
    <t>Paul Weller</t>
  </si>
  <si>
    <t>- Meilleur artiste solo masculin britannique (3)[34],[14],[46]
   - Contribution exceptionnelle à la musique (1)[22]</t>
  </si>
  <si>
    <t>PD</t>
  </si>
  <si>
    <t>Saison</t>
  </si>
  <si>
    <t>Club</t>
  </si>
  <si>
    <t>Championnat</t>
  </si>
  <si>
    <t>Coupe(s) nationale(s)</t>
  </si>
  <si>
    <t>Compétition(s)
continentale(s)</t>
  </si>
  <si>
    <t>Total</t>
  </si>
  <si>
    <t>Division</t>
  </si>
  <si>
    <t>M</t>
  </si>
  <si>
    <t>B</t>
  </si>
  <si>
    <t>C</t>
  </si>
  <si>
    <t>*1993-1994*</t>
  </si>
  <si>
    <t>*Le Havre AC*</t>
  </si>
  <si>
    <t>Division 1</t>
  </si>
  <si>
    <t>-</t>
  </si>
  <si>
    <t>*-*</t>
  </si>
  <si>
    <t>*1994-1995*</t>
  </si>
  <si>
    <t>*1995-1996*</t>
  </si>
  <si>
    <t>*1996-1997*</t>
  </si>
  <si>
    <t>*1997-1998*</t>
  </si>
  <si>
    <t>Sous-total</t>
  </si>
  <si>
    <t>*1998-1999*</t>
  </si>
  <si>
    <t>*Olympique lyonnais*</t>
  </si>
  <si>
    <t>*C3*</t>
  </si>
  <si>
    <t>*1999-2000*</t>
  </si>
  <si>
    <t>*C1+C3*</t>
  </si>
  <si>
    <t>*2000-2001*</t>
  </si>
  <si>
    <t>*C1*</t>
  </si>
  <si>
    <t>*2001-2002*</t>
  </si>
  <si>
    <t>*Girondins de Bordeaux* *(prêt)*</t>
  </si>
  <si>
    <t>*2002-2003*</t>
  </si>
  <si>
    <t>Ligue 1</t>
  </si>
  <si>
    <t>*2003-2004*</t>
  </si>
  <si>
    <t>*2004-2005*</t>
  </si>
  <si>
    <t>*AC Milan*</t>
  </si>
  <si>
    <t>Série A</t>
  </si>
  <si>
    <t>*2005-2006*</t>
  </si>
  <si>
    <t>*Paris Saint-Germain*</t>
  </si>
  <si>
    <t>*2006-2007*</t>
  </si>
  <si>
    <t>*2007-2008*</t>
  </si>
  <si>
    <t>*AS Livourne Calcio*</t>
  </si>
  <si>
    <t>Total sur la carrière</t>
  </si>
  <si>
    <t>Region</t>
  </si>
  <si>
    <t>Certification</t>
  </si>
  <si>
    <t>Certified units/sales</t>
  </si>
  <si>
    <t>France (SNEP)[18]</t>
  </si>
  <si>
    <t>Platinum</t>
  </si>
  <si>
    <t>Germany (BVMI)[19]</t>
  </si>
  <si>
    <t>Gold</t>
  </si>
  <si>
    <t>Switzerland (IFPI Switzerland)[20]</t>
  </si>
  <si>
    <t>United States (RIAA)[21]</t>
  </si>
  <si>
    <t>7× Platinum</t>
  </si>
  <si>
    <t>◙</t>
  </si>
  <si>
    <t>2 966</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</si>
</sst>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color theme="1"/>
      <name val="Arial"/>
      <scheme val="minor"/>
    </font>
    <font>
      <sz val="11.0"/>
      <color theme="1"/>
      <name val="Arial"/>
      <scheme val="minor"/>
    </font>
    <font>
      <color rgb="FF000000"/>
      <name val="Arial"/>
    </font>
    <font>
      <sz val="36.0"/>
      <color theme="1"/>
      <name val="Arial"/>
      <scheme val="minor"/>
    </font>
    <font>
      <color theme="1"/>
      <name val="Arial"/>
    </font>
    <font>
      <b/>
      <color theme="1"/>
      <name val="Arial"/>
      <scheme val="minor"/>
    </font>
    <font>
      <color rgb="FF000000"/>
      <name val="Arial"/>
      <scheme val="minor"/>
    </font>
    <font>
      <color rgb="FFFF0000"/>
      <name val="Arial"/>
      <scheme val="minor"/>
    </font>
    <font>
      <color rgb="FFF9CB9C"/>
      <name val="Arial"/>
      <scheme val="minor"/>
    </font>
    <font>
      <sz val="18.0"/>
      <color rgb="FF000000"/>
      <name val="Arial"/>
      <scheme val="minor"/>
    </font>
  </fonts>
  <fills count="11">
    <fill>
      <patternFill patternType="none"/>
    </fill>
    <fill>
      <patternFill patternType="lightGray"/>
    </fill>
    <fill>
      <patternFill patternType="solid">
        <fgColor rgb="FFFFFFFF"/>
        <bgColor rgb="FFFFFFFF"/>
      </patternFill>
    </fill>
    <fill>
      <patternFill patternType="solid">
        <fgColor rgb="FFFFFF00"/>
        <bgColor rgb="FFFFFF00"/>
      </patternFill>
    </fill>
    <fill>
      <patternFill patternType="solid">
        <fgColor rgb="FF00FFFF"/>
        <bgColor rgb="FF00FFFF"/>
      </patternFill>
    </fill>
    <fill>
      <patternFill patternType="solid">
        <fgColor rgb="FFFFE599"/>
        <bgColor rgb="FFFFE599"/>
      </patternFill>
    </fill>
    <fill>
      <patternFill patternType="solid">
        <fgColor rgb="FFCFE2F3"/>
        <bgColor rgb="FFCFE2F3"/>
      </patternFill>
    </fill>
    <fill>
      <patternFill patternType="solid">
        <fgColor theme="0"/>
        <bgColor theme="0"/>
      </patternFill>
    </fill>
    <fill>
      <patternFill patternType="solid">
        <fgColor rgb="FFF6B26B"/>
        <bgColor rgb="FFF6B26B"/>
      </patternFill>
    </fill>
    <fill>
      <patternFill patternType="solid">
        <fgColor rgb="FFEFEFEF"/>
        <bgColor rgb="FFEFEFEF"/>
      </patternFill>
    </fill>
    <fill>
      <patternFill patternType="solid">
        <fgColor rgb="FF5B0F00"/>
        <bgColor rgb="FF5B0F00"/>
      </patternFill>
    </fill>
  </fills>
  <borders count="1">
    <border/>
  </borders>
  <cellStyleXfs count="1">
    <xf borderId="0" fillId="0" fontId="0" numFmtId="0" applyAlignment="1" applyFont="1"/>
  </cellStyleXfs>
  <cellXfs count="37">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1" numFmtId="4" xfId="0" applyFont="1" applyNumberFormat="1"/>
    <xf borderId="0" fillId="0" fontId="1" numFmtId="3" xfId="0" applyFont="1" applyNumberFormat="1"/>
    <xf borderId="0" fillId="0" fontId="1" numFmtId="0" xfId="0" applyAlignment="1" applyFont="1">
      <alignment readingOrder="0"/>
    </xf>
    <xf borderId="0" fillId="0" fontId="1" numFmtId="4" xfId="0" applyAlignment="1" applyFont="1" applyNumberFormat="1">
      <alignment readingOrder="0"/>
    </xf>
    <xf borderId="0" fillId="0" fontId="1" numFmtId="0" xfId="0" applyAlignment="1" applyFont="1">
      <alignment readingOrder="0" shrinkToFit="0" wrapText="1"/>
    </xf>
    <xf borderId="0" fillId="0" fontId="1" numFmtId="0" xfId="0" applyFont="1"/>
    <xf borderId="0" fillId="0" fontId="2" numFmtId="0" xfId="0" applyFont="1"/>
    <xf borderId="0" fillId="2" fontId="3" numFmtId="0" xfId="0" applyAlignment="1" applyFill="1" applyFont="1">
      <alignment horizontal="left" readingOrder="0"/>
    </xf>
    <xf borderId="0" fillId="3" fontId="1" numFmtId="0" xfId="0" applyFill="1" applyFont="1"/>
    <xf borderId="0" fillId="3" fontId="4" numFmtId="0" xfId="0" applyAlignment="1" applyFont="1">
      <alignment readingOrder="0"/>
    </xf>
    <xf borderId="0" fillId="3" fontId="1" numFmtId="0" xfId="0" applyAlignment="1" applyFont="1">
      <alignment readingOrder="0"/>
    </xf>
    <xf borderId="0" fillId="4" fontId="1" numFmtId="0" xfId="0" applyFill="1" applyFont="1"/>
    <xf borderId="0" fillId="2" fontId="1" numFmtId="0" xfId="0" applyAlignment="1" applyFont="1">
      <alignment readingOrder="0"/>
    </xf>
    <xf borderId="0" fillId="2" fontId="1" numFmtId="0" xfId="0" applyFont="1"/>
    <xf borderId="0" fillId="0" fontId="5" numFmtId="0" xfId="0" applyFont="1"/>
    <xf borderId="0" fillId="0" fontId="6" numFmtId="0" xfId="0" applyFont="1"/>
    <xf borderId="0" fillId="0" fontId="1" numFmtId="49" xfId="0" applyFont="1" applyNumberFormat="1"/>
    <xf borderId="0" fillId="0" fontId="7" numFmtId="0" xfId="0" applyFont="1"/>
    <xf borderId="0" fillId="0" fontId="5" numFmtId="0" xfId="0" applyAlignment="1" applyFont="1">
      <alignment horizontal="right" vertical="bottom"/>
    </xf>
    <xf borderId="0" fillId="0" fontId="7" numFmtId="0" xfId="0" applyAlignment="1" applyFont="1">
      <alignment readingOrder="0"/>
    </xf>
    <xf borderId="0" fillId="0" fontId="1" numFmtId="0" xfId="0" applyAlignment="1" applyFont="1">
      <alignment horizontal="center"/>
    </xf>
    <xf borderId="0" fillId="0" fontId="8" numFmtId="0" xfId="0" applyAlignment="1" applyFont="1">
      <alignment horizontal="center"/>
    </xf>
    <xf borderId="0" fillId="0" fontId="1" numFmtId="0" xfId="0" applyAlignment="1" applyFont="1">
      <alignment horizontal="center" readingOrder="0"/>
    </xf>
    <xf borderId="0" fillId="5" fontId="1" numFmtId="0" xfId="0" applyFill="1" applyFont="1"/>
    <xf borderId="0" fillId="5" fontId="1" numFmtId="20" xfId="0" applyFont="1" applyNumberFormat="1"/>
    <xf borderId="0" fillId="6" fontId="1" numFmtId="0" xfId="0" applyFill="1" applyFont="1"/>
    <xf borderId="0" fillId="6" fontId="1" numFmtId="3" xfId="0" applyAlignment="1" applyFont="1" applyNumberFormat="1">
      <alignment readingOrder="0"/>
    </xf>
    <xf borderId="0" fillId="5" fontId="9" numFmtId="0" xfId="0" applyFont="1"/>
    <xf borderId="0" fillId="2" fontId="9" numFmtId="0" xfId="0" applyFont="1"/>
    <xf borderId="0" fillId="7" fontId="9" numFmtId="0" xfId="0" applyFill="1" applyFont="1"/>
    <xf borderId="0" fillId="8" fontId="9" numFmtId="0" xfId="0" applyFill="1" applyFont="1"/>
    <xf borderId="0" fillId="9" fontId="9" numFmtId="0" xfId="0" applyFill="1" applyFont="1"/>
    <xf borderId="0" fillId="9" fontId="10" numFmtId="0" xfId="0" applyAlignment="1" applyFont="1">
      <alignment horizontal="center" readingOrder="0"/>
    </xf>
    <xf borderId="0" fillId="10" fontId="9" numFmtId="0" xfId="0"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33" Type="http://schemas.openxmlformats.org/officeDocument/2006/relationships/worksheet" Target="worksheets/sheet29.xml"/><Relationship Id="rId10" Type="http://schemas.openxmlformats.org/officeDocument/2006/relationships/worksheet" Target="worksheets/sheet6.xml"/><Relationship Id="rId32" Type="http://schemas.openxmlformats.org/officeDocument/2006/relationships/worksheet" Target="worksheets/sheet28.xml"/><Relationship Id="rId13" Type="http://schemas.openxmlformats.org/officeDocument/2006/relationships/worksheet" Target="worksheets/sheet9.xml"/><Relationship Id="rId35" Type="http://schemas.openxmlformats.org/officeDocument/2006/relationships/worksheet" Target="worksheets/sheet31.xml"/><Relationship Id="rId12" Type="http://schemas.openxmlformats.org/officeDocument/2006/relationships/worksheet" Target="worksheets/sheet8.xml"/><Relationship Id="rId34" Type="http://schemas.openxmlformats.org/officeDocument/2006/relationships/worksheet" Target="worksheets/sheet30.xml"/><Relationship Id="rId15" Type="http://schemas.openxmlformats.org/officeDocument/2006/relationships/worksheet" Target="worksheets/sheet11.xml"/><Relationship Id="rId14" Type="http://schemas.openxmlformats.org/officeDocument/2006/relationships/worksheet" Target="worksheets/sheet10.xml"/><Relationship Id="rId36" Type="http://schemas.openxmlformats.org/officeDocument/2006/relationships/worksheet" Target="worksheets/sheet32.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tr">
        <f>IFERROR(__xludf.DUMMYFUNCTION("importhtml(""http://fr.wikipedia.org/wiki/Presse_en_France"",""table"",2)"),"Titre")</f>
        <v>Titre</v>
      </c>
      <c r="B1" s="2" t="str">
        <f>IFERROR(__xludf.DUMMYFUNCTION("""COMPUTED_VALUE"""),"2011[38]")</f>
        <v>2011[38]</v>
      </c>
      <c r="C1" s="2" t="str">
        <f>IFERROR(__xludf.DUMMYFUNCTION("""COMPUTED_VALUE"""),"2012[39]")</f>
        <v>2012[39]</v>
      </c>
      <c r="D1" s="2">
        <f>IFERROR(__xludf.DUMMYFUNCTION("""COMPUTED_VALUE"""),2016.0)</f>
        <v>2016</v>
      </c>
      <c r="E1" s="2" t="str">
        <f>IFERROR(__xludf.DUMMYFUNCTION("""COMPUTED_VALUE"""),"2022[40]")</f>
        <v>2022[40]</v>
      </c>
    </row>
    <row r="2">
      <c r="A2" s="2" t="str">
        <f>IFERROR(__xludf.DUMMYFUNCTION("""COMPUTED_VALUE"""),"*Le Monde*")</f>
        <v>*Le Monde*</v>
      </c>
      <c r="B2" s="3" t="str">
        <f>IFERROR(__xludf.DUMMYFUNCTION("""COMPUTED_VALUE"""),"1,96")</f>
        <v>1,96</v>
      </c>
      <c r="C2" s="2" t="str">
        <f>IFERROR(__xludf.DUMMYFUNCTION("""COMPUTED_VALUE"""),"1,86")</f>
        <v>1,86</v>
      </c>
      <c r="D2" s="2" t="str">
        <f>IFERROR(__xludf.DUMMYFUNCTION("""COMPUTED_VALUE"""),"2,8")</f>
        <v>2,8</v>
      </c>
      <c r="E2" s="2" t="str">
        <f>IFERROR(__xludf.DUMMYFUNCTION("""COMPUTED_VALUE"""),"2,57")</f>
        <v>2,57</v>
      </c>
      <c r="F2" s="2" t="str">
        <f>B2&amp;" "&amp;C2</f>
        <v>1,96 1,86</v>
      </c>
    </row>
    <row r="3">
      <c r="A3" s="2" t="str">
        <f>IFERROR(__xludf.DUMMYFUNCTION("""COMPUTED_VALUE"""),"*Le Parisien*/*Aujourd'hui en France*")</f>
        <v>*Le Parisien*/*Aujourd'hui en France*</v>
      </c>
      <c r="B3" s="3" t="str">
        <f>IFERROR(__xludf.DUMMYFUNCTION("""COMPUTED_VALUE"""),"2,44")</f>
        <v>2,44</v>
      </c>
      <c r="C3" s="2" t="str">
        <f>IFERROR(__xludf.DUMMYFUNCTION("""COMPUTED_VALUE"""),"2,54")</f>
        <v>2,54</v>
      </c>
      <c r="D3" s="4">
        <f>IFERROR(__xludf.DUMMYFUNCTION("""COMPUTED_VALUE"""),2258.0)</f>
        <v>2258</v>
      </c>
      <c r="E3" s="2" t="str">
        <f>IFERROR(__xludf.DUMMYFUNCTION("""COMPUTED_VALUE"""),"2,34")</f>
        <v>2,34</v>
      </c>
    </row>
    <row r="4">
      <c r="A4" s="2" t="str">
        <f>IFERROR(__xludf.DUMMYFUNCTION("""COMPUTED_VALUE"""),"*L’Équipe*")</f>
        <v>*L’Équipe*</v>
      </c>
      <c r="B4" s="3" t="str">
        <f>IFERROR(__xludf.DUMMYFUNCTION("""COMPUTED_VALUE"""),"2,23")</f>
        <v>2,23</v>
      </c>
      <c r="C4" s="2" t="str">
        <f>IFERROR(__xludf.DUMMYFUNCTION("""COMPUTED_VALUE"""),"2,18")</f>
        <v>2,18</v>
      </c>
      <c r="D4" s="2" t="str">
        <f>IFERROR(__xludf.DUMMYFUNCTION("""COMPUTED_VALUE"""),"2,58")</f>
        <v>2,58</v>
      </c>
      <c r="E4" s="2" t="str">
        <f>IFERROR(__xludf.DUMMYFUNCTION("""COMPUTED_VALUE"""),"2,53")</f>
        <v>2,53</v>
      </c>
    </row>
    <row r="5">
      <c r="A5" s="2" t="str">
        <f>IFERROR(__xludf.DUMMYFUNCTION("""COMPUTED_VALUE"""),"*Le Figaro*")</f>
        <v>*Le Figaro*</v>
      </c>
      <c r="B5" s="3" t="str">
        <f>IFERROR(__xludf.DUMMYFUNCTION("""COMPUTED_VALUE"""),"1,19")</f>
        <v>1,19</v>
      </c>
      <c r="C5" s="2" t="str">
        <f>IFERROR(__xludf.DUMMYFUNCTION("""COMPUTED_VALUE"""),"1,23")</f>
        <v>1,23</v>
      </c>
      <c r="D5" s="4">
        <f>IFERROR(__xludf.DUMMYFUNCTION("""COMPUTED_VALUE"""),1972.0)</f>
        <v>1972</v>
      </c>
      <c r="E5" s="2" t="str">
        <f>IFERROR(__xludf.DUMMYFUNCTION("""COMPUTED_VALUE"""),"1,7")</f>
        <v>1,7</v>
      </c>
    </row>
    <row r="6">
      <c r="A6" s="2" t="str">
        <f>IFERROR(__xludf.DUMMYFUNCTION("""COMPUTED_VALUE"""),"*Libération*")</f>
        <v>*Libération*</v>
      </c>
      <c r="B6" s="3" t="str">
        <f>IFERROR(__xludf.DUMMYFUNCTION("""COMPUTED_VALUE"""),"0,96")</f>
        <v>0,96</v>
      </c>
      <c r="C6" s="2" t="str">
        <f>IFERROR(__xludf.DUMMYFUNCTION("""COMPUTED_VALUE"""),"0,86")</f>
        <v>0,86</v>
      </c>
      <c r="D6" s="2" t="str">
        <f>IFERROR(__xludf.DUMMYFUNCTION("""COMPUTED_VALUE"""),"1,3")</f>
        <v>1,3</v>
      </c>
      <c r="E6" s="2" t="str">
        <f>IFERROR(__xludf.DUMMYFUNCTION("""COMPUTED_VALUE"""),"0,95")</f>
        <v>0,95</v>
      </c>
    </row>
    <row r="7">
      <c r="A7" s="2" t="str">
        <f>IFERROR(__xludf.DUMMYFUNCTION("""COMPUTED_VALUE"""),"*Les Échos*")</f>
        <v>*Les Échos*</v>
      </c>
      <c r="B7" s="3" t="str">
        <f>IFERROR(__xludf.DUMMYFUNCTION("""COMPUTED_VALUE"""),"0,47")</f>
        <v>0,47</v>
      </c>
      <c r="C7" s="2" t="str">
        <f>IFERROR(__xludf.DUMMYFUNCTION("""COMPUTED_VALUE"""),"0,45")</f>
        <v>0,45</v>
      </c>
      <c r="D7" s="2" t="str">
        <f>IFERROR(__xludf.DUMMYFUNCTION("""COMPUTED_VALUE"""),"0,67")</f>
        <v>0,67</v>
      </c>
      <c r="E7" s="2" t="str">
        <f>IFERROR(__xludf.DUMMYFUNCTION("""COMPUTED_VALUE"""),"0,71")</f>
        <v>0,71</v>
      </c>
    </row>
    <row r="8">
      <c r="A8" s="2" t="str">
        <f>IFERROR(__xludf.DUMMYFUNCTION("""COMPUTED_VALUE"""),"*La Croix*")</f>
        <v>*La Croix*</v>
      </c>
      <c r="B8" s="3" t="str">
        <f>IFERROR(__xludf.DUMMYFUNCTION("""COMPUTED_VALUE"""),"0,40")</f>
        <v>0,40</v>
      </c>
      <c r="C8" s="2" t="str">
        <f>IFERROR(__xludf.DUMMYFUNCTION("""COMPUTED_VALUE"""),"0,37")</f>
        <v>0,37</v>
      </c>
      <c r="D8" s="2" t="str">
        <f>IFERROR(__xludf.DUMMYFUNCTION("""COMPUTED_VALUE"""),"0,61")</f>
        <v>0,61</v>
      </c>
      <c r="E8" s="2" t="str">
        <f>IFERROR(__xludf.DUMMYFUNCTION("""COMPUTED_VALUE"""),"0,56")</f>
        <v>0,56</v>
      </c>
    </row>
    <row r="9">
      <c r="A9" s="2" t="str">
        <f>IFERROR(__xludf.DUMMYFUNCTION("""COMPUTED_VALUE"""),"*L'Humanité*")</f>
        <v>*L'Humanité*</v>
      </c>
      <c r="B9" s="3" t="str">
        <f>IFERROR(__xludf.DUMMYFUNCTION("""COMPUTED_VALUE"""),"0,28")</f>
        <v>0,28</v>
      </c>
      <c r="C9" s="2" t="str">
        <f>IFERROR(__xludf.DUMMYFUNCTION("""COMPUTED_VALUE"""),"0,28")</f>
        <v>0,28</v>
      </c>
      <c r="D9" s="4">
        <f>IFERROR(__xludf.DUMMYFUNCTION("""COMPUTED_VALUE"""),398.0)</f>
        <v>398</v>
      </c>
      <c r="E9" s="2" t="str">
        <f>IFERROR(__xludf.DUMMYFUNCTION("""COMPUTED_VALUE"""),"-")</f>
        <v>-</v>
      </c>
    </row>
    <row r="10">
      <c r="A10" s="2" t="str">
        <f>IFERROR(__xludf.DUMMYFUNCTION("""COMPUTED_VALUE"""),"Ensemble PQN")</f>
        <v>Ensemble PQN</v>
      </c>
      <c r="B10" s="3" t="str">
        <f>IFERROR(__xludf.DUMMYFUNCTION("""COMPUTED_VALUE"""),"7,89")</f>
        <v>7,89</v>
      </c>
      <c r="C10" s="2" t="str">
        <f>IFERROR(__xludf.DUMMYFUNCTION("""COMPUTED_VALUE"""),"7,80")</f>
        <v>7,80</v>
      </c>
      <c r="D10" s="4">
        <f>IFERROR(__xludf.DUMMYFUNCTION("""COMPUTED_VALUE"""),8848.0)</f>
        <v>8848</v>
      </c>
      <c r="E10" s="4">
        <f>IFERROR(__xludf.DUMMYFUNCTION("""COMPUTED_VALUE"""),8076.0)</f>
        <v>8076</v>
      </c>
    </row>
    <row r="13">
      <c r="A13" s="5" t="s">
        <v>0</v>
      </c>
      <c r="B13" s="2" t="s">
        <v>1</v>
      </c>
      <c r="C13" s="2" t="s">
        <v>2</v>
      </c>
      <c r="D13" s="2">
        <v>2016.0</v>
      </c>
    </row>
    <row r="14">
      <c r="A14" s="2" t="s">
        <v>3</v>
      </c>
      <c r="B14" s="6">
        <v>1.96</v>
      </c>
      <c r="C14" s="1">
        <v>1.86</v>
      </c>
      <c r="D14" s="2" t="s">
        <v>4</v>
      </c>
    </row>
    <row r="15">
      <c r="A15" s="2" t="s">
        <v>5</v>
      </c>
      <c r="B15" s="6">
        <v>2.44</v>
      </c>
      <c r="C15" s="1">
        <v>2.54</v>
      </c>
      <c r="D15" s="2">
        <v>2258.0</v>
      </c>
    </row>
    <row r="16">
      <c r="A16" s="2" t="s">
        <v>6</v>
      </c>
      <c r="B16" s="6">
        <v>2.23</v>
      </c>
      <c r="C16" s="2" t="s">
        <v>7</v>
      </c>
      <c r="D16" s="2" t="s">
        <v>8</v>
      </c>
    </row>
    <row r="17">
      <c r="A17" s="2" t="s">
        <v>9</v>
      </c>
      <c r="B17" s="3" t="s">
        <v>10</v>
      </c>
      <c r="C17" s="2" t="s">
        <v>11</v>
      </c>
      <c r="D17" s="2">
        <v>1972.0</v>
      </c>
      <c r="F17" s="3" t="str">
        <f>SUBSTITUTE(B17,",",".")</f>
        <v>1.19</v>
      </c>
    </row>
    <row r="18">
      <c r="A18" s="2" t="s">
        <v>12</v>
      </c>
      <c r="B18" s="3" t="s">
        <v>13</v>
      </c>
      <c r="C18" s="2" t="s">
        <v>14</v>
      </c>
      <c r="D18" s="2" t="s">
        <v>15</v>
      </c>
    </row>
    <row r="19">
      <c r="A19" s="2" t="s">
        <v>16</v>
      </c>
      <c r="B19" s="3" t="s">
        <v>17</v>
      </c>
      <c r="C19" s="2" t="s">
        <v>18</v>
      </c>
      <c r="D19" s="2" t="s">
        <v>19</v>
      </c>
    </row>
    <row r="20">
      <c r="A20" s="2" t="s">
        <v>20</v>
      </c>
      <c r="B20" s="3" t="s">
        <v>21</v>
      </c>
      <c r="C20" s="2" t="s">
        <v>22</v>
      </c>
      <c r="D20" s="2" t="s">
        <v>23</v>
      </c>
    </row>
    <row r="21">
      <c r="A21" s="2" t="s">
        <v>24</v>
      </c>
      <c r="B21" s="3" t="s">
        <v>25</v>
      </c>
      <c r="C21" s="2" t="s">
        <v>25</v>
      </c>
      <c r="D21" s="2">
        <v>398.0</v>
      </c>
    </row>
    <row r="22">
      <c r="A22" s="2" t="s">
        <v>26</v>
      </c>
      <c r="B22" s="2" t="s">
        <v>27</v>
      </c>
      <c r="C22" s="2" t="s">
        <v>28</v>
      </c>
      <c r="D22" s="2">
        <v>8848.0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23.63"/>
    <col customWidth="1" min="8" max="8" width="27.38"/>
  </cols>
  <sheetData>
    <row r="1">
      <c r="A1" s="1" t="s">
        <v>29</v>
      </c>
      <c r="B1" s="1" t="s">
        <v>30</v>
      </c>
    </row>
    <row r="2">
      <c r="A2" s="1" t="s">
        <v>31</v>
      </c>
      <c r="B2" s="1">
        <v>1.0</v>
      </c>
      <c r="C2" s="2" t="str">
        <f t="shared" ref="C2:C6" si="1">B2&amp;"-"&amp;A2</f>
        <v>1-Janvier</v>
      </c>
    </row>
    <row r="3">
      <c r="A3" s="1" t="s">
        <v>32</v>
      </c>
      <c r="B3" s="1">
        <v>2.0</v>
      </c>
      <c r="C3" s="2" t="str">
        <f t="shared" si="1"/>
        <v>2-Février</v>
      </c>
    </row>
    <row r="4">
      <c r="A4" s="1" t="s">
        <v>33</v>
      </c>
      <c r="B4" s="1">
        <v>3.0</v>
      </c>
      <c r="C4" s="2" t="str">
        <f t="shared" si="1"/>
        <v>3-Mars</v>
      </c>
    </row>
    <row r="5">
      <c r="A5" s="1" t="s">
        <v>34</v>
      </c>
      <c r="B5" s="1">
        <v>4.0</v>
      </c>
      <c r="C5" s="2" t="str">
        <f t="shared" si="1"/>
        <v>4-Avril</v>
      </c>
      <c r="F5" s="2" t="str">
        <f>IFERROR(__xludf.DUMMYFUNCTION("IMPORTHTML(""https://fr.wikipedia.org/wiki/Liste_des_distinctions_de_Taylor_Swift"", ""table"", 11)"),"Année")</f>
        <v>Année</v>
      </c>
      <c r="G5" s="2" t="str">
        <f>IFERROR(__xludf.DUMMYFUNCTION("""COMPUTED_VALUE"""),"Travail nommé")</f>
        <v>Travail nommé</v>
      </c>
      <c r="H5" s="2" t="str">
        <f>IFERROR(__xludf.DUMMYFUNCTION("""COMPUTED_VALUE"""),"Catégorie")</f>
        <v>Catégorie</v>
      </c>
      <c r="I5" s="2" t="str">
        <f>IFERROR(__xludf.DUMMYFUNCTION("""COMPUTED_VALUE"""),"Résultat")</f>
        <v>Résultat</v>
      </c>
      <c r="J5" s="2" t="str">
        <f>IFERROR(__xludf.DUMMYFUNCTION("""COMPUTED_VALUE"""),"Réf.")</f>
        <v>Réf.</v>
      </c>
    </row>
    <row r="6">
      <c r="A6" s="1" t="s">
        <v>35</v>
      </c>
      <c r="B6" s="1">
        <v>5.0</v>
      </c>
      <c r="C6" s="2" t="str">
        <f t="shared" si="1"/>
        <v>5-Mai</v>
      </c>
      <c r="F6" s="1" t="str">
        <f>IFERROR(__xludf.DUMMYFUNCTION("""COMPUTED_VALUE"""),"2010 (en)")</f>
        <v>2010 (en)</v>
      </c>
      <c r="G6" s="2" t="str">
        <f>IFERROR(__xludf.DUMMYFUNCTION("""COMPUTED_VALUE"""),"Taylor Swift")</f>
        <v>Taylor Swift</v>
      </c>
      <c r="H6" s="2" t="str">
        <f>IFERROR(__xludf.DUMMYFUNCTION("""COMPUTED_VALUE"""),"Artiste international le plus populaire")</f>
        <v>Artiste international le plus populaire</v>
      </c>
      <c r="I6" s="2" t="str">
        <f>IFERROR(__xludf.DUMMYFUNCTION("""COMPUTED_VALUE"""),"Nomination")</f>
        <v>Nomination</v>
      </c>
      <c r="J6" s="2"/>
    </row>
    <row r="7">
      <c r="F7" s="2" t="str">
        <f>IFERROR(__xludf.DUMMYFUNCTION("""COMPUTED_VALUE"""),"2013 (en)")</f>
        <v>2013 (en)</v>
      </c>
      <c r="G7" s="1" t="str">
        <f>IFERROR(__xludf.DUMMYFUNCTION("""COMPUTED_VALUE"""),"* Red*")</f>
        <v>* Red*</v>
      </c>
      <c r="H7" s="2" t="str">
        <f>IFERROR(__xludf.DUMMYFUNCTION("""COMPUTED_VALUE"""),"Meilleur artiste international")</f>
        <v>Meilleur artiste international</v>
      </c>
      <c r="I7" s="2" t="str">
        <f>IFERROR(__xludf.DUMMYFUNCTION("""COMPUTED_VALUE"""),"Nomination")</f>
        <v>Nomination</v>
      </c>
      <c r="J7" s="2" t="str">
        <f>IFERROR(__xludf.DUMMYFUNCTION("""COMPUTED_VALUE"""),"[41]")</f>
        <v>[41]</v>
      </c>
    </row>
    <row r="8">
      <c r="F8" s="2" t="str">
        <f>IFERROR(__xludf.DUMMYFUNCTION("""COMPUTED_VALUE"""),"2015 (en)")</f>
        <v>2015 (en)</v>
      </c>
      <c r="G8" s="2" t="str">
        <f>IFERROR(__xludf.DUMMYFUNCTION("""COMPUTED_VALUE"""),"*1989*")</f>
        <v>*1989*</v>
      </c>
      <c r="H8" s="2"/>
      <c r="I8" s="2" t="str">
        <f>IFERROR(__xludf.DUMMYFUNCTION("""COMPUTED_VALUE"""),"Nomination")</f>
        <v>Nomination</v>
      </c>
      <c r="J8" s="2" t="str">
        <f>IFERROR(__xludf.DUMMYFUNCTION("""COMPUTED_VALUE"""),"[42]")</f>
        <v>[42]</v>
      </c>
    </row>
    <row r="9">
      <c r="F9" s="2" t="str">
        <f>IFERROR(__xludf.DUMMYFUNCTION("""COMPUTED_VALUE"""),"2016 (en)")</f>
        <v>2016 (en)</v>
      </c>
      <c r="G9" s="2"/>
      <c r="H9" s="2"/>
      <c r="I9" s="2" t="str">
        <f>IFERROR(__xludf.DUMMYFUNCTION("""COMPUTED_VALUE"""),"Nomination")</f>
        <v>Nomination</v>
      </c>
      <c r="J9" s="2" t="str">
        <f>IFERROR(__xludf.DUMMYFUNCTION("""COMPUTED_VALUE"""),"[43]")</f>
        <v>[43]</v>
      </c>
    </row>
    <row r="10">
      <c r="B10" s="1">
        <v>10.0</v>
      </c>
      <c r="C10" s="1">
        <v>1.0</v>
      </c>
      <c r="D10" s="2">
        <f t="shared" ref="D10:D13" si="2">B10+C10</f>
        <v>11</v>
      </c>
      <c r="F10" s="2" t="str">
        <f>IFERROR(__xludf.DUMMYFUNCTION("""COMPUTED_VALUE"""),"2018 (en)")</f>
        <v>2018 (en)</v>
      </c>
      <c r="G10" s="2" t="str">
        <f>IFERROR(__xludf.DUMMYFUNCTION("""COMPUTED_VALUE"""),"*Reputation*")</f>
        <v>*Reputation*</v>
      </c>
      <c r="H10" s="2"/>
      <c r="I10" s="2" t="str">
        <f>IFERROR(__xludf.DUMMYFUNCTION("""COMPUTED_VALUE"""),"Nomination")</f>
        <v>Nomination</v>
      </c>
      <c r="J10" s="2" t="str">
        <f>IFERROR(__xludf.DUMMYFUNCTION("""COMPUTED_VALUE"""),"[44]")</f>
        <v>[44]</v>
      </c>
    </row>
    <row r="11">
      <c r="B11" s="1">
        <v>20.0</v>
      </c>
      <c r="C11" s="1">
        <v>2.0</v>
      </c>
      <c r="D11" s="2">
        <f t="shared" si="2"/>
        <v>22</v>
      </c>
      <c r="F11" s="2" t="str">
        <f>IFERROR(__xludf.DUMMYFUNCTION("""COMPUTED_VALUE"""),"2019 (en)")</f>
        <v>2019 (en)</v>
      </c>
      <c r="G11" s="2" t="str">
        <f>IFERROR(__xludf.DUMMYFUNCTION("""COMPUTED_VALUE"""),"*Lover*")</f>
        <v>*Lover*</v>
      </c>
      <c r="H11" s="2"/>
      <c r="I11" s="2" t="str">
        <f>IFERROR(__xludf.DUMMYFUNCTION("""COMPUTED_VALUE"""),"Lauréat")</f>
        <v>Lauréat</v>
      </c>
      <c r="J11" s="2" t="str">
        <f>IFERROR(__xludf.DUMMYFUNCTION("""COMPUTED_VALUE"""),"[45]")</f>
        <v>[45]</v>
      </c>
    </row>
    <row r="12">
      <c r="B12" s="1">
        <v>30.0</v>
      </c>
      <c r="C12" s="1">
        <v>3.0</v>
      </c>
      <c r="D12" s="2">
        <f t="shared" si="2"/>
        <v>33</v>
      </c>
      <c r="F12" s="2" t="str">
        <f>IFERROR(__xludf.DUMMYFUNCTION("""COMPUTED_VALUE"""),"2020 (en)")</f>
        <v>2020 (en)</v>
      </c>
      <c r="G12" s="2" t="str">
        <f>IFERROR(__xludf.DUMMYFUNCTION("""COMPUTED_VALUE"""),"*folklore*")</f>
        <v>*folklore*</v>
      </c>
      <c r="H12" s="2"/>
      <c r="I12" s="2" t="str">
        <f>IFERROR(__xludf.DUMMYFUNCTION("""COMPUTED_VALUE"""),"Nomination")</f>
        <v>Nomination</v>
      </c>
      <c r="J12" s="2"/>
    </row>
    <row r="13">
      <c r="B13" s="1">
        <v>40.0</v>
      </c>
      <c r="C13" s="1">
        <v>4.0</v>
      </c>
      <c r="D13" s="2">
        <f t="shared" si="2"/>
        <v>44</v>
      </c>
    </row>
    <row r="17">
      <c r="E17" s="1" t="s">
        <v>36</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2" t="str">
        <f>IFERROR(__xludf.DUMMYFUNCTION("IMPORTHTML(""https://fr.wikipedia.org/wiki/Presse_en_France"",""table"")"),"Titre")</f>
        <v>Titre</v>
      </c>
      <c r="C1" s="2" t="str">
        <f>IFERROR(__xludf.DUMMYFUNCTION("""COMPUTED_VALUE"""),"Diffusion 2019[52]")</f>
        <v>Diffusion 2019[52]</v>
      </c>
      <c r="D1" s="2" t="str">
        <f>IFERROR(__xludf.DUMMYFUNCTION("""COMPUTED_VALUE"""),"Diffusion 2021[53]")</f>
        <v>Diffusion 2021[53]</v>
      </c>
      <c r="E1" s="2" t="str">
        <f>IFERROR(__xludf.DUMMYFUNCTION("""COMPUTED_VALUE"""),"Type")</f>
        <v>Type</v>
      </c>
    </row>
    <row r="2">
      <c r="B2" s="2" t="str">
        <f>IFERROR(__xludf.DUMMYFUNCTION("""COMPUTED_VALUE"""),"*Dossier Familial*")</f>
        <v>*Dossier Familial*</v>
      </c>
      <c r="C2" s="2" t="str">
        <f>IFERROR(__xludf.DUMMYFUNCTION("""COMPUTED_VALUE"""),"932 276")</f>
        <v>932 276</v>
      </c>
      <c r="D2" s="2" t="str">
        <f>IFERROR(__xludf.DUMMYFUNCTION("""COMPUTED_VALUE"""),"841 841")</f>
        <v>841 841</v>
      </c>
      <c r="E2" s="2" t="str">
        <f>IFERROR(__xludf.DUMMYFUNCTION("""COMPUTED_VALUE"""),"famille")</f>
        <v>famille</v>
      </c>
    </row>
    <row r="3">
      <c r="B3" s="2" t="str">
        <f>IFERROR(__xludf.DUMMYFUNCTION("""COMPUTED_VALUE"""),"*Notre Temps*")</f>
        <v>*Notre Temps*</v>
      </c>
      <c r="C3" s="2" t="str">
        <f>IFERROR(__xludf.DUMMYFUNCTION("""COMPUTED_VALUE"""),"725 404")</f>
        <v>725 404</v>
      </c>
      <c r="D3" s="2" t="str">
        <f>IFERROR(__xludf.DUMMYFUNCTION("""COMPUTED_VALUE"""),"651 848")</f>
        <v>651 848</v>
      </c>
      <c r="E3" s="2" t="str">
        <f>IFERROR(__xludf.DUMMYFUNCTION("""COMPUTED_VALUE"""),"senior")</f>
        <v>senior</v>
      </c>
    </row>
    <row r="4">
      <c r="B4" s="2" t="str">
        <f>IFERROR(__xludf.DUMMYFUNCTION("""COMPUTED_VALUE"""),"*Pleine Vie*")</f>
        <v>*Pleine Vie*</v>
      </c>
      <c r="C4" s="2" t="str">
        <f>IFERROR(__xludf.DUMMYFUNCTION("""COMPUTED_VALUE"""),"533 243")</f>
        <v>533 243</v>
      </c>
      <c r="D4" s="2" t="str">
        <f>IFERROR(__xludf.DUMMYFUNCTION("""COMPUTED_VALUE"""),"445 630")</f>
        <v>445 630</v>
      </c>
      <c r="E4" s="2" t="str">
        <f>IFERROR(__xludf.DUMMYFUNCTION("""COMPUTED_VALUE"""),"senior")</f>
        <v>senior</v>
      </c>
    </row>
    <row r="5">
      <c r="B5" s="2" t="str">
        <f>IFERROR(__xludf.DUMMYFUNCTION("""COMPUTED_VALUE"""),"*Avantages*")</f>
        <v>*Avantages*</v>
      </c>
      <c r="C5" s="2" t="str">
        <f>IFERROR(__xludf.DUMMYFUNCTION("""COMPUTED_VALUE"""),"352 372")</f>
        <v>352 372</v>
      </c>
      <c r="D5" s="2" t="str">
        <f>IFERROR(__xludf.DUMMYFUNCTION("""COMPUTED_VALUE"""),"367 760")</f>
        <v>367 760</v>
      </c>
      <c r="E5" s="2" t="str">
        <f>IFERROR(__xludf.DUMMYFUNCTION("""COMPUTED_VALUE"""),"famille")</f>
        <v>famille</v>
      </c>
    </row>
    <row r="6">
      <c r="B6" s="2" t="str">
        <f>IFERROR(__xludf.DUMMYFUNCTION("""COMPUTED_VALUE"""),"*Le Particulier*")</f>
        <v>*Le Particulier*</v>
      </c>
      <c r="C6" s="2" t="str">
        <f>IFERROR(__xludf.DUMMYFUNCTION("""COMPUTED_VALUE"""),"317 540")</f>
        <v>317 540</v>
      </c>
      <c r="D6" s="2" t="str">
        <f>IFERROR(__xludf.DUMMYFUNCTION("""COMPUTED_VALUE"""),"295 532")</f>
        <v>295 532</v>
      </c>
      <c r="E6" s="2" t="str">
        <f>IFERROR(__xludf.DUMMYFUNCTION("""COMPUTED_VALUE"""),"patrimoine")</f>
        <v>patrimoine</v>
      </c>
    </row>
    <row r="7">
      <c r="B7" s="2" t="str">
        <f>IFERROR(__xludf.DUMMYFUNCTION("""COMPUTED_VALUE"""),"*Santé Magazine*")</f>
        <v>*Santé Magazine*</v>
      </c>
      <c r="C7" s="2" t="str">
        <f>IFERROR(__xludf.DUMMYFUNCTION("""COMPUTED_VALUE"""),"316 356")</f>
        <v>316 356</v>
      </c>
      <c r="D7" s="2" t="str">
        <f>IFERROR(__xludf.DUMMYFUNCTION("""COMPUTED_VALUE"""),"272 976")</f>
        <v>272 976</v>
      </c>
      <c r="E7" s="2" t="str">
        <f>IFERROR(__xludf.DUMMYFUNCTION("""COMPUTED_VALUE"""),"santé")</f>
        <v>santé</v>
      </c>
    </row>
    <row r="8">
      <c r="B8" s="2" t="str">
        <f>IFERROR(__xludf.DUMMYFUNCTION("""COMPUTED_VALUE"""),"*Marie Claire*")</f>
        <v>*Marie Claire*</v>
      </c>
      <c r="C8" s="2" t="str">
        <f>IFERROR(__xludf.DUMMYFUNCTION("""COMPUTED_VALUE"""),"311 700")</f>
        <v>311 700</v>
      </c>
      <c r="D8" s="2" t="str">
        <f>IFERROR(__xludf.DUMMYFUNCTION("""COMPUTED_VALUE"""),"297 917")</f>
        <v>297 917</v>
      </c>
      <c r="E8" s="2" t="str">
        <f>IFERROR(__xludf.DUMMYFUNCTION("""COMPUTED_VALUE"""),"féminin")</f>
        <v>féminin</v>
      </c>
    </row>
    <row r="9">
      <c r="B9" s="2" t="str">
        <f>IFERROR(__xludf.DUMMYFUNCTION("""COMPUTED_VALUE"""),"*L'Ancien d'Algérie*")</f>
        <v>*L'Ancien d'Algérie*</v>
      </c>
      <c r="C9" s="2" t="str">
        <f>IFERROR(__xludf.DUMMYFUNCTION("""COMPUTED_VALUE"""),"287 294")</f>
        <v>287 294</v>
      </c>
      <c r="D9" s="2" t="str">
        <f>IFERROR(__xludf.DUMMYFUNCTION("""COMPUTED_VALUE"""),"262 107")</f>
        <v>262 107</v>
      </c>
      <c r="E9" s="2" t="str">
        <f>IFERROR(__xludf.DUMMYFUNCTION("""COMPUTED_VALUE"""),"militaire")</f>
        <v>militaire</v>
      </c>
    </row>
    <row r="10">
      <c r="B10" s="2" t="str">
        <f>IFERROR(__xludf.DUMMYFUNCTION("""COMPUTED_VALUE"""),"*Top Santé*")</f>
        <v>*Top Santé*</v>
      </c>
      <c r="C10" s="2" t="str">
        <f>IFERROR(__xludf.DUMMYFUNCTION("""COMPUTED_VALUE"""),"280 315")</f>
        <v>280 315</v>
      </c>
      <c r="D10" s="2" t="str">
        <f>IFERROR(__xludf.DUMMYFUNCTION("""COMPUTED_VALUE"""),"202 217")</f>
        <v>202 217</v>
      </c>
      <c r="E10" s="2" t="str">
        <f>IFERROR(__xludf.DUMMYFUNCTION("""COMPUTED_VALUE"""),"santé")</f>
        <v>santé</v>
      </c>
    </row>
    <row r="11">
      <c r="B11" s="2" t="str">
        <f>IFERROR(__xludf.DUMMYFUNCTION("""COMPUTED_VALUE"""),"*Modes &amp; Travaux*")</f>
        <v>*Modes &amp; Travaux*</v>
      </c>
      <c r="C11" s="2" t="str">
        <f>IFERROR(__xludf.DUMMYFUNCTION("""COMPUTED_VALUE"""),"249 428")</f>
        <v>249 428</v>
      </c>
      <c r="D11" s="2" t="str">
        <f>IFERROR(__xludf.DUMMYFUNCTION("""COMPUTED_VALUE"""),"220 922")</f>
        <v>220 922</v>
      </c>
      <c r="E11" s="2" t="str">
        <f>IFERROR(__xludf.DUMMYFUNCTION("""COMPUTED_VALUE"""),"féminin")</f>
        <v>féminin</v>
      </c>
    </row>
    <row r="12">
      <c r="B12" s="2" t="str">
        <f>IFERROR(__xludf.DUMMYFUNCTION("""COMPUTED_VALUE"""),"*Cosmopolitan*")</f>
        <v>*Cosmopolitan*</v>
      </c>
      <c r="C12" s="2" t="str">
        <f>IFERROR(__xludf.DUMMYFUNCTION("""COMPUTED_VALUE"""),"247 027")</f>
        <v>247 027</v>
      </c>
      <c r="D12" s="2" t="str">
        <f>IFERROR(__xludf.DUMMYFUNCTION("""COMPUTED_VALUE"""),"203 643")</f>
        <v>203 643</v>
      </c>
      <c r="E12" s="2" t="str">
        <f>IFERROR(__xludf.DUMMYFUNCTION("""COMPUTED_VALUE"""),"féminin")</f>
        <v>féminin</v>
      </c>
    </row>
    <row r="13">
      <c r="B13" s="2" t="str">
        <f>IFERROR(__xludf.DUMMYFUNCTION("""COMPUTED_VALUE"""),"*Prima*")</f>
        <v>*Prima*</v>
      </c>
      <c r="C13" s="2" t="str">
        <f>IFERROR(__xludf.DUMMYFUNCTION("""COMPUTED_VALUE"""),"237 063")</f>
        <v>237 063</v>
      </c>
      <c r="D13" s="2" t="str">
        <f>IFERROR(__xludf.DUMMYFUNCTION("""COMPUTED_VALUE"""),"239 003")</f>
        <v>239 003</v>
      </c>
      <c r="E13" s="2" t="str">
        <f>IFERROR(__xludf.DUMMYFUNCTION("""COMPUTED_VALUE"""),"féminin")</f>
        <v>féminin</v>
      </c>
    </row>
    <row r="14">
      <c r="B14" s="2" t="str">
        <f>IFERROR(__xludf.DUMMYFUNCTION("""COMPUTED_VALUE"""),"*Sciences et Avenir*")</f>
        <v>*Sciences et Avenir*</v>
      </c>
      <c r="C14" s="2" t="str">
        <f>IFERROR(__xludf.DUMMYFUNCTION("""COMPUTED_VALUE"""),"224 655")</f>
        <v>224 655</v>
      </c>
      <c r="D14" s="2" t="str">
        <f>IFERROR(__xludf.DUMMYFUNCTION("""COMPUTED_VALUE"""),"206 784")</f>
        <v>206 784</v>
      </c>
      <c r="E14" s="2" t="str">
        <f>IFERROR(__xludf.DUMMYFUNCTION("""COMPUTED_VALUE"""),"sciences")</f>
        <v>sciences</v>
      </c>
    </row>
    <row r="15">
      <c r="B15" s="2" t="str">
        <f>IFERROR(__xludf.DUMMYFUNCTION("""COMPUTED_VALUE"""),"*Le Chasseur Français*")</f>
        <v>*Le Chasseur Français*</v>
      </c>
      <c r="C15" s="2" t="str">
        <f>IFERROR(__xludf.DUMMYFUNCTION("""COMPUTED_VALUE"""),"213 406")</f>
        <v>213 406</v>
      </c>
      <c r="D15" s="2" t="str">
        <f>IFERROR(__xludf.DUMMYFUNCTION("""COMPUTED_VALUE"""),"201 849")</f>
        <v>201 849</v>
      </c>
      <c r="E15" s="2" t="str">
        <f>IFERROR(__xludf.DUMMYFUNCTION("""COMPUTED_VALUE"""),"chasse")</f>
        <v>chasse</v>
      </c>
    </row>
    <row r="16">
      <c r="B16" s="2" t="str">
        <f>IFERROR(__xludf.DUMMYFUNCTION("""COMPUTED_VALUE"""),"*Psychologies Magazine*")</f>
        <v>*Psychologies Magazine*</v>
      </c>
      <c r="C16" s="2" t="str">
        <f>IFERROR(__xludf.DUMMYFUNCTION("""COMPUTED_VALUE"""),"202 089")</f>
        <v>202 089</v>
      </c>
      <c r="D16" s="2" t="str">
        <f>IFERROR(__xludf.DUMMYFUNCTION("""COMPUTED_VALUE"""),"160 804")</f>
        <v>160 804</v>
      </c>
      <c r="E16" s="2" t="str">
        <f>IFERROR(__xludf.DUMMYFUNCTION("""COMPUTED_VALUE"""),"santé")</f>
        <v>santé</v>
      </c>
    </row>
    <row r="17">
      <c r="B17" s="2" t="str">
        <f>IFERROR(__xludf.DUMMYFUNCTION("""COMPUTED_VALUE"""),"*Biba*")</f>
        <v>*Biba*</v>
      </c>
      <c r="C17" s="2" t="str">
        <f>IFERROR(__xludf.DUMMYFUNCTION("""COMPUTED_VALUE"""),"190 305")</f>
        <v>190 305</v>
      </c>
      <c r="D17" s="2" t="str">
        <f>IFERROR(__xludf.DUMMYFUNCTION("""COMPUTED_VALUE"""),"138 718")</f>
        <v>138 718</v>
      </c>
      <c r="E17" s="2" t="str">
        <f>IFERROR(__xludf.DUMMYFUNCTION("""COMPUTED_VALUE"""),"féminin")</f>
        <v>féminin</v>
      </c>
    </row>
    <row r="18">
      <c r="B18" s="2" t="str">
        <f>IFERROR(__xludf.DUMMYFUNCTION("""COMPUTED_VALUE"""),"*Science et Vie*")</f>
        <v>*Science et Vie*</v>
      </c>
      <c r="C18" s="2" t="str">
        <f>IFERROR(__xludf.DUMMYFUNCTION("""COMPUTED_VALUE"""),"188 004")</f>
        <v>188 004</v>
      </c>
      <c r="D18" s="2" t="str">
        <f>IFERROR(__xludf.DUMMYFUNCTION("""COMPUTED_VALUE"""),"163 345")</f>
        <v>163 345</v>
      </c>
      <c r="E18" s="2" t="str">
        <f>IFERROR(__xludf.DUMMYFUNCTION("""COMPUTED_VALUE"""),"sciences")</f>
        <v>sciences</v>
      </c>
    </row>
    <row r="19">
      <c r="B19" s="2" t="str">
        <f>IFERROR(__xludf.DUMMYFUNCTION("""COMPUTED_VALUE"""),"*Ça m'intéresse*")</f>
        <v>*Ça m'intéresse*</v>
      </c>
      <c r="C19" s="2" t="str">
        <f>IFERROR(__xludf.DUMMYFUNCTION("""COMPUTED_VALUE"""),"185 957")</f>
        <v>185 957</v>
      </c>
      <c r="D19" s="2" t="str">
        <f>IFERROR(__xludf.DUMMYFUNCTION("""COMPUTED_VALUE"""),"176 024")</f>
        <v>176 024</v>
      </c>
      <c r="E19" s="2" t="str">
        <f>IFERROR(__xludf.DUMMYFUNCTION("""COMPUTED_VALUE"""),"sciences")</f>
        <v>sciences</v>
      </c>
    </row>
    <row r="20">
      <c r="B20" s="2" t="str">
        <f>IFERROR(__xludf.DUMMYFUNCTION("""COMPUTED_VALUE"""),"*Capital*")</f>
        <v>*Capital*</v>
      </c>
      <c r="C20" s="2" t="str">
        <f>IFERROR(__xludf.DUMMYFUNCTION("""COMPUTED_VALUE"""),"157 213")</f>
        <v>157 213</v>
      </c>
      <c r="D20" s="2" t="str">
        <f>IFERROR(__xludf.DUMMYFUNCTION("""COMPUTED_VALUE"""),"122 717")</f>
        <v>122 717</v>
      </c>
      <c r="E20" s="2" t="str">
        <f>IFERROR(__xludf.DUMMYFUNCTION("""COMPUTED_VALUE"""),"économique")</f>
        <v>économique</v>
      </c>
    </row>
    <row r="21">
      <c r="B21" s="2" t="str">
        <f>IFERROR(__xludf.DUMMYFUNCTION("""COMPUTED_VALUE"""),"*J'aime Lire*")</f>
        <v>*J'aime Lire*</v>
      </c>
      <c r="C21" s="2" t="str">
        <f>IFERROR(__xludf.DUMMYFUNCTION("""COMPUTED_VALUE"""),"154 825")</f>
        <v>154 825</v>
      </c>
      <c r="D21" s="2" t="str">
        <f>IFERROR(__xludf.DUMMYFUNCTION("""COMPUTED_VALUE"""),"176 614")</f>
        <v>176 614</v>
      </c>
      <c r="E21" s="2" t="str">
        <f>IFERROR(__xludf.DUMMYFUNCTION("""COMPUTED_VALUE"""),"jeunesse")</f>
        <v>jeunesse</v>
      </c>
    </row>
    <row r="22">
      <c r="B22" s="2" t="str">
        <f>IFERROR(__xludf.DUMMYFUNCTION("""COMPUTED_VALUE"""),"*La Voix du Combattant*")</f>
        <v>*La Voix du Combattant*</v>
      </c>
      <c r="C22" s="2" t="str">
        <f>IFERROR(__xludf.DUMMYFUNCTION("""COMPUTED_VALUE"""),"149 148")</f>
        <v>149 148</v>
      </c>
      <c r="D22" s="2" t="str">
        <f>IFERROR(__xludf.DUMMYFUNCTION("""COMPUTED_VALUE"""),"132 740")</f>
        <v>132 740</v>
      </c>
      <c r="E22" s="2" t="str">
        <f>IFERROR(__xludf.DUMMYFUNCTION("""COMPUTED_VALUE"""),"militaire")</f>
        <v>militaire</v>
      </c>
    </row>
    <row r="23">
      <c r="B23" s="2" t="str">
        <f>IFERROR(__xludf.DUMMYFUNCTION("""COMPUTED_VALUE"""),"*Géo*")</f>
        <v>*Géo*</v>
      </c>
      <c r="C23" s="2" t="str">
        <f>IFERROR(__xludf.DUMMYFUNCTION("""COMPUTED_VALUE"""),"146 895")</f>
        <v>146 895</v>
      </c>
      <c r="D23" s="2" t="str">
        <f>IFERROR(__xludf.DUMMYFUNCTION("""COMPUTED_VALUE"""),"125 578")</f>
        <v>125 578</v>
      </c>
      <c r="E23" s="2" t="str">
        <f>IFERROR(__xludf.DUMMYFUNCTION("""COMPUTED_VALUE"""),"voyages")</f>
        <v>voyages</v>
      </c>
    </row>
    <row r="24">
      <c r="B24" s="2" t="str">
        <f>IFERROR(__xludf.DUMMYFUNCTION("""COMPUTED_VALUE"""),"*Le Monde diplomatique*")</f>
        <v>*Le Monde diplomatique*</v>
      </c>
      <c r="C24" s="2" t="str">
        <f>IFERROR(__xludf.DUMMYFUNCTION("""COMPUTED_VALUE"""),"143 872")</f>
        <v>143 872</v>
      </c>
      <c r="D24" s="2" t="str">
        <f>IFERROR(__xludf.DUMMYFUNCTION("""COMPUTED_VALUE"""),"153 157")</f>
        <v>153 157</v>
      </c>
      <c r="E24" s="2" t="str">
        <f>IFERROR(__xludf.DUMMYFUNCTION("""COMPUTED_VALUE"""),"actualités")</f>
        <v>actualités</v>
      </c>
    </row>
    <row r="25">
      <c r="B25" s="2" t="str">
        <f>IFERROR(__xludf.DUMMYFUNCTION("""COMPUTED_VALUE"""),"*Auto Moto*")</f>
        <v>*Auto Moto*</v>
      </c>
      <c r="C25" s="2" t="str">
        <f>IFERROR(__xludf.DUMMYFUNCTION("""COMPUTED_VALUE"""),"127 316")</f>
        <v>127 316</v>
      </c>
      <c r="D25" s="2" t="str">
        <f>IFERROR(__xludf.DUMMYFUNCTION("""COMPUTED_VALUE"""),"104 976")</f>
        <v>104 976</v>
      </c>
      <c r="E25" s="2" t="str">
        <f>IFERROR(__xludf.DUMMYFUNCTION("""COMPUTED_VALUE"""),"automobile")</f>
        <v>automobile</v>
      </c>
    </row>
    <row r="26">
      <c r="B26" s="2" t="str">
        <f>IFERROR(__xludf.DUMMYFUNCTION("""COMPUTED_VALUE"""),"*Mieux vivre votre argent*")</f>
        <v>*Mieux vivre votre argent*</v>
      </c>
      <c r="C26" s="2" t="str">
        <f>IFERROR(__xludf.DUMMYFUNCTION("""COMPUTED_VALUE"""),"123 038")</f>
        <v>123 038</v>
      </c>
      <c r="D26" s="2" t="str">
        <f>IFERROR(__xludf.DUMMYFUNCTION("""COMPUTED_VALUE"""),"128 073")</f>
        <v>128 073</v>
      </c>
      <c r="E26" s="2" t="str">
        <f>IFERROR(__xludf.DUMMYFUNCTION("""COMPUTED_VALUE"""),"patrimoine")</f>
        <v>patrimoine</v>
      </c>
    </row>
    <row r="27">
      <c r="B27" s="2" t="str">
        <f>IFERROR(__xludf.DUMMYFUNCTION("""COMPUTED_VALUE"""),"*Science et Vie junior*")</f>
        <v>*Science et Vie junior*</v>
      </c>
      <c r="C27" s="2" t="str">
        <f>IFERROR(__xludf.DUMMYFUNCTION("""COMPUTED_VALUE"""),"121 782")</f>
        <v>121 782</v>
      </c>
      <c r="D27" s="2" t="str">
        <f>IFERROR(__xludf.DUMMYFUNCTION("""COMPUTED_VALUE"""),"110 541")</f>
        <v>110 541</v>
      </c>
      <c r="E27" s="2" t="str">
        <f>IFERROR(__xludf.DUMMYFUNCTION("""COMPUTED_VALUE"""),"jeunesse")</f>
        <v>jeunesse</v>
      </c>
    </row>
    <row r="28">
      <c r="B28" s="2" t="str">
        <f>IFERROR(__xludf.DUMMYFUNCTION("""COMPUTED_VALUE"""),"*Femme Actuelle Senior*")</f>
        <v>*Femme Actuelle Senior*</v>
      </c>
      <c r="C28" s="2" t="str">
        <f>IFERROR(__xludf.DUMMYFUNCTION("""COMPUTED_VALUE"""),"116 368")</f>
        <v>116 368</v>
      </c>
      <c r="D28" s="2" t="str">
        <f>IFERROR(__xludf.DUMMYFUNCTION("""COMPUTED_VALUE"""),"98 555")</f>
        <v>98 555</v>
      </c>
      <c r="E28" s="2" t="str">
        <f>IFERROR(__xludf.DUMMYFUNCTION("""COMPUTED_VALUE"""),"senior")</f>
        <v>senior</v>
      </c>
    </row>
    <row r="29">
      <c r="B29" s="2" t="str">
        <f>IFERROR(__xludf.DUMMYFUNCTION("""COMPUTED_VALUE"""),"*Parents*")</f>
        <v>*Parents*</v>
      </c>
      <c r="C29" s="2" t="str">
        <f>IFERROR(__xludf.DUMMYFUNCTION("""COMPUTED_VALUE"""),"113 616")</f>
        <v>113 616</v>
      </c>
      <c r="D29" s="2" t="str">
        <f>IFERROR(__xludf.DUMMYFUNCTION("""COMPUTED_VALUE"""),"72 926")</f>
        <v>72 926</v>
      </c>
      <c r="E29" s="2" t="str">
        <f>IFERROR(__xludf.DUMMYFUNCTION("""COMPUTED_VALUE"""),"famille")</f>
        <v>famille</v>
      </c>
    </row>
    <row r="30">
      <c r="B30" s="2" t="str">
        <f>IFERROR(__xludf.DUMMYFUNCTION("""COMPUTED_VALUE"""),"*Le Journal de la Maison*")</f>
        <v>*Le Journal de la Maison*</v>
      </c>
      <c r="C30" s="2" t="str">
        <f>IFERROR(__xludf.DUMMYFUNCTION("""COMPUTED_VALUE"""),"111 343")</f>
        <v>111 343</v>
      </c>
      <c r="D30" s="2" t="str">
        <f>IFERROR(__xludf.DUMMYFUNCTION("""COMPUTED_VALUE"""),"99 069")</f>
        <v>99 069</v>
      </c>
      <c r="E30" s="2" t="str">
        <f>IFERROR(__xludf.DUMMYFUNCTION("""COMPUTED_VALUE"""),"bricolage")</f>
        <v>bricolage</v>
      </c>
    </row>
    <row r="31">
      <c r="B31" s="2" t="str">
        <f>IFERROR(__xludf.DUMMYFUNCTION("""COMPUTED_VALUE"""),"*Maxi Cuisine*")</f>
        <v>*Maxi Cuisine*</v>
      </c>
      <c r="C31" s="2" t="str">
        <f>IFERROR(__xludf.DUMMYFUNCTION("""COMPUTED_VALUE"""),"109 764")</f>
        <v>109 764</v>
      </c>
      <c r="D31" s="2" t="str">
        <f>IFERROR(__xludf.DUMMYFUNCTION("""COMPUTED_VALUE"""),"103 433")</f>
        <v>103 433</v>
      </c>
      <c r="E31" s="2" t="str">
        <f>IFERROR(__xludf.DUMMYFUNCTION("""COMPUTED_VALUE"""),"cuisine")</f>
        <v>cuisine</v>
      </c>
    </row>
    <row r="32">
      <c r="B32" s="2" t="str">
        <f>IFERROR(__xludf.DUMMYFUNCTION("""COMPUTED_VALUE"""),"*Télé 7 Jeux*")</f>
        <v>*Télé 7 Jeux*</v>
      </c>
      <c r="C32" s="2" t="str">
        <f>IFERROR(__xludf.DUMMYFUNCTION("""COMPUTED_VALUE"""),"104 488")</f>
        <v>104 488</v>
      </c>
      <c r="D32" s="2" t="str">
        <f>IFERROR(__xludf.DUMMYFUNCTION("""COMPUTED_VALUE"""),"96 511")</f>
        <v>96 511</v>
      </c>
      <c r="E32" s="2" t="str">
        <f>IFERROR(__xludf.DUMMYFUNCTION("""COMPUTED_VALUE"""),"jeux")</f>
        <v>jeux</v>
      </c>
    </row>
    <row r="33">
      <c r="B33" s="2" t="str">
        <f>IFERROR(__xludf.DUMMYFUNCTION("""COMPUTED_VALUE"""),"*Mon Jardin &amp; ma Maison*")</f>
        <v>*Mon Jardin &amp; ma Maison*</v>
      </c>
      <c r="C33" s="2" t="str">
        <f>IFERROR(__xludf.DUMMYFUNCTION("""COMPUTED_VALUE"""),"100 486")</f>
        <v>100 486</v>
      </c>
      <c r="D33" s="2" t="str">
        <f>IFERROR(__xludf.DUMMYFUNCTION("""COMPUTED_VALUE"""),"91 307")</f>
        <v>91 307</v>
      </c>
      <c r="E33" s="2" t="str">
        <f>IFERROR(__xludf.DUMMYFUNCTION("""COMPUTED_VALUE"""),"jardinage")</f>
        <v>jardinage</v>
      </c>
    </row>
    <row r="34">
      <c r="B34" s="2" t="str">
        <f>IFERROR(__xludf.DUMMYFUNCTION("""COMPUTED_VALUE"""),"*Marie France*")</f>
        <v>*Marie France*</v>
      </c>
      <c r="C34" s="2" t="str">
        <f>IFERROR(__xludf.DUMMYFUNCTION("""COMPUTED_VALUE"""),"100 164")</f>
        <v>100 164</v>
      </c>
      <c r="D34" s="2" t="str">
        <f>IFERROR(__xludf.DUMMYFUNCTION("""COMPUTED_VALUE"""),"82 315")</f>
        <v>82 315</v>
      </c>
      <c r="E34" s="2" t="str">
        <f>IFERROR(__xludf.DUMMYFUNCTION("""COMPUTED_VALUE"""),"féminin")</f>
        <v>féminin</v>
      </c>
    </row>
    <row r="35">
      <c r="B35" s="2" t="str">
        <f>IFERROR(__xludf.DUMMYFUNCTION("""COMPUTED_VALUE"""),"*Pomme d'Api*")</f>
        <v>*Pomme d'Api*</v>
      </c>
      <c r="C35" s="2" t="str">
        <f>IFERROR(__xludf.DUMMYFUNCTION("""COMPUTED_VALUE"""),"94 854")</f>
        <v>94 854</v>
      </c>
      <c r="D35" s="2" t="str">
        <f>IFERROR(__xludf.DUMMYFUNCTION("""COMPUTED_VALUE"""),"101 556")</f>
        <v>101 556</v>
      </c>
      <c r="E35" s="2" t="str">
        <f>IFERROR(__xludf.DUMMYFUNCTION("""COMPUTED_VALUE"""),"jeunesse")</f>
        <v>jeunesse</v>
      </c>
    </row>
    <row r="36">
      <c r="B36" s="2" t="str">
        <f>IFERROR(__xludf.DUMMYFUNCTION("""COMPUTED_VALUE"""),"*Femme Actuelle Jeux*")</f>
        <v>*Femme Actuelle Jeux*</v>
      </c>
      <c r="C36" s="2" t="str">
        <f>IFERROR(__xludf.DUMMYFUNCTION("""COMPUTED_VALUE"""),"94 850")</f>
        <v>94 850</v>
      </c>
      <c r="D36" s="2" t="str">
        <f>IFERROR(__xludf.DUMMYFUNCTION("""COMPUTED_VALUE"""),"71 064")</f>
        <v>71 064</v>
      </c>
      <c r="E36" s="2" t="str">
        <f>IFERROR(__xludf.DUMMYFUNCTION("""COMPUTED_VALUE"""),"jeux")</f>
        <v>jeux</v>
      </c>
    </row>
    <row r="37">
      <c r="B37" s="2" t="str">
        <f>IFERROR(__xludf.DUMMYFUNCTION("""COMPUTED_VALUE"""),"*Cuisine Actuelle*")</f>
        <v>*Cuisine Actuelle*</v>
      </c>
      <c r="C37" s="2" t="str">
        <f>IFERROR(__xludf.DUMMYFUNCTION("""COMPUTED_VALUE"""),"94 524")</f>
        <v>94 524</v>
      </c>
      <c r="D37" s="2" t="str">
        <f>IFERROR(__xludf.DUMMYFUNCTION("""COMPUTED_VALUE"""),"99 299")</f>
        <v>99 299</v>
      </c>
      <c r="E37" s="2" t="str">
        <f>IFERROR(__xludf.DUMMYFUNCTION("""COMPUTED_VALUE"""),"cuisine")</f>
        <v>cuisine</v>
      </c>
    </row>
    <row r="38">
      <c r="B38" s="2" t="str">
        <f>IFERROR(__xludf.DUMMYFUNCTION("""COMPUTED_VALUE"""),"*Système D*")</f>
        <v>*Système D*</v>
      </c>
      <c r="C38" s="2" t="str">
        <f>IFERROR(__xludf.DUMMYFUNCTION("""COMPUTED_VALUE"""),"92 994")</f>
        <v>92 994</v>
      </c>
      <c r="D38" s="2" t="str">
        <f>IFERROR(__xludf.DUMMYFUNCTION("""COMPUTED_VALUE"""),"81 436")</f>
        <v>81 436</v>
      </c>
      <c r="E38" s="2" t="str">
        <f>IFERROR(__xludf.DUMMYFUNCTION("""COMPUTED_VALUE"""),"bricolage")</f>
        <v>bricolage</v>
      </c>
    </row>
    <row r="39">
      <c r="B39" s="2" t="str">
        <f>IFERROR(__xludf.DUMMYFUNCTION("""COMPUTED_VALUE"""),"*L'Automobile Magazine*")</f>
        <v>*L'Automobile Magazine*</v>
      </c>
      <c r="C39" s="2" t="str">
        <f>IFERROR(__xludf.DUMMYFUNCTION("""COMPUTED_VALUE"""),"91 035")</f>
        <v>91 035</v>
      </c>
      <c r="D39" s="2" t="str">
        <f>IFERROR(__xludf.DUMMYFUNCTION("""COMPUTED_VALUE"""),"72 558")</f>
        <v>72 558</v>
      </c>
      <c r="E39" s="2" t="str">
        <f>IFERROR(__xludf.DUMMYFUNCTION("""COMPUTED_VALUE"""),"automobile")</f>
        <v>automobile</v>
      </c>
    </row>
    <row r="40">
      <c r="B40" s="2" t="str">
        <f>IFERROR(__xludf.DUMMYFUNCTION("""COMPUTED_VALUE"""),"*Vogue*")</f>
        <v>*Vogue*</v>
      </c>
      <c r="C40" s="2" t="str">
        <f>IFERROR(__xludf.DUMMYFUNCTION("""COMPUTED_VALUE"""),"88 668")</f>
        <v>88 668</v>
      </c>
      <c r="D40" s="2" t="str">
        <f>IFERROR(__xludf.DUMMYFUNCTION("""COMPUTED_VALUE"""),"81 636")</f>
        <v>81 636</v>
      </c>
      <c r="E40" s="2" t="str">
        <f>IFERROR(__xludf.DUMMYFUNCTION("""COMPUTED_VALUE"""),"féminin")</f>
        <v>féminin</v>
      </c>
    </row>
    <row r="41">
      <c r="B41" s="2" t="str">
        <f>IFERROR(__xludf.DUMMYFUNCTION("""COMPUTED_VALUE"""),"*Picsou Magazine*")</f>
        <v>*Picsou Magazine*</v>
      </c>
      <c r="C41" s="2" t="str">
        <f>IFERROR(__xludf.DUMMYFUNCTION("""COMPUTED_VALUE"""),"83 193")</f>
        <v>83 193</v>
      </c>
      <c r="D41" s="2" t="str">
        <f>IFERROR(__xludf.DUMMYFUNCTION("""COMPUTED_VALUE"""),"96 360")</f>
        <v>96 360</v>
      </c>
      <c r="E41" s="2" t="str">
        <f>IFERROR(__xludf.DUMMYFUNCTION("""COMPUTED_VALUE"""),"jeunesse")</f>
        <v>jeunesse</v>
      </c>
    </row>
    <row r="42">
      <c r="B42" s="2" t="str">
        <f>IFERROR(__xludf.DUMMYFUNCTION("""COMPUTED_VALUE"""),"*L'Ami des jardins et de la maison*")</f>
        <v>*L'Ami des jardins et de la maison*</v>
      </c>
      <c r="C42" s="2" t="str">
        <f>IFERROR(__xludf.DUMMYFUNCTION("""COMPUTED_VALUE"""),"81 536")</f>
        <v>81 536</v>
      </c>
      <c r="D42" s="2" t="str">
        <f>IFERROR(__xludf.DUMMYFUNCTION("""COMPUTED_VALUE"""),"82 303")</f>
        <v>82 303</v>
      </c>
      <c r="E42" s="2" t="str">
        <f>IFERROR(__xludf.DUMMYFUNCTION("""COMPUTED_VALUE"""),"jardinage")</f>
        <v>jardinage</v>
      </c>
    </row>
    <row r="43">
      <c r="B43" s="2" t="str">
        <f>IFERROR(__xludf.DUMMYFUNCTION("""COMPUTED_VALUE"""),"*Marie Claire Maison*")</f>
        <v>*Marie Claire Maison*</v>
      </c>
      <c r="C43" s="2" t="str">
        <f>IFERROR(__xludf.DUMMYFUNCTION("""COMPUTED_VALUE"""),"80 790")</f>
        <v>80 790</v>
      </c>
      <c r="D43" s="2" t="str">
        <f>IFERROR(__xludf.DUMMYFUNCTION("""COMPUTED_VALUE"""),"84 593")</f>
        <v>84 593</v>
      </c>
      <c r="E43" s="2" t="str">
        <f>IFERROR(__xludf.DUMMYFUNCTION("""COMPUTED_VALUE"""),"bricolage")</f>
        <v>bricolage</v>
      </c>
    </row>
    <row r="44">
      <c r="B44" s="2" t="str">
        <f>IFERROR(__xludf.DUMMYFUNCTION("""COMPUTED_VALUE"""),"*Alternatives économiques*")</f>
        <v>*Alternatives économiques*</v>
      </c>
      <c r="C44" s="2" t="str">
        <f>IFERROR(__xludf.DUMMYFUNCTION("""COMPUTED_VALUE"""),"72 342")</f>
        <v>72 342</v>
      </c>
      <c r="D44" s="2" t="str">
        <f>IFERROR(__xludf.DUMMYFUNCTION("""COMPUTED_VALUE"""),"63 344")</f>
        <v>63 344</v>
      </c>
      <c r="E44" s="2" t="str">
        <f>IFERROR(__xludf.DUMMYFUNCTION("""COMPUTED_VALUE"""),"économique")</f>
        <v>économique</v>
      </c>
    </row>
    <row r="45">
      <c r="B45" s="2" t="str">
        <f>IFERROR(__xludf.DUMMYFUNCTION("""COMPUTED_VALUE"""),"*Mickey Junior*")</f>
        <v>*Mickey Junior*</v>
      </c>
      <c r="C45" s="2" t="str">
        <f>IFERROR(__xludf.DUMMYFUNCTION("""COMPUTED_VALUE"""),"67 567")</f>
        <v>67 567</v>
      </c>
      <c r="D45" s="2"/>
      <c r="E45" s="2" t="str">
        <f>IFERROR(__xludf.DUMMYFUNCTION("""COMPUTED_VALUE"""),"jeunesse")</f>
        <v>jeunesse</v>
      </c>
    </row>
    <row r="46">
      <c r="B46" s="2" t="str">
        <f>IFERROR(__xludf.DUMMYFUNCTION("""COMPUTED_VALUE"""),"*Première*")</f>
        <v>*Première*</v>
      </c>
      <c r="C46" s="2" t="str">
        <f>IFERROR(__xludf.DUMMYFUNCTION("""COMPUTED_VALUE"""),"65 200")</f>
        <v>65 200</v>
      </c>
      <c r="D46" s="2" t="str">
        <f>IFERROR(__xludf.DUMMYFUNCTION("""COMPUTED_VALUE"""),"55 503")</f>
        <v>55 503</v>
      </c>
      <c r="E46" s="2" t="str">
        <f>IFERROR(__xludf.DUMMYFUNCTION("""COMPUTED_VALUE"""),"cinéma")</f>
        <v>cinéma</v>
      </c>
    </row>
    <row r="47">
      <c r="B47" s="2" t="str">
        <f>IFERROR(__xludf.DUMMYFUNCTION("""COMPUTED_VALUE"""),"*Beaux-Arts Magazine*")</f>
        <v>*Beaux-Arts Magazine*</v>
      </c>
      <c r="C47" s="2" t="str">
        <f>IFERROR(__xludf.DUMMYFUNCTION("""COMPUTED_VALUE"""),"62 507")</f>
        <v>62 507</v>
      </c>
      <c r="D47" s="2" t="str">
        <f>IFERROR(__xludf.DUMMYFUNCTION("""COMPUTED_VALUE"""),"64 029")</f>
        <v>64 029</v>
      </c>
      <c r="E47" s="2" t="str">
        <f>IFERROR(__xludf.DUMMYFUNCTION("""COMPUTED_VALUE"""),"arts")</f>
        <v>arts</v>
      </c>
    </row>
    <row r="48">
      <c r="B48" s="2" t="str">
        <f>IFERROR(__xludf.DUMMYFUNCTION("""COMPUTED_VALUE"""),"*Vanity Fair*")</f>
        <v>*Vanity Fair*</v>
      </c>
      <c r="C48" s="2" t="str">
        <f>IFERROR(__xludf.DUMMYFUNCTION("""COMPUTED_VALUE"""),"61 739")</f>
        <v>61 739</v>
      </c>
      <c r="D48" s="2" t="str">
        <f>IFERROR(__xludf.DUMMYFUNCTION("""COMPUTED_VALUE"""),"48 676")</f>
        <v>48 676</v>
      </c>
      <c r="E48" s="2" t="str">
        <f>IFERROR(__xludf.DUMMYFUNCTION("""COMPUTED_VALUE"""),"mode")</f>
        <v>mode</v>
      </c>
    </row>
    <row r="49">
      <c r="B49" s="2" t="str">
        <f>IFERROR(__xludf.DUMMYFUNCTION("""COMPUTED_VALUE"""),"*Epsiloon*")</f>
        <v>*Epsiloon*</v>
      </c>
      <c r="C49" s="2" t="str">
        <f>IFERROR(__xludf.DUMMYFUNCTION("""COMPUTED_VALUE"""),"*inexistant*")</f>
        <v>*inexistant*</v>
      </c>
      <c r="D49" s="2" t="str">
        <f>IFERROR(__xludf.DUMMYFUNCTION("""COMPUTED_VALUE"""),"59 520")</f>
        <v>59 520</v>
      </c>
      <c r="E49" s="2" t="str">
        <f>IFERROR(__xludf.DUMMYFUNCTION("""COMPUTED_VALUE"""),"science")</f>
        <v>science</v>
      </c>
    </row>
    <row r="50">
      <c r="B50" s="2" t="str">
        <f>IFERROR(__xludf.DUMMYFUNCTION("""COMPUTED_VALUE"""),"*Popi*")</f>
        <v>*Popi*</v>
      </c>
      <c r="C50" s="2" t="str">
        <f>IFERROR(__xludf.DUMMYFUNCTION("""COMPUTED_VALUE"""),"57 219")</f>
        <v>57 219</v>
      </c>
      <c r="D50" s="2" t="str">
        <f>IFERROR(__xludf.DUMMYFUNCTION("""COMPUTED_VALUE"""),"64 029")</f>
        <v>64 029</v>
      </c>
      <c r="E50" s="2" t="str">
        <f>IFERROR(__xludf.DUMMYFUNCTION("""COMPUTED_VALUE"""),"jeunesse")</f>
        <v>jeunesse</v>
      </c>
    </row>
    <row r="51">
      <c r="B51" s="2" t="str">
        <f>IFERROR(__xludf.DUMMYFUNCTION("""COMPUTED_VALUE"""),"*Les Belles Histoires*")</f>
        <v>*Les Belles Histoires*</v>
      </c>
      <c r="C51" s="2" t="str">
        <f>IFERROR(__xludf.DUMMYFUNCTION("""COMPUTED_VALUE"""),"57 012")</f>
        <v>57 012</v>
      </c>
      <c r="D51" s="2"/>
      <c r="E51" s="2" t="str">
        <f>IFERROR(__xludf.DUMMYFUNCTION("""COMPUTED_VALUE"""),"jeunesse")</f>
        <v>jeunesse</v>
      </c>
    </row>
    <row r="52">
      <c r="B52" s="2" t="str">
        <f>IFERROR(__xludf.DUMMYFUNCTION("""COMPUTED_VALUE"""),"*Historia*")</f>
        <v>*Historia*</v>
      </c>
      <c r="C52" s="2" t="str">
        <f>IFERROR(__xludf.DUMMYFUNCTION("""COMPUTED_VALUE"""),"55 947")</f>
        <v>55 947</v>
      </c>
      <c r="D52" s="2" t="str">
        <f>IFERROR(__xludf.DUMMYFUNCTION("""COMPUTED_VALUE"""),"60 720")</f>
        <v>60 720</v>
      </c>
      <c r="E52" s="2" t="str">
        <f>IFERROR(__xludf.DUMMYFUNCTION("""COMPUTED_VALUE"""),"histoire")</f>
        <v>histoire</v>
      </c>
    </row>
    <row r="53">
      <c r="B53" s="2" t="str">
        <f>IFERROR(__xludf.DUMMYFUNCTION("""COMPUTED_VALUE"""),"*Youpi*")</f>
        <v>*Youpi*</v>
      </c>
      <c r="C53" s="2" t="str">
        <f>IFERROR(__xludf.DUMMYFUNCTION("""COMPUTED_VALUE"""),"55 734")</f>
        <v>55 734</v>
      </c>
      <c r="D53" s="2"/>
      <c r="E53" s="2" t="str">
        <f>IFERROR(__xludf.DUMMYFUNCTION("""COMPUTED_VALUE"""),"jeunesse")</f>
        <v>jeunesse</v>
      </c>
    </row>
    <row r="54">
      <c r="B54" s="2" t="str">
        <f>IFERROR(__xludf.DUMMYFUNCTION("""COMPUTED_VALUE"""),"*30 Millions d'Amis*")</f>
        <v>*30 Millions d'Amis*</v>
      </c>
      <c r="C54" s="2" t="str">
        <f>IFERROR(__xludf.DUMMYFUNCTION("""COMPUTED_VALUE"""),"55 521")</f>
        <v>55 521</v>
      </c>
      <c r="D54" s="2" t="str">
        <f>IFERROR(__xludf.DUMMYFUNCTION("""COMPUTED_VALUE"""),"49 193")</f>
        <v>49 193</v>
      </c>
      <c r="E54" s="2" t="str">
        <f>IFERROR(__xludf.DUMMYFUNCTION("""COMPUTED_VALUE"""),"animaux")</f>
        <v>animaux</v>
      </c>
    </row>
    <row r="55">
      <c r="B55" s="2" t="str">
        <f>IFERROR(__xludf.DUMMYFUNCTION("""COMPUTED_VALUE"""),"*L'Université Syndicaliste*")</f>
        <v>*L'Université Syndicaliste*</v>
      </c>
      <c r="C55" s="2" t="str">
        <f>IFERROR(__xludf.DUMMYFUNCTION("""COMPUTED_VALUE"""),"54 477")</f>
        <v>54 477</v>
      </c>
      <c r="D55" s="2" t="str">
        <f>IFERROR(__xludf.DUMMYFUNCTION("""COMPUTED_VALUE"""),"51 635")</f>
        <v>51 635</v>
      </c>
      <c r="E55" s="2" t="str">
        <f>IFERROR(__xludf.DUMMYFUNCTION("""COMPUTED_VALUE"""),"syndicat")</f>
        <v>syndicat</v>
      </c>
    </row>
    <row r="56">
      <c r="B56" s="2" t="str">
        <f>IFERROR(__xludf.DUMMYFUNCTION("""COMPUTED_VALUE"""),"*Abricot*")</f>
        <v>*Abricot*</v>
      </c>
      <c r="C56" s="2" t="str">
        <f>IFERROR(__xludf.DUMMYFUNCTION("""COMPUTED_VALUE"""),"54 303")</f>
        <v>54 303</v>
      </c>
      <c r="D56" s="2" t="str">
        <f>IFERROR(__xludf.DUMMYFUNCTION("""COMPUTED_VALUE"""),"64 010")</f>
        <v>64 010</v>
      </c>
      <c r="E56" s="2" t="str">
        <f>IFERROR(__xludf.DUMMYFUNCTION("""COMPUTED_VALUE"""),"jeunesse")</f>
        <v>jeunesse</v>
      </c>
    </row>
    <row r="57">
      <c r="B57" s="2" t="str">
        <f>IFERROR(__xludf.DUMMYFUNCTION("""COMPUTED_VALUE"""),"*Wapiti*")</f>
        <v>*Wapiti*</v>
      </c>
      <c r="C57" s="2" t="str">
        <f>IFERROR(__xludf.DUMMYFUNCTION("""COMPUTED_VALUE"""),"53 240")</f>
        <v>53 240</v>
      </c>
      <c r="D57" s="2" t="str">
        <f>IFERROR(__xludf.DUMMYFUNCTION("""COMPUTED_VALUE"""),"59 822")</f>
        <v>59 822</v>
      </c>
      <c r="E57" s="2" t="str">
        <f>IFERROR(__xludf.DUMMYFUNCTION("""COMPUTED_VALUE"""),"jeunesse")</f>
        <v>jeunesse</v>
      </c>
    </row>
    <row r="58">
      <c r="B58" s="2" t="str">
        <f>IFERROR(__xludf.DUMMYFUNCTION("""COMPUTED_VALUE"""),"Images Doc")</f>
        <v>Images Doc</v>
      </c>
      <c r="C58" s="2" t="str">
        <f>IFERROR(__xludf.DUMMYFUNCTION("""COMPUTED_VALUE"""),"53 186")</f>
        <v>53 186</v>
      </c>
      <c r="D58" s="2" t="str">
        <f>IFERROR(__xludf.DUMMYFUNCTION("""COMPUTED_VALUE"""),"56 325")</f>
        <v>56 325</v>
      </c>
      <c r="E58" s="2" t="str">
        <f>IFERROR(__xludf.DUMMYFUNCTION("""COMPUTED_VALUE"""),"jeunesse")</f>
        <v>jeunesse</v>
      </c>
    </row>
    <row r="59">
      <c r="B59" s="2" t="str">
        <f>IFERROR(__xludf.DUMMYFUNCTION("""COMPUTED_VALUE"""),"Moto Magazine")</f>
        <v>Moto Magazine</v>
      </c>
      <c r="C59" s="2" t="str">
        <f>IFERROR(__xludf.DUMMYFUNCTION("""COMPUTED_VALUE"""),"52 619")</f>
        <v>52 619</v>
      </c>
      <c r="D59" s="2" t="str">
        <f>IFERROR(__xludf.DUMMYFUNCTION("""COMPUTED_VALUE"""),"46 711")</f>
        <v>46 711</v>
      </c>
      <c r="E59" s="2" t="str">
        <f>IFERROR(__xludf.DUMMYFUNCTION("""COMPUTED_VALUE"""),"motocyclisme")</f>
        <v>motocyclisme</v>
      </c>
    </row>
    <row r="60">
      <c r="B60" s="2" t="str">
        <f>IFERROR(__xludf.DUMMYFUNCTION("""COMPUTED_VALUE"""),"*GQ*")</f>
        <v>*GQ*</v>
      </c>
      <c r="C60" s="2" t="str">
        <f>IFERROR(__xludf.DUMMYFUNCTION("""COMPUTED_VALUE"""),"52 410")</f>
        <v>52 410</v>
      </c>
      <c r="D60" s="2"/>
      <c r="E60" s="2" t="str">
        <f>IFERROR(__xludf.DUMMYFUNCTION("""COMPUTED_VALUE"""),"masculin")</f>
        <v>masculin</v>
      </c>
    </row>
    <row r="61">
      <c r="B61" s="2" t="str">
        <f>IFERROR(__xludf.DUMMYFUNCTION("""COMPUTED_VALUE"""),"*Sélection Reader's Digest*")</f>
        <v>*Sélection Reader's Digest*</v>
      </c>
      <c r="C61" s="2" t="str">
        <f>IFERROR(__xludf.DUMMYFUNCTION("""COMPUTED_VALUE"""),"50 453")</f>
        <v>50 453</v>
      </c>
      <c r="D61" s="2"/>
      <c r="E61" s="2" t="str">
        <f>IFERROR(__xludf.DUMMYFUNCTION("""COMPUTED_VALUE"""),"généraliste")</f>
        <v>généraliste</v>
      </c>
    </row>
    <row r="62">
      <c r="B62" s="2" t="str">
        <f>IFERROR(__xludf.DUMMYFUNCTION("""COMPUTED_VALUE"""),"Saveurs Magazine")</f>
        <v>Saveurs Magazine</v>
      </c>
      <c r="C62" s="2" t="str">
        <f>IFERROR(__xludf.DUMMYFUNCTION("""COMPUTED_VALUE"""),"49 647")</f>
        <v>49 647</v>
      </c>
      <c r="D62" s="2"/>
      <c r="E62" s="2" t="str">
        <f>IFERROR(__xludf.DUMMYFUNCTION("""COMPUTED_VALUE"""),"cuisine")</f>
        <v>cuisine</v>
      </c>
    </row>
    <row r="63">
      <c r="B63" s="2" t="str">
        <f>IFERROR(__xludf.DUMMYFUNCTION("""COMPUTED_VALUE"""),"*Midi Olympique Magazine*")</f>
        <v>*Midi Olympique Magazine*</v>
      </c>
      <c r="C63" s="2" t="str">
        <f>IFERROR(__xludf.DUMMYFUNCTION("""COMPUTED_VALUE"""),"49 097")</f>
        <v>49 097</v>
      </c>
      <c r="D63" s="2"/>
      <c r="E63" s="2" t="str">
        <f>IFERROR(__xludf.DUMMYFUNCTION("""COMPUTED_VALUE"""),"sport")</f>
        <v>sport</v>
      </c>
    </row>
    <row r="64">
      <c r="B64" s="2" t="str">
        <f>IFERROR(__xludf.DUMMYFUNCTION("""COMPUTED_VALUE"""),"Vélo Magazine")</f>
        <v>Vélo Magazine</v>
      </c>
      <c r="C64" s="2" t="str">
        <f>IFERROR(__xludf.DUMMYFUNCTION("""COMPUTED_VALUE"""),"48 714")</f>
        <v>48 714</v>
      </c>
      <c r="D64" s="2"/>
      <c r="E64" s="2" t="str">
        <f>IFERROR(__xludf.DUMMYFUNCTION("""COMPUTED_VALUE"""),"cyclisme")</f>
        <v>cyclisme</v>
      </c>
    </row>
    <row r="65">
      <c r="B65" s="2" t="str">
        <f>IFERROR(__xludf.DUMMYFUNCTION("""COMPUTED_VALUE"""),"L'Histoire")</f>
        <v>L'Histoire</v>
      </c>
      <c r="C65" s="2" t="str">
        <f>IFERROR(__xludf.DUMMYFUNCTION("""COMPUTED_VALUE"""),"47 850")</f>
        <v>47 850</v>
      </c>
      <c r="D65" s="2" t="str">
        <f>IFERROR(__xludf.DUMMYFUNCTION("""COMPUTED_VALUE"""),"51 532")</f>
        <v>51 532</v>
      </c>
      <c r="E65" s="2" t="str">
        <f>IFERROR(__xludf.DUMMYFUNCTION("""COMPUTED_VALUE"""),"histoire")</f>
        <v>histoire</v>
      </c>
    </row>
    <row r="66">
      <c r="B66" s="2" t="str">
        <f>IFERROR(__xludf.DUMMYFUNCTION("""COMPUTED_VALUE"""),"So Foot")</f>
        <v>So Foot</v>
      </c>
      <c r="C66" s="2" t="str">
        <f>IFERROR(__xludf.DUMMYFUNCTION("""COMPUTED_VALUE"""),"47 537")</f>
        <v>47 537</v>
      </c>
      <c r="D66" s="2"/>
      <c r="E66" s="2" t="str">
        <f>IFERROR(__xludf.DUMMYFUNCTION("""COMPUTED_VALUE"""),"sport")</f>
        <v>sport</v>
      </c>
    </row>
    <row r="67">
      <c r="B67" s="2" t="str">
        <f>IFERROR(__xludf.DUMMYFUNCTION("""COMPUTED_VALUE"""),"Options au Cœur du Social")</f>
        <v>Options au Cœur du Social</v>
      </c>
      <c r="C67" s="2" t="str">
        <f>IFERROR(__xludf.DUMMYFUNCTION("""COMPUTED_VALUE"""),"47 231")</f>
        <v>47 231</v>
      </c>
      <c r="D67" s="2"/>
      <c r="E67" s="2" t="str">
        <f>IFERROR(__xludf.DUMMYFUNCTION("""COMPUTED_VALUE"""),"syndicat")</f>
        <v>syndicat</v>
      </c>
    </row>
    <row r="68">
      <c r="B68" s="2" t="str">
        <f>IFERROR(__xludf.DUMMYFUNCTION("""COMPUTED_VALUE"""),"*Lire*")</f>
        <v>*Lire*</v>
      </c>
      <c r="C68" s="2" t="str">
        <f>IFERROR(__xludf.DUMMYFUNCTION("""COMPUTED_VALUE"""),"46 257")</f>
        <v>46 257</v>
      </c>
      <c r="D68" s="2" t="str">
        <f>IFERROR(__xludf.DUMMYFUNCTION("""COMPUTED_VALUE"""),"46 190")</f>
        <v>46 190</v>
      </c>
      <c r="E68" s="2" t="str">
        <f>IFERROR(__xludf.DUMMYFUNCTION("""COMPUTED_VALUE"""),"littérature")</f>
        <v>littérature</v>
      </c>
    </row>
    <row r="69">
      <c r="B69" s="2" t="str">
        <f>IFERROR(__xludf.DUMMYFUNCTION("""COMPUTED_VALUE"""),"*Mes premiers J'aime lire*")</f>
        <v>*Mes premiers J'aime lire*</v>
      </c>
      <c r="C69" s="2" t="str">
        <f>IFERROR(__xludf.DUMMYFUNCTION("""COMPUTED_VALUE"""),"45 380")</f>
        <v>45 380</v>
      </c>
      <c r="D69" s="2"/>
      <c r="E69" s="2" t="str">
        <f>IFERROR(__xludf.DUMMYFUNCTION("""COMPUTED_VALUE"""),"jeunesse")</f>
        <v>jeunesse</v>
      </c>
    </row>
    <row r="70">
      <c r="B70" s="2" t="str">
        <f>IFERROR(__xludf.DUMMYFUNCTION("""COMPUTED_VALUE"""),"*National Geographic*")</f>
        <v>*National Geographic*</v>
      </c>
      <c r="C70" s="2" t="str">
        <f>IFERROR(__xludf.DUMMYFUNCTION("""COMPUTED_VALUE"""),"44 259")</f>
        <v>44 259</v>
      </c>
      <c r="D70" s="2"/>
      <c r="E70" s="2" t="str">
        <f>IFERROR(__xludf.DUMMYFUNCTION("""COMPUTED_VALUE"""),"voyages")</f>
        <v>voyages</v>
      </c>
    </row>
    <row r="71">
      <c r="B71" s="2" t="str">
        <f>IFERROR(__xludf.DUMMYFUNCTION("""COMPUTED_VALUE"""),"*Sport Auto*")</f>
        <v>*Sport Auto*</v>
      </c>
      <c r="C71" s="2" t="str">
        <f>IFERROR(__xludf.DUMMYFUNCTION("""COMPUTED_VALUE"""),"44 258")</f>
        <v>44 258</v>
      </c>
      <c r="D71" s="2"/>
      <c r="E71" s="2" t="str">
        <f>IFERROR(__xludf.DUMMYFUNCTION("""COMPUTED_VALUE"""),"automobile")</f>
        <v>automobile</v>
      </c>
    </row>
    <row r="72">
      <c r="B72" s="2" t="str">
        <f>IFERROR(__xludf.DUMMYFUNCTION("""COMPUTED_VALUE"""),"*Science et Vie Découvertes*")</f>
        <v>*Science et Vie Découvertes*</v>
      </c>
      <c r="C72" s="2" t="str">
        <f>IFERROR(__xludf.DUMMYFUNCTION("""COMPUTED_VALUE"""),"43 459")</f>
        <v>43 459</v>
      </c>
      <c r="D72" s="2"/>
      <c r="E72" s="2" t="str">
        <f>IFERROR(__xludf.DUMMYFUNCTION("""COMPUTED_VALUE"""),"sciences")</f>
        <v>sciences</v>
      </c>
    </row>
    <row r="73">
      <c r="B73" s="2" t="str">
        <f>IFERROR(__xludf.DUMMYFUNCTION("""COMPUTED_VALUE"""),"*Connaissance des arts*")</f>
        <v>*Connaissance des arts*</v>
      </c>
      <c r="C73" s="2" t="str">
        <f>IFERROR(__xludf.DUMMYFUNCTION("""COMPUTED_VALUE"""),"43 072")</f>
        <v>43 072</v>
      </c>
      <c r="D73" s="2"/>
      <c r="E73" s="2" t="str">
        <f>IFERROR(__xludf.DUMMYFUNCTION("""COMPUTED_VALUE"""),"arts")</f>
        <v>arts</v>
      </c>
    </row>
    <row r="74">
      <c r="B74" s="2" t="str">
        <f>IFERROR(__xludf.DUMMYFUNCTION("""COMPUTED_VALUE"""),"*Réponse à tout*")</f>
        <v>*Réponse à tout*</v>
      </c>
      <c r="C74" s="2" t="str">
        <f>IFERROR(__xludf.DUMMYFUNCTION("""COMPUTED_VALUE"""),"42 581")</f>
        <v>42 581</v>
      </c>
      <c r="D74" s="2"/>
      <c r="E74" s="2" t="str">
        <f>IFERROR(__xludf.DUMMYFUNCTION("""COMPUTED_VALUE"""),"sciences")</f>
        <v>sciences</v>
      </c>
    </row>
    <row r="75">
      <c r="B75" s="2" t="str">
        <f>IFERROR(__xludf.DUMMYFUNCTION("""COMPUTED_VALUE"""),"*Camping-car Magazine*")</f>
        <v>*Camping-car Magazine*</v>
      </c>
      <c r="C75" s="2" t="str">
        <f>IFERROR(__xludf.DUMMYFUNCTION("""COMPUTED_VALUE"""),"42 421")</f>
        <v>42 421</v>
      </c>
      <c r="D75" s="2"/>
      <c r="E75" s="2" t="str">
        <f>IFERROR(__xludf.DUMMYFUNCTION("""COMPUTED_VALUE"""),"voyages")</f>
        <v>voyages</v>
      </c>
    </row>
    <row r="76">
      <c r="B76" s="2" t="str">
        <f>IFERROR(__xludf.DUMMYFUNCTION("""COMPUTED_VALUE"""),"*Management*")</f>
        <v>*Management*</v>
      </c>
      <c r="C76" s="2" t="str">
        <f>IFERROR(__xludf.DUMMYFUNCTION("""COMPUTED_VALUE"""),"40 894")</f>
        <v>40 894</v>
      </c>
      <c r="D76" s="2"/>
      <c r="E76" s="2" t="str">
        <f>IFERROR(__xludf.DUMMYFUNCTION("""COMPUTED_VALUE"""),"économique")</f>
        <v>économique</v>
      </c>
    </row>
    <row r="77">
      <c r="B77" s="2" t="str">
        <f>IFERROR(__xludf.DUMMYFUNCTION("""COMPUTED_VALUE"""),"*J'Aime Lire Max*")</f>
        <v>*J'Aime Lire Max*</v>
      </c>
      <c r="C77" s="2" t="str">
        <f>IFERROR(__xludf.DUMMYFUNCTION("""COMPUTED_VALUE"""),"40 664")</f>
        <v>40 664</v>
      </c>
      <c r="D77" s="2"/>
      <c r="E77" s="2" t="str">
        <f>IFERROR(__xludf.DUMMYFUNCTION("""COMPUTED_VALUE"""),"littérature")</f>
        <v>littérature</v>
      </c>
    </row>
    <row r="78">
      <c r="B78" s="2" t="str">
        <f>IFERROR(__xludf.DUMMYFUNCTION("""COMPUTED_VALUE"""),"*Toupie*")</f>
        <v>*Toupie*</v>
      </c>
      <c r="C78" s="2" t="str">
        <f>IFERROR(__xludf.DUMMYFUNCTION("""COMPUTED_VALUE"""),"39 753")</f>
        <v>39 753</v>
      </c>
      <c r="D78" s="2"/>
      <c r="E78" s="2" t="str">
        <f>IFERROR(__xludf.DUMMYFUNCTION("""COMPUTED_VALUE"""),"jeunesse")</f>
        <v>jeunesse</v>
      </c>
    </row>
    <row r="79">
      <c r="B79" s="2" t="str">
        <f>IFERROR(__xludf.DUMMYFUNCTION("""COMPUTED_VALUE"""),"*Gazoline Magazine*")</f>
        <v>*Gazoline Magazine*</v>
      </c>
      <c r="C79" s="2" t="str">
        <f>IFERROR(__xludf.DUMMYFUNCTION("""COMPUTED_VALUE"""),"39 640")</f>
        <v>39 640</v>
      </c>
      <c r="D79" s="2"/>
      <c r="E79" s="2" t="str">
        <f>IFERROR(__xludf.DUMMYFUNCTION("""COMPUTED_VALUE"""),"automobile")</f>
        <v>automobile</v>
      </c>
    </row>
    <row r="80">
      <c r="B80" s="2" t="str">
        <f>IFERROR(__xludf.DUMMYFUNCTION("""COMPUTED_VALUE"""),"*Wakou*")</f>
        <v>*Wakou*</v>
      </c>
      <c r="C80" s="2" t="str">
        <f>IFERROR(__xludf.DUMMYFUNCTION("""COMPUTED_VALUE"""),"38 375")</f>
        <v>38 375</v>
      </c>
      <c r="D80" s="2"/>
      <c r="E80" s="2" t="str">
        <f>IFERROR(__xludf.DUMMYFUNCTION("""COMPUTED_VALUE"""),"jeunesse")</f>
        <v>jeunesse</v>
      </c>
    </row>
    <row r="81">
      <c r="B81" s="2" t="str">
        <f>IFERROR(__xludf.DUMMYFUNCTION("""COMPUTED_VALUE"""),"*La Revue Nationale de la Chasse*")</f>
        <v>*La Revue Nationale de la Chasse*</v>
      </c>
      <c r="C81" s="2" t="str">
        <f>IFERROR(__xludf.DUMMYFUNCTION("""COMPUTED_VALUE"""),"38 055")</f>
        <v>38 055</v>
      </c>
      <c r="D81" s="2"/>
      <c r="E81" s="2" t="str">
        <f>IFERROR(__xludf.DUMMYFUNCTION("""COMPUTED_VALUE"""),"chasse")</f>
        <v>chasse</v>
      </c>
    </row>
    <row r="82">
      <c r="B82" s="2" t="str">
        <f>IFERROR(__xludf.DUMMYFUNCTION("""COMPUTED_VALUE"""),"*Causette*")</f>
        <v>*Causette*</v>
      </c>
      <c r="C82" s="2" t="str">
        <f>IFERROR(__xludf.DUMMYFUNCTION("""COMPUTED_VALUE"""),"36 261")</f>
        <v>36 261</v>
      </c>
      <c r="D82" s="2"/>
      <c r="E82" s="2" t="str">
        <f>IFERROR(__xludf.DUMMYFUNCTION("""COMPUTED_VALUE"""),"féminin")</f>
        <v>féminin</v>
      </c>
    </row>
    <row r="83">
      <c r="B83" s="2" t="str">
        <f>IFERROR(__xludf.DUMMYFUNCTION("""COMPUTED_VALUE"""),"*Philosophie Magazine*")</f>
        <v>*Philosophie Magazine*</v>
      </c>
      <c r="C83" s="2" t="str">
        <f>IFERROR(__xludf.DUMMYFUNCTION("""COMPUTED_VALUE"""),"35 929")</f>
        <v>35 929</v>
      </c>
      <c r="D83" s="2"/>
      <c r="E83" s="2" t="str">
        <f>IFERROR(__xludf.DUMMYFUNCTION("""COMPUTED_VALUE"""),"culture")</f>
        <v>culture</v>
      </c>
    </row>
    <row r="84">
      <c r="B84" s="2" t="str">
        <f>IFERROR(__xludf.DUMMYFUNCTION("""COMPUTED_VALUE"""),"*Jeux vidéo Magazine*")</f>
        <v>*Jeux vidéo Magazine*</v>
      </c>
      <c r="C84" s="2" t="str">
        <f>IFERROR(__xludf.DUMMYFUNCTION("""COMPUTED_VALUE"""),"34 532")</f>
        <v>34 532</v>
      </c>
      <c r="D84" s="2"/>
      <c r="E84" s="2" t="str">
        <f>IFERROR(__xludf.DUMMYFUNCTION("""COMPUTED_VALUE"""),"jeux vidéo")</f>
        <v>jeux vidéo</v>
      </c>
    </row>
    <row r="85">
      <c r="B85" s="2" t="str">
        <f>IFERROR(__xludf.DUMMYFUNCTION("""COMPUTED_VALUE"""),"Le Cycle Magazine")</f>
        <v>Le Cycle Magazine</v>
      </c>
      <c r="C85" s="2" t="str">
        <f>IFERROR(__xludf.DUMMYFUNCTION("""COMPUTED_VALUE"""),"34 357")</f>
        <v>34 357</v>
      </c>
      <c r="D85" s="2"/>
      <c r="E85" s="2" t="str">
        <f>IFERROR(__xludf.DUMMYFUNCTION("""COMPUTED_VALUE"""),"cyclisme")</f>
        <v>cyclisme</v>
      </c>
    </row>
    <row r="86">
      <c r="B86" s="2" t="str">
        <f>IFERROR(__xludf.DUMMYFUNCTION("""COMPUTED_VALUE"""),"*Plantes &amp; Santé*")</f>
        <v>*Plantes &amp; Santé*</v>
      </c>
      <c r="C86" s="2" t="str">
        <f>IFERROR(__xludf.DUMMYFUNCTION("""COMPUTED_VALUE"""),"33 898")</f>
        <v>33 898</v>
      </c>
      <c r="D86" s="2"/>
      <c r="E86" s="2" t="str">
        <f>IFERROR(__xludf.DUMMYFUNCTION("""COMPUTED_VALUE"""),"santé")</f>
        <v>santé</v>
      </c>
    </row>
    <row r="87">
      <c r="B87" s="2" t="str">
        <f>IFERROR(__xludf.DUMMYFUNCTION("""COMPUTED_VALUE"""),"*Disney Girl*")</f>
        <v>*Disney Girl*</v>
      </c>
      <c r="C87" s="2" t="str">
        <f>IFERROR(__xludf.DUMMYFUNCTION("""COMPUTED_VALUE"""),"32 906")</f>
        <v>32 906</v>
      </c>
      <c r="D87" s="2"/>
      <c r="E87" s="2" t="str">
        <f>IFERROR(__xludf.DUMMYFUNCTION("""COMPUTED_VALUE"""),"jeunesse")</f>
        <v>jeunesse</v>
      </c>
    </row>
    <row r="88">
      <c r="B88" s="2" t="str">
        <f>IFERROR(__xludf.DUMMYFUNCTION("""COMPUTED_VALUE"""),"*Toboggan Magazine*")</f>
        <v>*Toboggan Magazine*</v>
      </c>
      <c r="C88" s="2" t="str">
        <f>IFERROR(__xludf.DUMMYFUNCTION("""COMPUTED_VALUE"""),"30 392")</f>
        <v>30 392</v>
      </c>
      <c r="D88" s="2"/>
      <c r="E88" s="2" t="str">
        <f>IFERROR(__xludf.DUMMYFUNCTION("""COMPUTED_VALUE"""),"jeunesse")</f>
        <v>jeunesse</v>
      </c>
    </row>
    <row r="89">
      <c r="B89" s="2" t="str">
        <f>IFERROR(__xludf.DUMMYFUNCTION("""COMPUTED_VALUE"""),"*Sciences Humaines*")</f>
        <v>*Sciences Humaines*</v>
      </c>
      <c r="C89" s="2" t="str">
        <f>IFERROR(__xludf.DUMMYFUNCTION("""COMPUTED_VALUE"""),"29 898")</f>
        <v>29 898</v>
      </c>
      <c r="D89" s="2"/>
      <c r="E89" s="2" t="str">
        <f>IFERROR(__xludf.DUMMYFUNCTION("""COMPUTED_VALUE"""),"sciences")</f>
        <v>sciences</v>
      </c>
    </row>
    <row r="90">
      <c r="B90" s="2" t="str">
        <f>IFERROR(__xludf.DUMMYFUNCTION("""COMPUTED_VALUE"""),"*Tout Comprendre Junior*")</f>
        <v>*Tout Comprendre Junior*</v>
      </c>
      <c r="C90" s="2" t="str">
        <f>IFERROR(__xludf.DUMMYFUNCTION("""COMPUTED_VALUE"""),"29 424")</f>
        <v>29 424</v>
      </c>
      <c r="D90" s="2"/>
      <c r="E90" s="2" t="str">
        <f>IFERROR(__xludf.DUMMYFUNCTION("""COMPUTED_VALUE"""),"jeunesse")</f>
        <v>jeunesse</v>
      </c>
    </row>
    <row r="91">
      <c r="B91" s="2" t="str">
        <f>IFERROR(__xludf.DUMMYFUNCTION("""COMPUTED_VALUE"""),"*La Pêche et les Poissons*")</f>
        <v>*La Pêche et les Poissons*</v>
      </c>
      <c r="C91" s="2" t="str">
        <f>IFERROR(__xludf.DUMMYFUNCTION("""COMPUTED_VALUE"""),"29 117")</f>
        <v>29 117</v>
      </c>
      <c r="D91" s="2"/>
      <c r="E91" s="2" t="str">
        <f>IFERROR(__xludf.DUMMYFUNCTION("""COMPUTED_VALUE"""),"pêche")</f>
        <v>pêche</v>
      </c>
    </row>
    <row r="92">
      <c r="B92" s="2" t="str">
        <f>IFERROR(__xludf.DUMMYFUNCTION("""COMPUTED_VALUE"""),"*Le Cheminot Retraité*")</f>
        <v>*Le Cheminot Retraité*</v>
      </c>
      <c r="C92" s="2" t="str">
        <f>IFERROR(__xludf.DUMMYFUNCTION("""COMPUTED_VALUE"""),"28 569")</f>
        <v>28 569</v>
      </c>
      <c r="D92" s="2"/>
      <c r="E92" s="2" t="str">
        <f>IFERROR(__xludf.DUMMYFUNCTION("""COMPUTED_VALUE"""),"ferroviaire")</f>
        <v>ferroviaire</v>
      </c>
    </row>
    <row r="93">
      <c r="B93" s="2" t="str">
        <f>IFERROR(__xludf.DUMMYFUNCTION("""COMPUTED_VALUE"""),"*J'apprends à lire*")</f>
        <v>*J'apprends à lire*</v>
      </c>
      <c r="C93" s="2" t="str">
        <f>IFERROR(__xludf.DUMMYFUNCTION("""COMPUTED_VALUE"""),"28 301")</f>
        <v>28 301</v>
      </c>
      <c r="D93" s="2"/>
      <c r="E93" s="2" t="str">
        <f>IFERROR(__xludf.DUMMYFUNCTION("""COMPUTED_VALUE"""),"jeunesse")</f>
        <v>jeunesse</v>
      </c>
    </row>
    <row r="94">
      <c r="B94" s="2" t="str">
        <f>IFERROR(__xludf.DUMMYFUNCTION("""COMPUTED_VALUE"""),"*Golf Magazine*")</f>
        <v>*Golf Magazine*</v>
      </c>
      <c r="C94" s="2" t="str">
        <f>IFERROR(__xludf.DUMMYFUNCTION("""COMPUTED_VALUE"""),"26 883")</f>
        <v>26 883</v>
      </c>
      <c r="D94" s="2"/>
      <c r="E94" s="2" t="str">
        <f>IFERROR(__xludf.DUMMYFUNCTION("""COMPUTED_VALUE"""),"sport")</f>
        <v>sport</v>
      </c>
    </row>
    <row r="95">
      <c r="B95" s="2" t="str">
        <f>IFERROR(__xludf.DUMMYFUNCTION("""COMPUTED_VALUE"""),"*Picoti*")</f>
        <v>*Picoti*</v>
      </c>
      <c r="C95" s="2" t="str">
        <f>IFERROR(__xludf.DUMMYFUNCTION("""COMPUTED_VALUE"""),"26 835")</f>
        <v>26 835</v>
      </c>
      <c r="D95" s="2"/>
      <c r="E95" s="2" t="str">
        <f>IFERROR(__xludf.DUMMYFUNCTION("""COMPUTED_VALUE"""),"jeunesse")</f>
        <v>jeunesse</v>
      </c>
    </row>
    <row r="96">
      <c r="B96" s="2" t="str">
        <f>IFERROR(__xludf.DUMMYFUNCTION("""COMPUTED_VALUE"""),"*Cars Magazine*")</f>
        <v>*Cars Magazine*</v>
      </c>
      <c r="C96" s="2" t="str">
        <f>IFERROR(__xludf.DUMMYFUNCTION("""COMPUTED_VALUE"""),"26 586")</f>
        <v>26 586</v>
      </c>
      <c r="D96" s="2"/>
      <c r="E96" s="2" t="str">
        <f>IFERROR(__xludf.DUMMYFUNCTION("""COMPUTED_VALUE"""),"jeunesse")</f>
        <v>jeunesse</v>
      </c>
    </row>
    <row r="97">
      <c r="B97" s="2" t="str">
        <f>IFERROR(__xludf.DUMMYFUNCTION("""COMPUTED_VALUE"""),"*Julie Magazine*")</f>
        <v>*Julie Magazine*</v>
      </c>
      <c r="C97" s="2" t="str">
        <f>IFERROR(__xludf.DUMMYFUNCTION("""COMPUTED_VALUE"""),"26 500")</f>
        <v>26 500</v>
      </c>
      <c r="D97" s="2"/>
      <c r="E97" s="2" t="str">
        <f>IFERROR(__xludf.DUMMYFUNCTION("""COMPUTED_VALUE"""),"jeunesse")</f>
        <v>jeunesse</v>
      </c>
    </row>
    <row r="98">
      <c r="B98" s="2" t="str">
        <f>IFERROR(__xludf.DUMMYFUNCTION("""COMPUTED_VALUE"""),"Le Mémento")</f>
        <v>Le Mémento</v>
      </c>
      <c r="C98" s="2" t="str">
        <f>IFERROR(__xludf.DUMMYFUNCTION("""COMPUTED_VALUE"""),"26 400")</f>
        <v>26 400</v>
      </c>
      <c r="D98" s="2"/>
      <c r="E98" s="2" t="str">
        <f>IFERROR(__xludf.DUMMYFUNCTION("""COMPUTED_VALUE"""),"économique")</f>
        <v>économique</v>
      </c>
    </row>
    <row r="99">
      <c r="B99" s="2" t="str">
        <f>IFERROR(__xludf.DUMMYFUNCTION("""COMPUTED_VALUE"""),"*Voiles et Voiliers*")</f>
        <v>*Voiles et Voiliers*</v>
      </c>
      <c r="C99" s="2" t="str">
        <f>IFERROR(__xludf.DUMMYFUNCTION("""COMPUTED_VALUE"""),"26 373")</f>
        <v>26 373</v>
      </c>
      <c r="D99" s="2"/>
      <c r="E99" s="2" t="str">
        <f>IFERROR(__xludf.DUMMYFUNCTION("""COMPUTED_VALUE"""),"navigation")</f>
        <v>navigation</v>
      </c>
    </row>
    <row r="100">
      <c r="B100" s="2" t="str">
        <f>IFERROR(__xludf.DUMMYFUNCTION("""COMPUTED_VALUE"""),"*Geo Ado*")</f>
        <v>*Geo Ado*</v>
      </c>
      <c r="C100" s="2" t="str">
        <f>IFERROR(__xludf.DUMMYFUNCTION("""COMPUTED_VALUE"""),"25 547")</f>
        <v>25 547</v>
      </c>
      <c r="D100" s="2"/>
      <c r="E100" s="2" t="str">
        <f>IFERROR(__xludf.DUMMYFUNCTION("""COMPUTED_VALUE"""),"jeunesse")</f>
        <v>jeunesse</v>
      </c>
    </row>
    <row r="101">
      <c r="B101" s="2" t="str">
        <f>IFERROR(__xludf.DUMMYFUNCTION("""COMPUTED_VALUE"""),"*La Recherche*")</f>
        <v>*La Recherche*</v>
      </c>
      <c r="C101" s="2" t="str">
        <f>IFERROR(__xludf.DUMMYFUNCTION("""COMPUTED_VALUE"""),"25 056")</f>
        <v>25 056</v>
      </c>
      <c r="D101" s="2"/>
      <c r="E101" s="2" t="str">
        <f>IFERROR(__xludf.DUMMYFUNCTION("""COMPUTED_VALUE"""),"sciences")</f>
        <v>sciences</v>
      </c>
    </row>
    <row r="102">
      <c r="B102" s="2" t="str">
        <f>IFERROR(__xludf.DUMMYFUNCTION("""COMPUTED_VALUE"""),"*Diapason*")</f>
        <v>*Diapason*</v>
      </c>
      <c r="C102" s="2" t="str">
        <f>IFERROR(__xludf.DUMMYFUNCTION("""COMPUTED_VALUE"""),"23 005")</f>
        <v>23 005</v>
      </c>
      <c r="D102" s="2"/>
      <c r="E102" s="2" t="str">
        <f>IFERROR(__xludf.DUMMYFUNCTION("""COMPUTED_VALUE"""),"culture")</f>
        <v>culture</v>
      </c>
    </row>
    <row r="103">
      <c r="B103" s="2" t="str">
        <f>IFERROR(__xludf.DUMMYFUNCTION("""COMPUTED_VALUE"""),"*Rock &amp; Folk*")</f>
        <v>*Rock &amp; Folk*</v>
      </c>
      <c r="C103" s="2" t="str">
        <f>IFERROR(__xludf.DUMMYFUNCTION("""COMPUTED_VALUE"""),"22 641")</f>
        <v>22 641</v>
      </c>
      <c r="D103" s="2"/>
      <c r="E103" s="2" t="str">
        <f>IFERROR(__xludf.DUMMYFUNCTION("""COMPUTED_VALUE"""),"musique")</f>
        <v>musique</v>
      </c>
    </row>
    <row r="104">
      <c r="B104" s="2" t="str">
        <f>IFERROR(__xludf.DUMMYFUNCTION("""COMPUTED_VALUE"""),"*Le Nouveau Magazine Littéraire*")</f>
        <v>*Le Nouveau Magazine Littéraire*</v>
      </c>
      <c r="C104" s="2" t="str">
        <f>IFERROR(__xludf.DUMMYFUNCTION("""COMPUTED_VALUE"""),"20 783")</f>
        <v>20 783</v>
      </c>
      <c r="D104" s="2" t="str">
        <f>IFERROR(__xludf.DUMMYFUNCTION("""COMPUTED_VALUE"""),"*disparition*")</f>
        <v>*disparition*</v>
      </c>
      <c r="E104" s="2" t="str">
        <f>IFERROR(__xludf.DUMMYFUNCTION("""COMPUTED_VALUE"""),"littérature")</f>
        <v>littérature</v>
      </c>
    </row>
    <row r="105">
      <c r="B105" s="2" t="str">
        <f>IFERROR(__xludf.DUMMYFUNCTION("""COMPUTED_VALUE"""),"*Mordelire*")</f>
        <v>*Mordelire*</v>
      </c>
      <c r="C105" s="2" t="str">
        <f>IFERROR(__xludf.DUMMYFUNCTION("""COMPUTED_VALUE"""),"20 691")</f>
        <v>20 691</v>
      </c>
      <c r="D105" s="2"/>
      <c r="E105" s="2" t="str">
        <f>IFERROR(__xludf.DUMMYFUNCTION("""COMPUTED_VALUE"""),"littéraire")</f>
        <v>littéraire</v>
      </c>
    </row>
    <row r="106">
      <c r="B106" s="2" t="str">
        <f>IFERROR(__xludf.DUMMYFUNCTION("""COMPUTED_VALUE"""),"*Moto &amp; Motards*")</f>
        <v>*Moto &amp; Motards*</v>
      </c>
      <c r="C106" s="2" t="str">
        <f>IFERROR(__xludf.DUMMYFUNCTION("""COMPUTED_VALUE"""),"19 184")</f>
        <v>19 184</v>
      </c>
      <c r="D106" s="2"/>
      <c r="E106" s="2" t="str">
        <f>IFERROR(__xludf.DUMMYFUNCTION("""COMPUTED_VALUE"""),"motocyclisme")</f>
        <v>motocyclisme</v>
      </c>
    </row>
    <row r="107">
      <c r="B107" s="2" t="str">
        <f>IFERROR(__xludf.DUMMYFUNCTION("""COMPUTED_VALUE"""),"*Manon*")</f>
        <v>*Manon*</v>
      </c>
      <c r="C107" s="2" t="str">
        <f>IFERROR(__xludf.DUMMYFUNCTION("""COMPUTED_VALUE"""),"16 920")</f>
        <v>16 920</v>
      </c>
      <c r="D107" s="2"/>
      <c r="E107" s="2" t="str">
        <f>IFERROR(__xludf.DUMMYFUNCTION("""COMPUTED_VALUE"""),"jeunesse")</f>
        <v>jeunesse</v>
      </c>
    </row>
    <row r="108">
      <c r="B108" s="2" t="str">
        <f>IFERROR(__xludf.DUMMYFUNCTION("""COMPUTED_VALUE"""),"*Tout Comprendre*")</f>
        <v>*Tout Comprendre*</v>
      </c>
      <c r="C108" s="2" t="str">
        <f>IFERROR(__xludf.DUMMYFUNCTION("""COMPUTED_VALUE"""),"15 154")</f>
        <v>15 154</v>
      </c>
      <c r="D108" s="2"/>
      <c r="E108" s="2" t="str">
        <f>IFERROR(__xludf.DUMMYFUNCTION("""COMPUTED_VALUE"""),"culturel")</f>
        <v>culturel</v>
      </c>
    </row>
    <row r="109">
      <c r="B109" s="2" t="str">
        <f>IFERROR(__xludf.DUMMYFUNCTION("""COMPUTED_VALUE"""),"*Classica*")</f>
        <v>*Classica*</v>
      </c>
      <c r="C109" s="2" t="str">
        <f>IFERROR(__xludf.DUMMYFUNCTION("""COMPUTED_VALUE"""),"14 800")</f>
        <v>14 800</v>
      </c>
      <c r="D109" s="2"/>
      <c r="E109" s="2" t="str">
        <f>IFERROR(__xludf.DUMMYFUNCTION("""COMPUTED_VALUE"""),"musique")</f>
        <v>musique</v>
      </c>
    </row>
    <row r="110">
      <c r="B110" s="2" t="str">
        <f>IFERROR(__xludf.DUMMYFUNCTION("""COMPUTED_VALUE"""),"*Cahiers du cinéma*")</f>
        <v>*Cahiers du cinéma*</v>
      </c>
      <c r="C110" s="2" t="str">
        <f>IFERROR(__xludf.DUMMYFUNCTION("""COMPUTED_VALUE"""),"12 272")</f>
        <v>12 272</v>
      </c>
      <c r="D110" s="2" t="str">
        <f>IFERROR(__xludf.DUMMYFUNCTION("""COMPUTED_VALUE"""),"10 049")</f>
        <v>10 049</v>
      </c>
      <c r="E110" s="2" t="str">
        <f>IFERROR(__xludf.DUMMYFUNCTION("""COMPUTED_VALUE"""),"cinéma")</f>
        <v>cinéma</v>
      </c>
    </row>
    <row r="111">
      <c r="B111" s="2" t="str">
        <f>IFERROR(__xludf.DUMMYFUNCTION("""COMPUTED_VALUE"""),"*Échappement*")</f>
        <v>*Échappement*</v>
      </c>
      <c r="C111" s="2" t="str">
        <f>IFERROR(__xludf.DUMMYFUNCTION("""COMPUTED_VALUE"""),"11 193")</f>
        <v>11 193</v>
      </c>
      <c r="D111" s="2"/>
      <c r="E111" s="2" t="str">
        <f>IFERROR(__xludf.DUMMYFUNCTION("""COMPUTED_VALUE"""),"automobile")</f>
        <v>automobile</v>
      </c>
    </row>
    <row r="112">
      <c r="B112" s="2" t="str">
        <f>IFERROR(__xludf.DUMMYFUNCTION("""COMPUTED_VALUE"""),"*Jazz Magazine*")</f>
        <v>*Jazz Magazine*</v>
      </c>
      <c r="C112" s="2" t="str">
        <f>IFERROR(__xludf.DUMMYFUNCTION("""COMPUTED_VALUE"""),"10 225")</f>
        <v>10 225</v>
      </c>
      <c r="D112" s="2"/>
      <c r="E112" s="2" t="str">
        <f>IFERROR(__xludf.DUMMYFUNCTION("""COMPUTED_VALUE"""),"musique")</f>
        <v>musique</v>
      </c>
    </row>
    <row r="113">
      <c r="B113" s="2" t="str">
        <f>IFERROR(__xludf.DUMMYFUNCTION("""COMPUTED_VALUE"""),"*National Geographic Kids*")</f>
        <v>*National Geographic Kids*</v>
      </c>
      <c r="C113" s="2" t="str">
        <f>IFERROR(__xludf.DUMMYFUNCTION("""COMPUTED_VALUE"""),"9 878")</f>
        <v>9 878</v>
      </c>
      <c r="D113" s="2"/>
      <c r="E113" s="2" t="str">
        <f>IFERROR(__xludf.DUMMYFUNCTION("""COMPUTED_VALUE"""),"jeunesse")</f>
        <v>jeunesse</v>
      </c>
    </row>
    <row r="114">
      <c r="B114" s="2" t="str">
        <f>IFERROR(__xludf.DUMMYFUNCTION("""COMPUTED_VALUE"""),"*VTT Magazine*")</f>
        <v>*VTT Magazine*</v>
      </c>
      <c r="C114" s="2" t="str">
        <f>IFERROR(__xludf.DUMMYFUNCTION("""COMPUTED_VALUE"""),"8 417")</f>
        <v>8 417</v>
      </c>
      <c r="D114" s="2" t="str">
        <f>IFERROR(__xludf.DUMMYFUNCTION("""COMPUTED_VALUE"""),"7 762")</f>
        <v>7 762</v>
      </c>
      <c r="E114" s="2" t="str">
        <f>IFERROR(__xludf.DUMMYFUNCTION("""COMPUTED_VALUE"""),"cyclisme")</f>
        <v>cyclisme</v>
      </c>
    </row>
    <row r="115">
      <c r="B115" s="2" t="str">
        <f>IFERROR(__xludf.DUMMYFUNCTION("""COMPUTED_VALUE"""),"*Afrique magazine*")</f>
        <v>*Afrique magazine*</v>
      </c>
      <c r="C115" s="2">
        <f>IFERROR(__xludf.DUMMYFUNCTION("""COMPUTED_VALUE"""),718.0)</f>
        <v>718</v>
      </c>
      <c r="D115" s="2"/>
      <c r="E115" s="2" t="str">
        <f>IFERROR(__xludf.DUMMYFUNCTION("""COMPUTED_VALUE"""),"actualités")</f>
        <v>actualités</v>
      </c>
    </row>
    <row r="116">
      <c r="B116" s="2" t="str">
        <f>IFERROR(__xludf.DUMMYFUNCTION("""COMPUTED_VALUE"""),"Dinopedia Découverte")</f>
        <v>Dinopedia Découverte</v>
      </c>
      <c r="C116" s="2" t="str">
        <f>IFERROR(__xludf.DUMMYFUNCTION("""COMPUTED_VALUE"""),"-")</f>
        <v>-</v>
      </c>
      <c r="D116" s="2" t="str">
        <f>IFERROR(__xludf.DUMMYFUNCTION("""COMPUTED_VALUE"""),"-")</f>
        <v>-</v>
      </c>
      <c r="E116" s="2" t="str">
        <f>IFERROR(__xludf.DUMMYFUNCTION("""COMPUTED_VALUE"""),"Paléontologie")</f>
        <v>Paléontologie</v>
      </c>
    </row>
    <row r="117">
      <c r="B117" s="2" t="str">
        <f>IFERROR(__xludf.DUMMYFUNCTION("""COMPUTED_VALUE"""),"Cahiers du Pirate")</f>
        <v>Cahiers du Pirate</v>
      </c>
      <c r="C117" s="2" t="str">
        <f>IFERROR(__xludf.DUMMYFUNCTION("""COMPUTED_VALUE"""),"-")</f>
        <v>-</v>
      </c>
      <c r="D117" s="2"/>
      <c r="E117" s="2" t="str">
        <f>IFERROR(__xludf.DUMMYFUNCTION("""COMPUTED_VALUE"""),"informatique")</f>
        <v>informatique</v>
      </c>
    </row>
    <row r="118">
      <c r="B118" s="2" t="str">
        <f>IFERROR(__xludf.DUMMYFUNCTION("""COMPUTED_VALUE"""),"*Charge utile magazine*")</f>
        <v>*Charge utile magazine*</v>
      </c>
      <c r="C118" s="2" t="str">
        <f>IFERROR(__xludf.DUMMYFUNCTION("""COMPUTED_VALUE"""),"-")</f>
        <v>-</v>
      </c>
      <c r="D118" s="2"/>
      <c r="E118" s="2" t="str">
        <f>IFERROR(__xludf.DUMMYFUNCTION("""COMPUTED_VALUE"""),"poids-lourds")</f>
        <v>poids-lourds</v>
      </c>
    </row>
    <row r="119">
      <c r="B119" s="2" t="str">
        <f>IFERROR(__xludf.DUMMYFUNCTION("""COMPUTED_VALUE"""),"*Gazette des Armes*")</f>
        <v>*Gazette des Armes*</v>
      </c>
      <c r="C119" s="2" t="str">
        <f>IFERROR(__xludf.DUMMYFUNCTION("""COMPUTED_VALUE"""),"-")</f>
        <v>-</v>
      </c>
      <c r="D119" s="2"/>
      <c r="E119" s="2" t="str">
        <f>IFERROR(__xludf.DUMMYFUNCTION("""COMPUTED_VALUE"""),"armes")</f>
        <v>armes</v>
      </c>
    </row>
    <row r="120">
      <c r="B120" s="2" t="str">
        <f>IFERROR(__xludf.DUMMYFUNCTION("""COMPUTED_VALUE"""),"*Histoire &amp; Civilisations*")</f>
        <v>*Histoire &amp; Civilisations*</v>
      </c>
      <c r="C120" s="2" t="str">
        <f>IFERROR(__xludf.DUMMYFUNCTION("""COMPUTED_VALUE"""),"-")</f>
        <v>-</v>
      </c>
      <c r="D120" s="2"/>
      <c r="E120" s="2" t="str">
        <f>IFERROR(__xludf.DUMMYFUNCTION("""COMPUTED_VALUE"""),"histoire")</f>
        <v>histoire</v>
      </c>
    </row>
    <row r="121">
      <c r="B121" s="2" t="str">
        <f>IFERROR(__xludf.DUMMYFUNCTION("""COMPUTED_VALUE"""),"*Horoscope*")</f>
        <v>*Horoscope*</v>
      </c>
      <c r="C121" s="2" t="str">
        <f>IFERROR(__xludf.DUMMYFUNCTION("""COMPUTED_VALUE"""),"-")</f>
        <v>-</v>
      </c>
      <c r="D121" s="2"/>
      <c r="E121" s="2" t="str">
        <f>IFERROR(__xludf.DUMMYFUNCTION("""COMPUTED_VALUE"""),"astrologie")</f>
        <v>astrologie</v>
      </c>
    </row>
    <row r="122">
      <c r="B122" s="2" t="str">
        <f>IFERROR(__xludf.DUMMYFUNCTION("""COMPUTED_VALUE"""),"*Mad Movies*")</f>
        <v>*Mad Movies*</v>
      </c>
      <c r="C122" s="2" t="str">
        <f>IFERROR(__xludf.DUMMYFUNCTION("""COMPUTED_VALUE"""),"-")</f>
        <v>-</v>
      </c>
      <c r="D122" s="2"/>
      <c r="E122" s="2" t="str">
        <f>IFERROR(__xludf.DUMMYFUNCTION("""COMPUTED_VALUE"""),"cinéma")</f>
        <v>cinéma</v>
      </c>
    </row>
    <row r="123">
      <c r="B123" s="2" t="str">
        <f>IFERROR(__xludf.DUMMYFUNCTION("""COMPUTED_VALUE"""),"*Matériel Agricole*")</f>
        <v>*Matériel Agricole*</v>
      </c>
      <c r="C123" s="2" t="str">
        <f>IFERROR(__xludf.DUMMYFUNCTION("""COMPUTED_VALUE"""),"-")</f>
        <v>-</v>
      </c>
      <c r="D123" s="2"/>
      <c r="E123" s="2" t="str">
        <f>IFERROR(__xludf.DUMMYFUNCTION("""COMPUTED_VALUE"""),"agriculture")</f>
        <v>agriculture</v>
      </c>
    </row>
    <row r="124">
      <c r="B124" s="2" t="str">
        <f>IFERROR(__xludf.DUMMYFUNCTION("""COMPUTED_VALUE"""),"*Militaria Magazine*")</f>
        <v>*Militaria Magazine*</v>
      </c>
      <c r="C124" s="2" t="str">
        <f>IFERROR(__xludf.DUMMYFUNCTION("""COMPUTED_VALUE"""),"-")</f>
        <v>-</v>
      </c>
      <c r="D124" s="2"/>
      <c r="E124" s="2" t="str">
        <f>IFERROR(__xludf.DUMMYFUNCTION("""COMPUTED_VALUE"""),"militaire")</f>
        <v>militaire</v>
      </c>
    </row>
    <row r="125">
      <c r="B125" s="2" t="str">
        <f>IFERROR(__xludf.DUMMYFUNCTION("""COMPUTED_VALUE"""),"*Raids*")</f>
        <v>*Raids*</v>
      </c>
      <c r="C125" s="2" t="str">
        <f>IFERROR(__xludf.DUMMYFUNCTION("""COMPUTED_VALUE"""),"-")</f>
        <v>-</v>
      </c>
      <c r="D125" s="2"/>
      <c r="E125" s="2" t="str">
        <f>IFERROR(__xludf.DUMMYFUNCTION("""COMPUTED_VALUE"""),"militaire")</f>
        <v>militaire</v>
      </c>
    </row>
    <row r="126">
      <c r="B126" s="2" t="str">
        <f>IFERROR(__xludf.DUMMYFUNCTION("""COMPUTED_VALUE"""),"*Siné Mensuel*")</f>
        <v>*Siné Mensuel*</v>
      </c>
      <c r="C126" s="2" t="str">
        <f>IFERROR(__xludf.DUMMYFUNCTION("""COMPUTED_VALUE"""),"-")</f>
        <v>-</v>
      </c>
      <c r="D126" s="2"/>
      <c r="E126" s="2" t="str">
        <f>IFERROR(__xludf.DUMMYFUNCTION("""COMPUTED_VALUE"""),"satirique")</f>
        <v>satirique</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tr">
        <f>IFERROR(__xludf.DUMMYFUNCTION("IMPORTHTML(""https://fr.wikipedia.org/wiki/NBA_Most_Valuable_Player"",""table"",2)"),"Saison")</f>
        <v>Saison</v>
      </c>
      <c r="B1" s="2" t="str">
        <f>IFERROR(__xludf.DUMMYFUNCTION("""COMPUTED_VALUE"""),"Joueur")</f>
        <v>Joueur</v>
      </c>
      <c r="C1" s="2" t="str">
        <f>IFERROR(__xludf.DUMMYFUNCTION("""COMPUTED_VALUE"""),"Position")</f>
        <v>Position</v>
      </c>
      <c r="D1" s="2" t="str">
        <f>IFERROR(__xludf.DUMMYFUNCTION("""COMPUTED_VALUE"""),"Nationalité")</f>
        <v>Nationalité</v>
      </c>
      <c r="E1" s="2" t="str">
        <f>IFERROR(__xludf.DUMMYFUNCTION("""COMPUTED_VALUE"""),"Équipe")</f>
        <v>Équipe</v>
      </c>
    </row>
    <row r="2">
      <c r="A2" s="2" t="str">
        <f>IFERROR(__xludf.DUMMYFUNCTION("""COMPUTED_VALUE"""),"1955-1956")</f>
        <v>1955-1956</v>
      </c>
      <c r="B2" s="2" t="str">
        <f>IFERROR(__xludf.DUMMYFUNCTION("""COMPUTED_VALUE"""),"Bob Pettit")</f>
        <v>Bob Pettit</v>
      </c>
      <c r="C2" s="2" t="str">
        <f>IFERROR(__xludf.DUMMYFUNCTION("""COMPUTED_VALUE"""),"Ailier fort/Pivot")</f>
        <v>Ailier fort/Pivot</v>
      </c>
      <c r="D2" s="2" t="str">
        <f>IFERROR(__xludf.DUMMYFUNCTION("""COMPUTED_VALUE"""),"Américaine")</f>
        <v>Américaine</v>
      </c>
      <c r="E2" s="2" t="str">
        <f>IFERROR(__xludf.DUMMYFUNCTION("""COMPUTED_VALUE"""),"Hawks de Saint-Louis")</f>
        <v>Hawks de Saint-Louis</v>
      </c>
    </row>
    <row r="3">
      <c r="A3" s="2" t="str">
        <f>IFERROR(__xludf.DUMMYFUNCTION("""COMPUTED_VALUE"""),"1956-1957*C*")</f>
        <v>1956-1957*C*</v>
      </c>
      <c r="B3" s="2" t="str">
        <f>IFERROR(__xludf.DUMMYFUNCTION("""COMPUTED_VALUE"""),"Bob Cousy")</f>
        <v>Bob Cousy</v>
      </c>
      <c r="C3" s="2" t="str">
        <f>IFERROR(__xludf.DUMMYFUNCTION("""COMPUTED_VALUE"""),"Meneur")</f>
        <v>Meneur</v>
      </c>
      <c r="D3" s="2"/>
      <c r="E3" s="2" t="str">
        <f>IFERROR(__xludf.DUMMYFUNCTION("""COMPUTED_VALUE"""),"Celtics de Boston")</f>
        <v>Celtics de Boston</v>
      </c>
    </row>
    <row r="4">
      <c r="A4" s="2" t="str">
        <f>IFERROR(__xludf.DUMMYFUNCTION("""COMPUTED_VALUE"""),"1957-1958")</f>
        <v>1957-1958</v>
      </c>
      <c r="B4" s="2" t="str">
        <f>IFERROR(__xludf.DUMMYFUNCTION("""COMPUTED_VALUE"""),"Bill Russell")</f>
        <v>Bill Russell</v>
      </c>
      <c r="C4" s="2" t="str">
        <f>IFERROR(__xludf.DUMMYFUNCTION("""COMPUTED_VALUE"""),"Pivot")</f>
        <v>Pivot</v>
      </c>
      <c r="D4" s="2"/>
      <c r="E4" s="2" t="str">
        <f>IFERROR(__xludf.DUMMYFUNCTION("""COMPUTED_VALUE"""),"Celtics de Boston (2)")</f>
        <v>Celtics de Boston (2)</v>
      </c>
    </row>
    <row r="5">
      <c r="A5" s="2" t="str">
        <f>IFERROR(__xludf.DUMMYFUNCTION("""COMPUTED_VALUE"""),"1958-1959")</f>
        <v>1958-1959</v>
      </c>
      <c r="B5" s="2" t="str">
        <f>IFERROR(__xludf.DUMMYFUNCTION("""COMPUTED_VALUE"""),"Bob Pettit (2)")</f>
        <v>Bob Pettit (2)</v>
      </c>
      <c r="C5" s="2" t="str">
        <f>IFERROR(__xludf.DUMMYFUNCTION("""COMPUTED_VALUE"""),"Ailier fort/Pivot")</f>
        <v>Ailier fort/Pivot</v>
      </c>
      <c r="D5" s="2"/>
      <c r="E5" s="2" t="str">
        <f>IFERROR(__xludf.DUMMYFUNCTION("""COMPUTED_VALUE"""),"Hawks de Saint-Louis (2)")</f>
        <v>Hawks de Saint-Louis (2)</v>
      </c>
      <c r="I5" s="1" t="s">
        <v>37</v>
      </c>
      <c r="J5" s="1" t="s">
        <v>38</v>
      </c>
    </row>
    <row r="6">
      <c r="A6" s="2" t="str">
        <f>IFERROR(__xludf.DUMMYFUNCTION("""COMPUTED_VALUE"""),"1959-1960")</f>
        <v>1959-1960</v>
      </c>
      <c r="B6" s="2" t="str">
        <f>IFERROR(__xludf.DUMMYFUNCTION("""COMPUTED_VALUE"""),"Wilt Chamberlain")</f>
        <v>Wilt Chamberlain</v>
      </c>
      <c r="C6" s="2" t="str">
        <f>IFERROR(__xludf.DUMMYFUNCTION("""COMPUTED_VALUE"""),"Pivot")</f>
        <v>Pivot</v>
      </c>
      <c r="D6" s="2"/>
      <c r="E6" s="2" t="str">
        <f>IFERROR(__xludf.DUMMYFUNCTION("""COMPUTED_VALUE"""),"Warriors de Philadelphie")</f>
        <v>Warriors de Philadelphie</v>
      </c>
      <c r="I6" s="1" t="s">
        <v>39</v>
      </c>
    </row>
    <row r="7">
      <c r="A7" s="2" t="str">
        <f>IFERROR(__xludf.DUMMYFUNCTION("""COMPUTED_VALUE"""),"1960-1961*C*")</f>
        <v>1960-1961*C*</v>
      </c>
      <c r="B7" s="2" t="str">
        <f>IFERROR(__xludf.DUMMYFUNCTION("""COMPUTED_VALUE"""),"Bill Russell (2)")</f>
        <v>Bill Russell (2)</v>
      </c>
      <c r="C7" s="2" t="str">
        <f>IFERROR(__xludf.DUMMYFUNCTION("""COMPUTED_VALUE"""),"Pivot")</f>
        <v>Pivot</v>
      </c>
      <c r="D7" s="2"/>
      <c r="E7" s="2" t="str">
        <f>IFERROR(__xludf.DUMMYFUNCTION("""COMPUTED_VALUE"""),"Celtics de Boston (3)")</f>
        <v>Celtics de Boston (3)</v>
      </c>
    </row>
    <row r="8">
      <c r="A8" s="2" t="str">
        <f>IFERROR(__xludf.DUMMYFUNCTION("""COMPUTED_VALUE"""),"1961-1962*C*")</f>
        <v>1961-1962*C*</v>
      </c>
      <c r="B8" s="2" t="str">
        <f>IFERROR(__xludf.DUMMYFUNCTION("""COMPUTED_VALUE"""),"Bill Russell (3)")</f>
        <v>Bill Russell (3)</v>
      </c>
      <c r="C8" s="2" t="str">
        <f>IFERROR(__xludf.DUMMYFUNCTION("""COMPUTED_VALUE"""),"Pivot")</f>
        <v>Pivot</v>
      </c>
      <c r="D8" s="2"/>
      <c r="E8" s="2" t="str">
        <f>IFERROR(__xludf.DUMMYFUNCTION("""COMPUTED_VALUE"""),"Celtics de Boston (4)")</f>
        <v>Celtics de Boston (4)</v>
      </c>
    </row>
    <row r="9">
      <c r="A9" s="2" t="str">
        <f>IFERROR(__xludf.DUMMYFUNCTION("""COMPUTED_VALUE"""),"1962-1963*C*")</f>
        <v>1962-1963*C*</v>
      </c>
      <c r="B9" s="2" t="str">
        <f>IFERROR(__xludf.DUMMYFUNCTION("""COMPUTED_VALUE"""),"Bill Russell (4)")</f>
        <v>Bill Russell (4)</v>
      </c>
      <c r="C9" s="2" t="str">
        <f>IFERROR(__xludf.DUMMYFUNCTION("""COMPUTED_VALUE"""),"Pivot")</f>
        <v>Pivot</v>
      </c>
      <c r="D9" s="2"/>
      <c r="E9" s="2" t="str">
        <f>IFERROR(__xludf.DUMMYFUNCTION("""COMPUTED_VALUE"""),"Celtics de Boston (5)")</f>
        <v>Celtics de Boston (5)</v>
      </c>
    </row>
    <row r="10">
      <c r="A10" s="2" t="str">
        <f>IFERROR(__xludf.DUMMYFUNCTION("""COMPUTED_VALUE"""),"1963-1964")</f>
        <v>1963-1964</v>
      </c>
      <c r="B10" s="2" t="str">
        <f>IFERROR(__xludf.DUMMYFUNCTION("""COMPUTED_VALUE"""),"Oscar Robertson")</f>
        <v>Oscar Robertson</v>
      </c>
      <c r="C10" s="2" t="str">
        <f>IFERROR(__xludf.DUMMYFUNCTION("""COMPUTED_VALUE"""),"Meneur")</f>
        <v>Meneur</v>
      </c>
      <c r="D10" s="2"/>
      <c r="E10" s="2" t="str">
        <f>IFERROR(__xludf.DUMMYFUNCTION("""COMPUTED_VALUE"""),"Royals de Cincinnati")</f>
        <v>Royals de Cincinnati</v>
      </c>
    </row>
    <row r="11">
      <c r="A11" s="2" t="str">
        <f>IFERROR(__xludf.DUMMYFUNCTION("""COMPUTED_VALUE"""),"1964-1965")</f>
        <v>1964-1965</v>
      </c>
      <c r="B11" s="2" t="str">
        <f>IFERROR(__xludf.DUMMYFUNCTION("""COMPUTED_VALUE"""),"Bill Russell (5)")</f>
        <v>Bill Russell (5)</v>
      </c>
      <c r="C11" s="2" t="str">
        <f>IFERROR(__xludf.DUMMYFUNCTION("""COMPUTED_VALUE"""),"Pivot")</f>
        <v>Pivot</v>
      </c>
      <c r="D11" s="2"/>
      <c r="E11" s="2" t="str">
        <f>IFERROR(__xludf.DUMMYFUNCTION("""COMPUTED_VALUE"""),"Celtics de Boston (6)")</f>
        <v>Celtics de Boston (6)</v>
      </c>
    </row>
    <row r="12">
      <c r="A12" s="2" t="str">
        <f>IFERROR(__xludf.DUMMYFUNCTION("""COMPUTED_VALUE"""),"1965-1966")</f>
        <v>1965-1966</v>
      </c>
      <c r="B12" s="2" t="str">
        <f>IFERROR(__xludf.DUMMYFUNCTION("""COMPUTED_VALUE"""),"Wilt Chamberlain (2)")</f>
        <v>Wilt Chamberlain (2)</v>
      </c>
      <c r="C12" s="2" t="str">
        <f>IFERROR(__xludf.DUMMYFUNCTION("""COMPUTED_VALUE"""),"Pivot")</f>
        <v>Pivot</v>
      </c>
      <c r="D12" s="2"/>
      <c r="E12" s="2" t="str">
        <f>IFERROR(__xludf.DUMMYFUNCTION("""COMPUTED_VALUE"""),"76ers de Philadelphie")</f>
        <v>76ers de Philadelphie</v>
      </c>
    </row>
    <row r="13">
      <c r="A13" s="2" t="str">
        <f>IFERROR(__xludf.DUMMYFUNCTION("""COMPUTED_VALUE"""),"1966-1967*C*")</f>
        <v>1966-1967*C*</v>
      </c>
      <c r="B13" s="2" t="str">
        <f>IFERROR(__xludf.DUMMYFUNCTION("""COMPUTED_VALUE"""),"Wilt Chamberlain (3)")</f>
        <v>Wilt Chamberlain (3)</v>
      </c>
      <c r="C13" s="2" t="str">
        <f>IFERROR(__xludf.DUMMYFUNCTION("""COMPUTED_VALUE"""),"Pivot")</f>
        <v>Pivot</v>
      </c>
      <c r="D13" s="2"/>
      <c r="E13" s="2" t="str">
        <f>IFERROR(__xludf.DUMMYFUNCTION("""COMPUTED_VALUE"""),"76ers de Philadelphie (2)")</f>
        <v>76ers de Philadelphie (2)</v>
      </c>
    </row>
    <row r="14">
      <c r="A14" s="2" t="str">
        <f>IFERROR(__xludf.DUMMYFUNCTION("""COMPUTED_VALUE"""),"1967-1968")</f>
        <v>1967-1968</v>
      </c>
      <c r="B14" s="2" t="str">
        <f>IFERROR(__xludf.DUMMYFUNCTION("""COMPUTED_VALUE"""),"Wilt Chamberlain (4)")</f>
        <v>Wilt Chamberlain (4)</v>
      </c>
      <c r="C14" s="2" t="str">
        <f>IFERROR(__xludf.DUMMYFUNCTION("""COMPUTED_VALUE"""),"Pivot")</f>
        <v>Pivot</v>
      </c>
      <c r="D14" s="2"/>
      <c r="E14" s="2" t="str">
        <f>IFERROR(__xludf.DUMMYFUNCTION("""COMPUTED_VALUE"""),"76ers de Philadelphie (3)")</f>
        <v>76ers de Philadelphie (3)</v>
      </c>
    </row>
    <row r="15">
      <c r="A15" s="2" t="str">
        <f>IFERROR(__xludf.DUMMYFUNCTION("""COMPUTED_VALUE"""),"1968-1969")</f>
        <v>1968-1969</v>
      </c>
      <c r="B15" s="2" t="str">
        <f>IFERROR(__xludf.DUMMYFUNCTION("""COMPUTED_VALUE"""),"Wes Unseld")</f>
        <v>Wes Unseld</v>
      </c>
      <c r="C15" s="2" t="str">
        <f>IFERROR(__xludf.DUMMYFUNCTION("""COMPUTED_VALUE"""),"Pivot/Ailier fort")</f>
        <v>Pivot/Ailier fort</v>
      </c>
      <c r="D15" s="2"/>
      <c r="E15" s="2" t="str">
        <f>IFERROR(__xludf.DUMMYFUNCTION("""COMPUTED_VALUE"""),"Bullets de Baltimore")</f>
        <v>Bullets de Baltimore</v>
      </c>
    </row>
    <row r="16">
      <c r="A16" s="2" t="str">
        <f>IFERROR(__xludf.DUMMYFUNCTION("""COMPUTED_VALUE"""),"1969-1970*C*")</f>
        <v>1969-1970*C*</v>
      </c>
      <c r="B16" s="2" t="str">
        <f>IFERROR(__xludf.DUMMYFUNCTION("""COMPUTED_VALUE"""),"Willis Reed")</f>
        <v>Willis Reed</v>
      </c>
      <c r="C16" s="2" t="str">
        <f>IFERROR(__xludf.DUMMYFUNCTION("""COMPUTED_VALUE"""),"Pivot")</f>
        <v>Pivot</v>
      </c>
      <c r="D16" s="2"/>
      <c r="E16" s="2" t="str">
        <f>IFERROR(__xludf.DUMMYFUNCTION("""COMPUTED_VALUE"""),"Knicks de New York")</f>
        <v>Knicks de New York</v>
      </c>
    </row>
    <row r="17">
      <c r="A17" s="2" t="str">
        <f>IFERROR(__xludf.DUMMYFUNCTION("""COMPUTED_VALUE"""),"1970-1971*C*")</f>
        <v>1970-1971*C*</v>
      </c>
      <c r="B17" s="2" t="str">
        <f>IFERROR(__xludf.DUMMYFUNCTION("""COMPUTED_VALUE"""),"Kareem Abdul-Jabbar")</f>
        <v>Kareem Abdul-Jabbar</v>
      </c>
      <c r="C17" s="2" t="str">
        <f>IFERROR(__xludf.DUMMYFUNCTION("""COMPUTED_VALUE"""),"Pivot")</f>
        <v>Pivot</v>
      </c>
      <c r="D17" s="2"/>
      <c r="E17" s="2" t="str">
        <f>IFERROR(__xludf.DUMMYFUNCTION("""COMPUTED_VALUE"""),"Bucks de Milwaukee")</f>
        <v>Bucks de Milwaukee</v>
      </c>
    </row>
    <row r="18">
      <c r="A18" s="2" t="str">
        <f>IFERROR(__xludf.DUMMYFUNCTION("""COMPUTED_VALUE"""),"1971-1972")</f>
        <v>1971-1972</v>
      </c>
      <c r="B18" s="2" t="str">
        <f>IFERROR(__xludf.DUMMYFUNCTION("""COMPUTED_VALUE"""),"Kareem Abdul-Jabbar (2)")</f>
        <v>Kareem Abdul-Jabbar (2)</v>
      </c>
      <c r="C18" s="2" t="str">
        <f>IFERROR(__xludf.DUMMYFUNCTION("""COMPUTED_VALUE"""),"Pivot")</f>
        <v>Pivot</v>
      </c>
      <c r="D18" s="2"/>
      <c r="E18" s="2" t="str">
        <f>IFERROR(__xludf.DUMMYFUNCTION("""COMPUTED_VALUE"""),"Bucks de Milwaukee (2)")</f>
        <v>Bucks de Milwaukee (2)</v>
      </c>
    </row>
    <row r="19">
      <c r="A19" s="2" t="str">
        <f>IFERROR(__xludf.DUMMYFUNCTION("""COMPUTED_VALUE"""),"1972-1973")</f>
        <v>1972-1973</v>
      </c>
      <c r="B19" s="2" t="str">
        <f>IFERROR(__xludf.DUMMYFUNCTION("""COMPUTED_VALUE"""),"Dave Cowens")</f>
        <v>Dave Cowens</v>
      </c>
      <c r="C19" s="2" t="str">
        <f>IFERROR(__xludf.DUMMYFUNCTION("""COMPUTED_VALUE"""),"Pivot")</f>
        <v>Pivot</v>
      </c>
      <c r="D19" s="2"/>
      <c r="E19" s="2" t="str">
        <f>IFERROR(__xludf.DUMMYFUNCTION("""COMPUTED_VALUE"""),"Celtics de Boston (7)")</f>
        <v>Celtics de Boston (7)</v>
      </c>
    </row>
    <row r="20">
      <c r="A20" s="2" t="str">
        <f>IFERROR(__xludf.DUMMYFUNCTION("""COMPUTED_VALUE"""),"1973-1974")</f>
        <v>1973-1974</v>
      </c>
      <c r="B20" s="2" t="str">
        <f>IFERROR(__xludf.DUMMYFUNCTION("""COMPUTED_VALUE"""),"Kareem Abdul-Jabbar (3)")</f>
        <v>Kareem Abdul-Jabbar (3)</v>
      </c>
      <c r="C20" s="2" t="str">
        <f>IFERROR(__xludf.DUMMYFUNCTION("""COMPUTED_VALUE"""),"Pivot")</f>
        <v>Pivot</v>
      </c>
      <c r="D20" s="2"/>
      <c r="E20" s="2" t="str">
        <f>IFERROR(__xludf.DUMMYFUNCTION("""COMPUTED_VALUE"""),"Bucks de Milwaukee (3)")</f>
        <v>Bucks de Milwaukee (3)</v>
      </c>
    </row>
    <row r="21">
      <c r="A21" s="2" t="str">
        <f>IFERROR(__xludf.DUMMYFUNCTION("""COMPUTED_VALUE"""),"1974-1975")</f>
        <v>1974-1975</v>
      </c>
      <c r="B21" s="2" t="str">
        <f>IFERROR(__xludf.DUMMYFUNCTION("""COMPUTED_VALUE"""),"Bob McAdoo")</f>
        <v>Bob McAdoo</v>
      </c>
      <c r="C21" s="2" t="str">
        <f>IFERROR(__xludf.DUMMYFUNCTION("""COMPUTED_VALUE"""),"Ailier fort/Pivot")</f>
        <v>Ailier fort/Pivot</v>
      </c>
      <c r="D21" s="2"/>
      <c r="E21" s="2" t="str">
        <f>IFERROR(__xludf.DUMMYFUNCTION("""COMPUTED_VALUE"""),"Braves de Buffalo")</f>
        <v>Braves de Buffalo</v>
      </c>
    </row>
    <row r="22">
      <c r="A22" s="2" t="str">
        <f>IFERROR(__xludf.DUMMYFUNCTION("""COMPUTED_VALUE"""),"1975-1976")</f>
        <v>1975-1976</v>
      </c>
      <c r="B22" s="2" t="str">
        <f>IFERROR(__xludf.DUMMYFUNCTION("""COMPUTED_VALUE"""),"Kareem Abdul-Jabbar (4)")</f>
        <v>Kareem Abdul-Jabbar (4)</v>
      </c>
      <c r="C22" s="2" t="str">
        <f>IFERROR(__xludf.DUMMYFUNCTION("""COMPUTED_VALUE"""),"Pivot")</f>
        <v>Pivot</v>
      </c>
      <c r="D22" s="2"/>
      <c r="E22" s="2" t="str">
        <f>IFERROR(__xludf.DUMMYFUNCTION("""COMPUTED_VALUE"""),"Lakers de Los Angeles")</f>
        <v>Lakers de Los Angeles</v>
      </c>
    </row>
    <row r="23">
      <c r="A23" s="2" t="str">
        <f>IFERROR(__xludf.DUMMYFUNCTION("""COMPUTED_VALUE"""),"1976-1977")</f>
        <v>1976-1977</v>
      </c>
      <c r="B23" s="2" t="str">
        <f>IFERROR(__xludf.DUMMYFUNCTION("""COMPUTED_VALUE"""),"Kareem Abdul-Jabbar (5)")</f>
        <v>Kareem Abdul-Jabbar (5)</v>
      </c>
      <c r="C23" s="2" t="str">
        <f>IFERROR(__xludf.DUMMYFUNCTION("""COMPUTED_VALUE"""),"Pivot")</f>
        <v>Pivot</v>
      </c>
      <c r="D23" s="2"/>
      <c r="E23" s="2" t="str">
        <f>IFERROR(__xludf.DUMMYFUNCTION("""COMPUTED_VALUE"""),"Lakers de Los Angeles (2)")</f>
        <v>Lakers de Los Angeles (2)</v>
      </c>
    </row>
    <row r="24">
      <c r="A24" s="2" t="str">
        <f>IFERROR(__xludf.DUMMYFUNCTION("""COMPUTED_VALUE"""),"1977-1978")</f>
        <v>1977-1978</v>
      </c>
      <c r="B24" s="2" t="str">
        <f>IFERROR(__xludf.DUMMYFUNCTION("""COMPUTED_VALUE"""),"Bill Walton")</f>
        <v>Bill Walton</v>
      </c>
      <c r="C24" s="2" t="str">
        <f>IFERROR(__xludf.DUMMYFUNCTION("""COMPUTED_VALUE"""),"Pivot")</f>
        <v>Pivot</v>
      </c>
      <c r="D24" s="2"/>
      <c r="E24" s="2" t="str">
        <f>IFERROR(__xludf.DUMMYFUNCTION("""COMPUTED_VALUE"""),"Trail Blazers de Portland")</f>
        <v>Trail Blazers de Portland</v>
      </c>
    </row>
    <row r="25">
      <c r="A25" s="2" t="str">
        <f>IFERROR(__xludf.DUMMYFUNCTION("""COMPUTED_VALUE"""),"1978-1979")</f>
        <v>1978-1979</v>
      </c>
      <c r="B25" s="2" t="str">
        <f>IFERROR(__xludf.DUMMYFUNCTION("""COMPUTED_VALUE"""),"Moses Malone")</f>
        <v>Moses Malone</v>
      </c>
      <c r="C25" s="2" t="str">
        <f>IFERROR(__xludf.DUMMYFUNCTION("""COMPUTED_VALUE"""),"Pivot")</f>
        <v>Pivot</v>
      </c>
      <c r="D25" s="2"/>
      <c r="E25" s="2" t="str">
        <f>IFERROR(__xludf.DUMMYFUNCTION("""COMPUTED_VALUE"""),"Rockets de Houston")</f>
        <v>Rockets de Houston</v>
      </c>
    </row>
    <row r="26">
      <c r="A26" s="2" t="str">
        <f>IFERROR(__xludf.DUMMYFUNCTION("""COMPUTED_VALUE"""),"1979-1980*C*")</f>
        <v>1979-1980*C*</v>
      </c>
      <c r="B26" s="2" t="str">
        <f>IFERROR(__xludf.DUMMYFUNCTION("""COMPUTED_VALUE"""),"Kareem Abdul-Jabbar (6)")</f>
        <v>Kareem Abdul-Jabbar (6)</v>
      </c>
      <c r="C26" s="2" t="str">
        <f>IFERROR(__xludf.DUMMYFUNCTION("""COMPUTED_VALUE"""),"Pivot")</f>
        <v>Pivot</v>
      </c>
      <c r="D26" s="2"/>
      <c r="E26" s="2" t="str">
        <f>IFERROR(__xludf.DUMMYFUNCTION("""COMPUTED_VALUE"""),"Lakers de Los Angeles (3)")</f>
        <v>Lakers de Los Angeles (3)</v>
      </c>
    </row>
    <row r="27">
      <c r="A27" s="2" t="str">
        <f>IFERROR(__xludf.DUMMYFUNCTION("""COMPUTED_VALUE"""),"1980-1981")</f>
        <v>1980-1981</v>
      </c>
      <c r="B27" s="2" t="str">
        <f>IFERROR(__xludf.DUMMYFUNCTION("""COMPUTED_VALUE"""),"Julius Erving")</f>
        <v>Julius Erving</v>
      </c>
      <c r="C27" s="2" t="str">
        <f>IFERROR(__xludf.DUMMYFUNCTION("""COMPUTED_VALUE"""),"Ailier")</f>
        <v>Ailier</v>
      </c>
      <c r="D27" s="2"/>
      <c r="E27" s="2" t="str">
        <f>IFERROR(__xludf.DUMMYFUNCTION("""COMPUTED_VALUE"""),"76ers de Philadelphie (4)")</f>
        <v>76ers de Philadelphie (4)</v>
      </c>
    </row>
    <row r="28">
      <c r="A28" s="2" t="str">
        <f>IFERROR(__xludf.DUMMYFUNCTION("""COMPUTED_VALUE"""),"1981-1982")</f>
        <v>1981-1982</v>
      </c>
      <c r="B28" s="2" t="str">
        <f>IFERROR(__xludf.DUMMYFUNCTION("""COMPUTED_VALUE"""),"Moses Malone (2)")</f>
        <v>Moses Malone (2)</v>
      </c>
      <c r="C28" s="2" t="str">
        <f>IFERROR(__xludf.DUMMYFUNCTION("""COMPUTED_VALUE"""),"Pivot")</f>
        <v>Pivot</v>
      </c>
      <c r="D28" s="2"/>
      <c r="E28" s="2" t="str">
        <f>IFERROR(__xludf.DUMMYFUNCTION("""COMPUTED_VALUE"""),"Rockets de Houston (2)")</f>
        <v>Rockets de Houston (2)</v>
      </c>
    </row>
    <row r="29">
      <c r="A29" s="2" t="str">
        <f>IFERROR(__xludf.DUMMYFUNCTION("""COMPUTED_VALUE"""),"1982-1983*C*")</f>
        <v>1982-1983*C*</v>
      </c>
      <c r="B29" s="2" t="str">
        <f>IFERROR(__xludf.DUMMYFUNCTION("""COMPUTED_VALUE"""),"Moses Malone (3)")</f>
        <v>Moses Malone (3)</v>
      </c>
      <c r="C29" s="2" t="str">
        <f>IFERROR(__xludf.DUMMYFUNCTION("""COMPUTED_VALUE"""),"Pivot")</f>
        <v>Pivot</v>
      </c>
      <c r="D29" s="2"/>
      <c r="E29" s="2" t="str">
        <f>IFERROR(__xludf.DUMMYFUNCTION("""COMPUTED_VALUE"""),"76ers de Philadelphie (5)")</f>
        <v>76ers de Philadelphie (5)</v>
      </c>
    </row>
    <row r="30">
      <c r="A30" s="2" t="str">
        <f>IFERROR(__xludf.DUMMYFUNCTION("""COMPUTED_VALUE"""),"1983-1984*C*")</f>
        <v>1983-1984*C*</v>
      </c>
      <c r="B30" s="2" t="str">
        <f>IFERROR(__xludf.DUMMYFUNCTION("""COMPUTED_VALUE"""),"Larry Bird")</f>
        <v>Larry Bird</v>
      </c>
      <c r="C30" s="2" t="str">
        <f>IFERROR(__xludf.DUMMYFUNCTION("""COMPUTED_VALUE"""),"Ailier")</f>
        <v>Ailier</v>
      </c>
      <c r="D30" s="2"/>
      <c r="E30" s="2" t="str">
        <f>IFERROR(__xludf.DUMMYFUNCTION("""COMPUTED_VALUE"""),"Celtics de Boston (8)")</f>
        <v>Celtics de Boston (8)</v>
      </c>
    </row>
    <row r="31">
      <c r="A31" s="2" t="str">
        <f>IFERROR(__xludf.DUMMYFUNCTION("""COMPUTED_VALUE"""),"1984-1985")</f>
        <v>1984-1985</v>
      </c>
      <c r="B31" s="2" t="str">
        <f>IFERROR(__xludf.DUMMYFUNCTION("""COMPUTED_VALUE"""),"Larry Bird (2)")</f>
        <v>Larry Bird (2)</v>
      </c>
      <c r="C31" s="2" t="str">
        <f>IFERROR(__xludf.DUMMYFUNCTION("""COMPUTED_VALUE"""),"Ailier")</f>
        <v>Ailier</v>
      </c>
      <c r="D31" s="2"/>
      <c r="E31" s="2" t="str">
        <f>IFERROR(__xludf.DUMMYFUNCTION("""COMPUTED_VALUE"""),"Celtics de Boston (9)")</f>
        <v>Celtics de Boston (9)</v>
      </c>
    </row>
    <row r="32">
      <c r="A32" s="2" t="str">
        <f>IFERROR(__xludf.DUMMYFUNCTION("""COMPUTED_VALUE"""),"1985-1986*C*")</f>
        <v>1985-1986*C*</v>
      </c>
      <c r="B32" s="2" t="str">
        <f>IFERROR(__xludf.DUMMYFUNCTION("""COMPUTED_VALUE"""),"Larry Bird (3)")</f>
        <v>Larry Bird (3)</v>
      </c>
      <c r="C32" s="2" t="str">
        <f>IFERROR(__xludf.DUMMYFUNCTION("""COMPUTED_VALUE"""),"Ailier")</f>
        <v>Ailier</v>
      </c>
      <c r="D32" s="2"/>
      <c r="E32" s="2" t="str">
        <f>IFERROR(__xludf.DUMMYFUNCTION("""COMPUTED_VALUE"""),"Celtics de Boston (10)")</f>
        <v>Celtics de Boston (10)</v>
      </c>
    </row>
    <row r="33">
      <c r="A33" s="2" t="str">
        <f>IFERROR(__xludf.DUMMYFUNCTION("""COMPUTED_VALUE"""),"1986-1987*C*")</f>
        <v>1986-1987*C*</v>
      </c>
      <c r="B33" s="2" t="str">
        <f>IFERROR(__xludf.DUMMYFUNCTION("""COMPUTED_VALUE"""),"Magic Johnson")</f>
        <v>Magic Johnson</v>
      </c>
      <c r="C33" s="2" t="str">
        <f>IFERROR(__xludf.DUMMYFUNCTION("""COMPUTED_VALUE"""),"Meneur")</f>
        <v>Meneur</v>
      </c>
      <c r="D33" s="2"/>
      <c r="E33" s="2" t="str">
        <f>IFERROR(__xludf.DUMMYFUNCTION("""COMPUTED_VALUE"""),"Lakers de Los Angeles (4)")</f>
        <v>Lakers de Los Angeles (4)</v>
      </c>
    </row>
    <row r="34">
      <c r="A34" s="2" t="str">
        <f>IFERROR(__xludf.DUMMYFUNCTION("""COMPUTED_VALUE"""),"1987-1988")</f>
        <v>1987-1988</v>
      </c>
      <c r="B34" s="2" t="str">
        <f>IFERROR(__xludf.DUMMYFUNCTION("""COMPUTED_VALUE"""),"Michael Jordan")</f>
        <v>Michael Jordan</v>
      </c>
      <c r="C34" s="2" t="str">
        <f>IFERROR(__xludf.DUMMYFUNCTION("""COMPUTED_VALUE"""),"Arrière")</f>
        <v>Arrière</v>
      </c>
      <c r="D34" s="2"/>
      <c r="E34" s="2" t="str">
        <f>IFERROR(__xludf.DUMMYFUNCTION("""COMPUTED_VALUE"""),"Bulls de Chicago")</f>
        <v>Bulls de Chicago</v>
      </c>
    </row>
    <row r="35">
      <c r="A35" s="2" t="str">
        <f>IFERROR(__xludf.DUMMYFUNCTION("""COMPUTED_VALUE"""),"1988-1989")</f>
        <v>1988-1989</v>
      </c>
      <c r="B35" s="2" t="str">
        <f>IFERROR(__xludf.DUMMYFUNCTION("""COMPUTED_VALUE"""),"Magic Johnson (2)")</f>
        <v>Magic Johnson (2)</v>
      </c>
      <c r="C35" s="2" t="str">
        <f>IFERROR(__xludf.DUMMYFUNCTION("""COMPUTED_VALUE"""),"Meneur")</f>
        <v>Meneur</v>
      </c>
      <c r="D35" s="2"/>
      <c r="E35" s="2" t="str">
        <f>IFERROR(__xludf.DUMMYFUNCTION("""COMPUTED_VALUE"""),"Lakers de Los Angeles (5)")</f>
        <v>Lakers de Los Angeles (5)</v>
      </c>
    </row>
    <row r="36">
      <c r="A36" s="2" t="str">
        <f>IFERROR(__xludf.DUMMYFUNCTION("""COMPUTED_VALUE"""),"1989-1990")</f>
        <v>1989-1990</v>
      </c>
      <c r="B36" s="2" t="str">
        <f>IFERROR(__xludf.DUMMYFUNCTION("""COMPUTED_VALUE"""),"Magic Johnson (3)")</f>
        <v>Magic Johnson (3)</v>
      </c>
      <c r="C36" s="2" t="str">
        <f>IFERROR(__xludf.DUMMYFUNCTION("""COMPUTED_VALUE"""),"Meneur")</f>
        <v>Meneur</v>
      </c>
      <c r="D36" s="2"/>
      <c r="E36" s="2" t="str">
        <f>IFERROR(__xludf.DUMMYFUNCTION("""COMPUTED_VALUE"""),"Lakers de Los Angeles (6)")</f>
        <v>Lakers de Los Angeles (6)</v>
      </c>
    </row>
    <row r="37">
      <c r="A37" s="2" t="str">
        <f>IFERROR(__xludf.DUMMYFUNCTION("""COMPUTED_VALUE"""),"1990-1991*C*")</f>
        <v>1990-1991*C*</v>
      </c>
      <c r="B37" s="2" t="str">
        <f>IFERROR(__xludf.DUMMYFUNCTION("""COMPUTED_VALUE"""),"Michael Jordan (2)")</f>
        <v>Michael Jordan (2)</v>
      </c>
      <c r="C37" s="2" t="str">
        <f>IFERROR(__xludf.DUMMYFUNCTION("""COMPUTED_VALUE"""),"Arrière")</f>
        <v>Arrière</v>
      </c>
      <c r="D37" s="2"/>
      <c r="E37" s="2" t="str">
        <f>IFERROR(__xludf.DUMMYFUNCTION("""COMPUTED_VALUE"""),"Bulls de Chicago (2)")</f>
        <v>Bulls de Chicago (2)</v>
      </c>
    </row>
    <row r="38">
      <c r="A38" s="2" t="str">
        <f>IFERROR(__xludf.DUMMYFUNCTION("""COMPUTED_VALUE"""),"1991-1992*C*")</f>
        <v>1991-1992*C*</v>
      </c>
      <c r="B38" s="2" t="str">
        <f>IFERROR(__xludf.DUMMYFUNCTION("""COMPUTED_VALUE"""),"Michael Jordan (3)")</f>
        <v>Michael Jordan (3)</v>
      </c>
      <c r="C38" s="2" t="str">
        <f>IFERROR(__xludf.DUMMYFUNCTION("""COMPUTED_VALUE"""),"Arrière")</f>
        <v>Arrière</v>
      </c>
      <c r="D38" s="2"/>
      <c r="E38" s="2" t="str">
        <f>IFERROR(__xludf.DUMMYFUNCTION("""COMPUTED_VALUE"""),"Bulls de Chicago (3)")</f>
        <v>Bulls de Chicago (3)</v>
      </c>
    </row>
    <row r="39">
      <c r="A39" s="2" t="str">
        <f>IFERROR(__xludf.DUMMYFUNCTION("""COMPUTED_VALUE"""),"1992-1993")</f>
        <v>1992-1993</v>
      </c>
      <c r="B39" s="2" t="str">
        <f>IFERROR(__xludf.DUMMYFUNCTION("""COMPUTED_VALUE"""),"Charles Barkley")</f>
        <v>Charles Barkley</v>
      </c>
      <c r="C39" s="2" t="str">
        <f>IFERROR(__xludf.DUMMYFUNCTION("""COMPUTED_VALUE"""),"Ailier fort")</f>
        <v>Ailier fort</v>
      </c>
      <c r="D39" s="2"/>
      <c r="E39" s="2" t="str">
        <f>IFERROR(__xludf.DUMMYFUNCTION("""COMPUTED_VALUE"""),"Suns de Phoenix")</f>
        <v>Suns de Phoenix</v>
      </c>
    </row>
    <row r="40">
      <c r="A40" s="2" t="str">
        <f>IFERROR(__xludf.DUMMYFUNCTION("""COMPUTED_VALUE"""),"1993-1994*C*")</f>
        <v>1993-1994*C*</v>
      </c>
      <c r="B40" s="2" t="str">
        <f>IFERROR(__xludf.DUMMYFUNCTION("""COMPUTED_VALUE"""),"Hakeem Olajuwon")</f>
        <v>Hakeem Olajuwon</v>
      </c>
      <c r="C40" s="2" t="str">
        <f>IFERROR(__xludf.DUMMYFUNCTION("""COMPUTED_VALUE"""),"Pivot")</f>
        <v>Pivot</v>
      </c>
      <c r="D40" s="2" t="str">
        <f>IFERROR(__xludf.DUMMYFUNCTION("""COMPUTED_VALUE"""),"Nigériane")</f>
        <v>Nigériane</v>
      </c>
      <c r="E40" s="2" t="str">
        <f>IFERROR(__xludf.DUMMYFUNCTION("""COMPUTED_VALUE"""),"Rockets de Houston (3)")</f>
        <v>Rockets de Houston (3)</v>
      </c>
    </row>
    <row r="41">
      <c r="A41" s="2" t="str">
        <f>IFERROR(__xludf.DUMMYFUNCTION("""COMPUTED_VALUE"""),"1994-1995")</f>
        <v>1994-1995</v>
      </c>
      <c r="B41" s="2" t="str">
        <f>IFERROR(__xludf.DUMMYFUNCTION("""COMPUTED_VALUE"""),"David Robinson")</f>
        <v>David Robinson</v>
      </c>
      <c r="C41" s="2" t="str">
        <f>IFERROR(__xludf.DUMMYFUNCTION("""COMPUTED_VALUE"""),"Pivot")</f>
        <v>Pivot</v>
      </c>
      <c r="D41" s="2" t="str">
        <f>IFERROR(__xludf.DUMMYFUNCTION("""COMPUTED_VALUE"""),"Américaine")</f>
        <v>Américaine</v>
      </c>
      <c r="E41" s="2" t="str">
        <f>IFERROR(__xludf.DUMMYFUNCTION("""COMPUTED_VALUE"""),"Spurs de San Antonio")</f>
        <v>Spurs de San Antonio</v>
      </c>
    </row>
    <row r="42">
      <c r="A42" s="2" t="str">
        <f>IFERROR(__xludf.DUMMYFUNCTION("""COMPUTED_VALUE"""),"1995-1996*C*")</f>
        <v>1995-1996*C*</v>
      </c>
      <c r="B42" s="2" t="str">
        <f>IFERROR(__xludf.DUMMYFUNCTION("""COMPUTED_VALUE"""),"Michael Jordan (4)")</f>
        <v>Michael Jordan (4)</v>
      </c>
      <c r="C42" s="2" t="str">
        <f>IFERROR(__xludf.DUMMYFUNCTION("""COMPUTED_VALUE"""),"Arrière")</f>
        <v>Arrière</v>
      </c>
      <c r="D42" s="2"/>
      <c r="E42" s="2" t="str">
        <f>IFERROR(__xludf.DUMMYFUNCTION("""COMPUTED_VALUE"""),"Bulls de Chicago (4)")</f>
        <v>Bulls de Chicago (4)</v>
      </c>
    </row>
    <row r="43">
      <c r="A43" s="2" t="str">
        <f>IFERROR(__xludf.DUMMYFUNCTION("""COMPUTED_VALUE"""),"1996-1997")</f>
        <v>1996-1997</v>
      </c>
      <c r="B43" s="2" t="str">
        <f>IFERROR(__xludf.DUMMYFUNCTION("""COMPUTED_VALUE"""),"Karl Malone")</f>
        <v>Karl Malone</v>
      </c>
      <c r="C43" s="2" t="str">
        <f>IFERROR(__xludf.DUMMYFUNCTION("""COMPUTED_VALUE"""),"Ailier fort")</f>
        <v>Ailier fort</v>
      </c>
      <c r="D43" s="2"/>
      <c r="E43" s="2" t="str">
        <f>IFERROR(__xludf.DUMMYFUNCTION("""COMPUTED_VALUE"""),"Jazz de l'Utah")</f>
        <v>Jazz de l'Utah</v>
      </c>
    </row>
    <row r="44">
      <c r="A44" s="2" t="str">
        <f>IFERROR(__xludf.DUMMYFUNCTION("""COMPUTED_VALUE"""),"1997-1998*C*")</f>
        <v>1997-1998*C*</v>
      </c>
      <c r="B44" s="2" t="str">
        <f>IFERROR(__xludf.DUMMYFUNCTION("""COMPUTED_VALUE"""),"Michael Jordan (5)")</f>
        <v>Michael Jordan (5)</v>
      </c>
      <c r="C44" s="2" t="str">
        <f>IFERROR(__xludf.DUMMYFUNCTION("""COMPUTED_VALUE"""),"Arrière")</f>
        <v>Arrière</v>
      </c>
      <c r="D44" s="2"/>
      <c r="E44" s="2" t="str">
        <f>IFERROR(__xludf.DUMMYFUNCTION("""COMPUTED_VALUE"""),"Bulls de Chicago (5)")</f>
        <v>Bulls de Chicago (5)</v>
      </c>
    </row>
    <row r="45">
      <c r="A45" s="2" t="str">
        <f>IFERROR(__xludf.DUMMYFUNCTION("""COMPUTED_VALUE"""),"1998-1999")</f>
        <v>1998-1999</v>
      </c>
      <c r="B45" s="2" t="str">
        <f>IFERROR(__xludf.DUMMYFUNCTION("""COMPUTED_VALUE"""),"Karl Malone (2)")</f>
        <v>Karl Malone (2)</v>
      </c>
      <c r="C45" s="2" t="str">
        <f>IFERROR(__xludf.DUMMYFUNCTION("""COMPUTED_VALUE"""),"Ailier fort")</f>
        <v>Ailier fort</v>
      </c>
      <c r="D45" s="2"/>
      <c r="E45" s="2" t="str">
        <f>IFERROR(__xludf.DUMMYFUNCTION("""COMPUTED_VALUE"""),"Jazz de l'Utah (2)")</f>
        <v>Jazz de l'Utah (2)</v>
      </c>
    </row>
    <row r="46">
      <c r="A46" s="2" t="str">
        <f>IFERROR(__xludf.DUMMYFUNCTION("""COMPUTED_VALUE"""),"1999-2000*C*")</f>
        <v>1999-2000*C*</v>
      </c>
      <c r="B46" s="2" t="str">
        <f>IFERROR(__xludf.DUMMYFUNCTION("""COMPUTED_VALUE"""),"Shaquille O'Neal")</f>
        <v>Shaquille O'Neal</v>
      </c>
      <c r="C46" s="2" t="str">
        <f>IFERROR(__xludf.DUMMYFUNCTION("""COMPUTED_VALUE"""),"Pivot")</f>
        <v>Pivot</v>
      </c>
      <c r="D46" s="2"/>
      <c r="E46" s="2" t="str">
        <f>IFERROR(__xludf.DUMMYFUNCTION("""COMPUTED_VALUE"""),"Lakers de Los Angeles (7)")</f>
        <v>Lakers de Los Angeles (7)</v>
      </c>
    </row>
    <row r="47">
      <c r="A47" s="2" t="str">
        <f>IFERROR(__xludf.DUMMYFUNCTION("""COMPUTED_VALUE"""),"2000-2001")</f>
        <v>2000-2001</v>
      </c>
      <c r="B47" s="2" t="str">
        <f>IFERROR(__xludf.DUMMYFUNCTION("""COMPUTED_VALUE"""),"Allen Iverson")</f>
        <v>Allen Iverson</v>
      </c>
      <c r="C47" s="2" t="str">
        <f>IFERROR(__xludf.DUMMYFUNCTION("""COMPUTED_VALUE"""),"Meneur")</f>
        <v>Meneur</v>
      </c>
      <c r="D47" s="2"/>
      <c r="E47" s="2" t="str">
        <f>IFERROR(__xludf.DUMMYFUNCTION("""COMPUTED_VALUE"""),"76ers de Philadelphie (6)")</f>
        <v>76ers de Philadelphie (6)</v>
      </c>
    </row>
    <row r="48">
      <c r="A48" s="2" t="str">
        <f>IFERROR(__xludf.DUMMYFUNCTION("""COMPUTED_VALUE"""),"2001-2002")</f>
        <v>2001-2002</v>
      </c>
      <c r="B48" s="2" t="str">
        <f>IFERROR(__xludf.DUMMYFUNCTION("""COMPUTED_VALUE"""),"Tim Duncan")</f>
        <v>Tim Duncan</v>
      </c>
      <c r="C48" s="2" t="str">
        <f>IFERROR(__xludf.DUMMYFUNCTION("""COMPUTED_VALUE"""),"Ailier fort")</f>
        <v>Ailier fort</v>
      </c>
      <c r="D48" s="2"/>
      <c r="E48" s="2" t="str">
        <f>IFERROR(__xludf.DUMMYFUNCTION("""COMPUTED_VALUE"""),"Spurs de San Antonio (2)")</f>
        <v>Spurs de San Antonio (2)</v>
      </c>
    </row>
    <row r="49">
      <c r="A49" s="2" t="str">
        <f>IFERROR(__xludf.DUMMYFUNCTION("""COMPUTED_VALUE"""),"2002-2003*C*")</f>
        <v>2002-2003*C*</v>
      </c>
      <c r="B49" s="2" t="str">
        <f>IFERROR(__xludf.DUMMYFUNCTION("""COMPUTED_VALUE"""),"Tim Duncan (2)")</f>
        <v>Tim Duncan (2)</v>
      </c>
      <c r="C49" s="2" t="str">
        <f>IFERROR(__xludf.DUMMYFUNCTION("""COMPUTED_VALUE"""),"Ailier fort")</f>
        <v>Ailier fort</v>
      </c>
      <c r="D49" s="2"/>
      <c r="E49" s="2" t="str">
        <f>IFERROR(__xludf.DUMMYFUNCTION("""COMPUTED_VALUE"""),"Spurs de San Antonio (3)")</f>
        <v>Spurs de San Antonio (3)</v>
      </c>
    </row>
    <row r="50">
      <c r="A50" s="2" t="str">
        <f>IFERROR(__xludf.DUMMYFUNCTION("""COMPUTED_VALUE"""),"2003-2004")</f>
        <v>2003-2004</v>
      </c>
      <c r="B50" s="2" t="str">
        <f>IFERROR(__xludf.DUMMYFUNCTION("""COMPUTED_VALUE"""),"Kevin Garnett")</f>
        <v>Kevin Garnett</v>
      </c>
      <c r="C50" s="2" t="str">
        <f>IFERROR(__xludf.DUMMYFUNCTION("""COMPUTED_VALUE"""),"Ailier fort")</f>
        <v>Ailier fort</v>
      </c>
      <c r="D50" s="2"/>
      <c r="E50" s="2" t="str">
        <f>IFERROR(__xludf.DUMMYFUNCTION("""COMPUTED_VALUE"""),"Timberwolves du Minnesota")</f>
        <v>Timberwolves du Minnesota</v>
      </c>
    </row>
    <row r="51">
      <c r="A51" s="2" t="str">
        <f>IFERROR(__xludf.DUMMYFUNCTION("""COMPUTED_VALUE"""),"2004-2005")</f>
        <v>2004-2005</v>
      </c>
      <c r="B51" s="2" t="str">
        <f>IFERROR(__xludf.DUMMYFUNCTION("""COMPUTED_VALUE"""),"Steve Nash")</f>
        <v>Steve Nash</v>
      </c>
      <c r="C51" s="2" t="str">
        <f>IFERROR(__xludf.DUMMYFUNCTION("""COMPUTED_VALUE"""),"Meneur")</f>
        <v>Meneur</v>
      </c>
      <c r="D51" s="2" t="str">
        <f>IFERROR(__xludf.DUMMYFUNCTION("""COMPUTED_VALUE"""),"Canadienne")</f>
        <v>Canadienne</v>
      </c>
      <c r="E51" s="2" t="str">
        <f>IFERROR(__xludf.DUMMYFUNCTION("""COMPUTED_VALUE"""),"Suns de Phoenix (2)")</f>
        <v>Suns de Phoenix (2)</v>
      </c>
    </row>
    <row r="52">
      <c r="A52" s="2" t="str">
        <f>IFERROR(__xludf.DUMMYFUNCTION("""COMPUTED_VALUE"""),"2005-2006")</f>
        <v>2005-2006</v>
      </c>
      <c r="B52" s="2" t="str">
        <f>IFERROR(__xludf.DUMMYFUNCTION("""COMPUTED_VALUE"""),"Steve Nash (2)")</f>
        <v>Steve Nash (2)</v>
      </c>
      <c r="C52" s="2" t="str">
        <f>IFERROR(__xludf.DUMMYFUNCTION("""COMPUTED_VALUE"""),"Meneur")</f>
        <v>Meneur</v>
      </c>
      <c r="D52" s="2"/>
      <c r="E52" s="2" t="str">
        <f>IFERROR(__xludf.DUMMYFUNCTION("""COMPUTED_VALUE"""),"Suns de Phoenix (3)")</f>
        <v>Suns de Phoenix (3)</v>
      </c>
    </row>
    <row r="53">
      <c r="A53" s="2" t="str">
        <f>IFERROR(__xludf.DUMMYFUNCTION("""COMPUTED_VALUE"""),"2006-2007")</f>
        <v>2006-2007</v>
      </c>
      <c r="B53" s="2" t="str">
        <f>IFERROR(__xludf.DUMMYFUNCTION("""COMPUTED_VALUE"""),"Dirk Nowitzki")</f>
        <v>Dirk Nowitzki</v>
      </c>
      <c r="C53" s="2" t="str">
        <f>IFERROR(__xludf.DUMMYFUNCTION("""COMPUTED_VALUE"""),"Ailier fort")</f>
        <v>Ailier fort</v>
      </c>
      <c r="D53" s="2" t="str">
        <f>IFERROR(__xludf.DUMMYFUNCTION("""COMPUTED_VALUE"""),"Allemande")</f>
        <v>Allemande</v>
      </c>
      <c r="E53" s="2" t="str">
        <f>IFERROR(__xludf.DUMMYFUNCTION("""COMPUTED_VALUE"""),"Mavericks de Dallas")</f>
        <v>Mavericks de Dallas</v>
      </c>
    </row>
    <row r="54">
      <c r="A54" s="2" t="str">
        <f>IFERROR(__xludf.DUMMYFUNCTION("""COMPUTED_VALUE"""),"2007-2008")</f>
        <v>2007-2008</v>
      </c>
      <c r="B54" s="2" t="str">
        <f>IFERROR(__xludf.DUMMYFUNCTION("""COMPUTED_VALUE"""),"Kobe Bryant")</f>
        <v>Kobe Bryant</v>
      </c>
      <c r="C54" s="2" t="str">
        <f>IFERROR(__xludf.DUMMYFUNCTION("""COMPUTED_VALUE"""),"Arrière")</f>
        <v>Arrière</v>
      </c>
      <c r="D54" s="2" t="str">
        <f>IFERROR(__xludf.DUMMYFUNCTION("""COMPUTED_VALUE"""),"Américaine")</f>
        <v>Américaine</v>
      </c>
      <c r="E54" s="2" t="str">
        <f>IFERROR(__xludf.DUMMYFUNCTION("""COMPUTED_VALUE"""),"Lakers de Los Angeles (8)")</f>
        <v>Lakers de Los Angeles (8)</v>
      </c>
    </row>
    <row r="55">
      <c r="A55" s="2" t="str">
        <f>IFERROR(__xludf.DUMMYFUNCTION("""COMPUTED_VALUE"""),"2008-2009")</f>
        <v>2008-2009</v>
      </c>
      <c r="B55" s="2" t="str">
        <f>IFERROR(__xludf.DUMMYFUNCTION("""COMPUTED_VALUE"""),"LeBron James")</f>
        <v>LeBron James</v>
      </c>
      <c r="C55" s="2" t="str">
        <f>IFERROR(__xludf.DUMMYFUNCTION("""COMPUTED_VALUE"""),"Ailier")</f>
        <v>Ailier</v>
      </c>
      <c r="D55" s="2"/>
      <c r="E55" s="2" t="str">
        <f>IFERROR(__xludf.DUMMYFUNCTION("""COMPUTED_VALUE"""),"Cavaliers de Cleveland")</f>
        <v>Cavaliers de Cleveland</v>
      </c>
    </row>
    <row r="56">
      <c r="A56" s="2" t="str">
        <f>IFERROR(__xludf.DUMMYFUNCTION("""COMPUTED_VALUE"""),"2009-2010")</f>
        <v>2009-2010</v>
      </c>
      <c r="B56" s="2" t="str">
        <f>IFERROR(__xludf.DUMMYFUNCTION("""COMPUTED_VALUE"""),"LeBron James (2)")</f>
        <v>LeBron James (2)</v>
      </c>
      <c r="C56" s="2" t="str">
        <f>IFERROR(__xludf.DUMMYFUNCTION("""COMPUTED_VALUE"""),"Ailier")</f>
        <v>Ailier</v>
      </c>
      <c r="D56" s="2"/>
      <c r="E56" s="2" t="str">
        <f>IFERROR(__xludf.DUMMYFUNCTION("""COMPUTED_VALUE"""),"Cavaliers de Cleveland (2)")</f>
        <v>Cavaliers de Cleveland (2)</v>
      </c>
    </row>
    <row r="57">
      <c r="A57" s="2" t="str">
        <f>IFERROR(__xludf.DUMMYFUNCTION("""COMPUTED_VALUE"""),"2010-2011")</f>
        <v>2010-2011</v>
      </c>
      <c r="B57" s="2" t="str">
        <f>IFERROR(__xludf.DUMMYFUNCTION("""COMPUTED_VALUE"""),"Derrick Rose")</f>
        <v>Derrick Rose</v>
      </c>
      <c r="C57" s="2" t="str">
        <f>IFERROR(__xludf.DUMMYFUNCTION("""COMPUTED_VALUE"""),"Meneur")</f>
        <v>Meneur</v>
      </c>
      <c r="D57" s="2"/>
      <c r="E57" s="2" t="str">
        <f>IFERROR(__xludf.DUMMYFUNCTION("""COMPUTED_VALUE"""),"Bulls de Chicago (6)")</f>
        <v>Bulls de Chicago (6)</v>
      </c>
    </row>
    <row r="58">
      <c r="A58" s="2" t="str">
        <f>IFERROR(__xludf.DUMMYFUNCTION("""COMPUTED_VALUE"""),"2011-2012*C*")</f>
        <v>2011-2012*C*</v>
      </c>
      <c r="B58" s="2" t="str">
        <f>IFERROR(__xludf.DUMMYFUNCTION("""COMPUTED_VALUE"""),"LeBron James (3)")</f>
        <v>LeBron James (3)</v>
      </c>
      <c r="C58" s="2" t="str">
        <f>IFERROR(__xludf.DUMMYFUNCTION("""COMPUTED_VALUE"""),"Ailier")</f>
        <v>Ailier</v>
      </c>
      <c r="D58" s="2"/>
      <c r="E58" s="2" t="str">
        <f>IFERROR(__xludf.DUMMYFUNCTION("""COMPUTED_VALUE"""),"Heat de Miami")</f>
        <v>Heat de Miami</v>
      </c>
    </row>
    <row r="59">
      <c r="A59" s="2" t="str">
        <f>IFERROR(__xludf.DUMMYFUNCTION("""COMPUTED_VALUE"""),"2012-2013*C*")</f>
        <v>2012-2013*C*</v>
      </c>
      <c r="B59" s="2" t="str">
        <f>IFERROR(__xludf.DUMMYFUNCTION("""COMPUTED_VALUE"""),"LeBron James (4)")</f>
        <v>LeBron James (4)</v>
      </c>
      <c r="C59" s="2" t="str">
        <f>IFERROR(__xludf.DUMMYFUNCTION("""COMPUTED_VALUE"""),"Ailier")</f>
        <v>Ailier</v>
      </c>
      <c r="D59" s="2"/>
      <c r="E59" s="2" t="str">
        <f>IFERROR(__xludf.DUMMYFUNCTION("""COMPUTED_VALUE"""),"Heat de Miami (2)")</f>
        <v>Heat de Miami (2)</v>
      </c>
    </row>
    <row r="60">
      <c r="A60" s="2" t="str">
        <f>IFERROR(__xludf.DUMMYFUNCTION("""COMPUTED_VALUE"""),"2013-2014")</f>
        <v>2013-2014</v>
      </c>
      <c r="B60" s="2" t="str">
        <f>IFERROR(__xludf.DUMMYFUNCTION("""COMPUTED_VALUE"""),"Kevin Durant")</f>
        <v>Kevin Durant</v>
      </c>
      <c r="C60" s="2" t="str">
        <f>IFERROR(__xludf.DUMMYFUNCTION("""COMPUTED_VALUE"""),"Ailier")</f>
        <v>Ailier</v>
      </c>
      <c r="D60" s="2"/>
      <c r="E60" s="2" t="str">
        <f>IFERROR(__xludf.DUMMYFUNCTION("""COMPUTED_VALUE"""),"Thunder d'Oklahoma City")</f>
        <v>Thunder d'Oklahoma City</v>
      </c>
    </row>
    <row r="61">
      <c r="A61" s="2" t="str">
        <f>IFERROR(__xludf.DUMMYFUNCTION("""COMPUTED_VALUE"""),"2014-2015*C*")</f>
        <v>2014-2015*C*</v>
      </c>
      <c r="B61" s="2" t="str">
        <f>IFERROR(__xludf.DUMMYFUNCTION("""COMPUTED_VALUE"""),"Stephen Curry")</f>
        <v>Stephen Curry</v>
      </c>
      <c r="C61" s="2" t="str">
        <f>IFERROR(__xludf.DUMMYFUNCTION("""COMPUTED_VALUE"""),"Meneur")</f>
        <v>Meneur</v>
      </c>
      <c r="D61" s="2"/>
      <c r="E61" s="2" t="str">
        <f>IFERROR(__xludf.DUMMYFUNCTION("""COMPUTED_VALUE"""),"Warriors de Golden State (2)")</f>
        <v>Warriors de Golden State (2)</v>
      </c>
    </row>
    <row r="62">
      <c r="A62" s="2" t="str">
        <f>IFERROR(__xludf.DUMMYFUNCTION("""COMPUTED_VALUE"""),"*2015-2016 ∞*")</f>
        <v>*2015-2016 ∞*</v>
      </c>
      <c r="B62" s="2" t="str">
        <f>IFERROR(__xludf.DUMMYFUNCTION("""COMPUTED_VALUE"""),"*Stephen Curry (2)*")</f>
        <v>*Stephen Curry (2)*</v>
      </c>
      <c r="C62" s="2" t="str">
        <f>IFERROR(__xludf.DUMMYFUNCTION("""COMPUTED_VALUE"""),"*Meneur*")</f>
        <v>*Meneur*</v>
      </c>
      <c r="D62" s="2"/>
      <c r="E62" s="2" t="str">
        <f>IFERROR(__xludf.DUMMYFUNCTION("""COMPUTED_VALUE"""),"Warriors de Golden State (3)")</f>
        <v>Warriors de Golden State (3)</v>
      </c>
    </row>
    <row r="63">
      <c r="A63" s="2" t="str">
        <f>IFERROR(__xludf.DUMMYFUNCTION("""COMPUTED_VALUE"""),"2016-2017")</f>
        <v>2016-2017</v>
      </c>
      <c r="B63" s="2" t="str">
        <f>IFERROR(__xludf.DUMMYFUNCTION("""COMPUTED_VALUE"""),"Russell Westbrook")</f>
        <v>Russell Westbrook</v>
      </c>
      <c r="C63" s="2" t="str">
        <f>IFERROR(__xludf.DUMMYFUNCTION("""COMPUTED_VALUE"""),"Meneur")</f>
        <v>Meneur</v>
      </c>
      <c r="D63" s="2"/>
      <c r="E63" s="2" t="str">
        <f>IFERROR(__xludf.DUMMYFUNCTION("""COMPUTED_VALUE"""),"Thunder d'Oklahoma City (2)")</f>
        <v>Thunder d'Oklahoma City (2)</v>
      </c>
    </row>
    <row r="64">
      <c r="A64" s="2" t="str">
        <f>IFERROR(__xludf.DUMMYFUNCTION("""COMPUTED_VALUE"""),"2017-2018")</f>
        <v>2017-2018</v>
      </c>
      <c r="B64" s="2" t="str">
        <f>IFERROR(__xludf.DUMMYFUNCTION("""COMPUTED_VALUE"""),"James Harden")</f>
        <v>James Harden</v>
      </c>
      <c r="C64" s="2" t="str">
        <f>IFERROR(__xludf.DUMMYFUNCTION("""COMPUTED_VALUE"""),"Arrière")</f>
        <v>Arrière</v>
      </c>
      <c r="D64" s="2"/>
      <c r="E64" s="2" t="str">
        <f>IFERROR(__xludf.DUMMYFUNCTION("""COMPUTED_VALUE"""),"Rockets de Houston (4)")</f>
        <v>Rockets de Houston (4)</v>
      </c>
    </row>
    <row r="65">
      <c r="A65" s="2" t="str">
        <f>IFERROR(__xludf.DUMMYFUNCTION("""COMPUTED_VALUE"""),"2018-2019")</f>
        <v>2018-2019</v>
      </c>
      <c r="B65" s="2" t="str">
        <f>IFERROR(__xludf.DUMMYFUNCTION("""COMPUTED_VALUE"""),"Giánnis Antetokoúnmpo")</f>
        <v>Giánnis Antetokoúnmpo</v>
      </c>
      <c r="C65" s="2" t="str">
        <f>IFERROR(__xludf.DUMMYFUNCTION("""COMPUTED_VALUE"""),"Ailier fort")</f>
        <v>Ailier fort</v>
      </c>
      <c r="D65" s="2" t="str">
        <f>IFERROR(__xludf.DUMMYFUNCTION("""COMPUTED_VALUE"""),"Grec")</f>
        <v>Grec</v>
      </c>
      <c r="E65" s="2" t="str">
        <f>IFERROR(__xludf.DUMMYFUNCTION("""COMPUTED_VALUE"""),"Bucks de Milwaukee (4)")</f>
        <v>Bucks de Milwaukee (4)</v>
      </c>
    </row>
    <row r="66">
      <c r="A66" s="2" t="str">
        <f>IFERROR(__xludf.DUMMYFUNCTION("""COMPUTED_VALUE"""),"2019-2020")</f>
        <v>2019-2020</v>
      </c>
      <c r="B66" s="2" t="str">
        <f>IFERROR(__xludf.DUMMYFUNCTION("""COMPUTED_VALUE"""),"Giánnis Antetokoúnmpo (2)")</f>
        <v>Giánnis Antetokoúnmpo (2)</v>
      </c>
      <c r="C66" s="2" t="str">
        <f>IFERROR(__xludf.DUMMYFUNCTION("""COMPUTED_VALUE"""),"Ailier fort")</f>
        <v>Ailier fort</v>
      </c>
      <c r="D66" s="2"/>
      <c r="E66" s="2" t="str">
        <f>IFERROR(__xludf.DUMMYFUNCTION("""COMPUTED_VALUE"""),"Bucks de Milwaukee (5)")</f>
        <v>Bucks de Milwaukee (5)</v>
      </c>
    </row>
    <row r="67">
      <c r="A67" s="2" t="str">
        <f>IFERROR(__xludf.DUMMYFUNCTION("""COMPUTED_VALUE"""),"2020-2021")</f>
        <v>2020-2021</v>
      </c>
      <c r="B67" s="2" t="str">
        <f>IFERROR(__xludf.DUMMYFUNCTION("""COMPUTED_VALUE"""),"Nikola Jokić")</f>
        <v>Nikola Jokić</v>
      </c>
      <c r="C67" s="2" t="str">
        <f>IFERROR(__xludf.DUMMYFUNCTION("""COMPUTED_VALUE"""),"Pivot")</f>
        <v>Pivot</v>
      </c>
      <c r="D67" s="2" t="str">
        <f>IFERROR(__xludf.DUMMYFUNCTION("""COMPUTED_VALUE"""),"Serbe")</f>
        <v>Serbe</v>
      </c>
      <c r="E67" s="2" t="str">
        <f>IFERROR(__xludf.DUMMYFUNCTION("""COMPUTED_VALUE"""),"Nuggets de Denver")</f>
        <v>Nuggets de Denver</v>
      </c>
    </row>
    <row r="68">
      <c r="A68" s="2" t="str">
        <f>IFERROR(__xludf.DUMMYFUNCTION("""COMPUTED_VALUE"""),"2021-2022")</f>
        <v>2021-2022</v>
      </c>
      <c r="B68" s="2" t="str">
        <f>IFERROR(__xludf.DUMMYFUNCTION("""COMPUTED_VALUE"""),"Nikola Jokić (2)")</f>
        <v>Nikola Jokić (2)</v>
      </c>
      <c r="C68" s="2" t="str">
        <f>IFERROR(__xludf.DUMMYFUNCTION("""COMPUTED_VALUE"""),"Pivot")</f>
        <v>Pivot</v>
      </c>
      <c r="D68" s="2"/>
      <c r="E68" s="2" t="str">
        <f>IFERROR(__xludf.DUMMYFUNCTION("""COMPUTED_VALUE"""),"Nuggets de Denver (2)")</f>
        <v>Nuggets de Denver (2)</v>
      </c>
    </row>
    <row r="69">
      <c r="A69" s="2" t="str">
        <f>IFERROR(__xludf.DUMMYFUNCTION("""COMPUTED_VALUE"""),"2022-2023")</f>
        <v>2022-2023</v>
      </c>
      <c r="B69" s="2" t="str">
        <f>IFERROR(__xludf.DUMMYFUNCTION("""COMPUTED_VALUE"""),"Joel Embiid")</f>
        <v>Joel Embiid</v>
      </c>
      <c r="C69" s="2" t="str">
        <f>IFERROR(__xludf.DUMMYFUNCTION("""COMPUTED_VALUE"""),"Pivot")</f>
        <v>Pivot</v>
      </c>
      <c r="D69" s="2" t="str">
        <f>IFERROR(__xludf.DUMMYFUNCTION("""COMPUTED_VALUE"""),"Camerounaise")</f>
        <v>Camerounaise</v>
      </c>
      <c r="E69" s="2" t="str">
        <f>IFERROR(__xludf.DUMMYFUNCTION("""COMPUTED_VALUE"""),"76ers de Philadelphie (7)")</f>
        <v>76ers de Philadelphie (7)</v>
      </c>
    </row>
    <row r="70">
      <c r="A70" s="2" t="str">
        <f>IFERROR(__xludf.DUMMYFUNCTION("""COMPUTED_VALUE"""),"2023-2024")</f>
        <v>2023-2024</v>
      </c>
      <c r="B70" s="2" t="str">
        <f>IFERROR(__xludf.DUMMYFUNCTION("""COMPUTED_VALUE"""),"Nikola Jokić (3)")</f>
        <v>Nikola Jokić (3)</v>
      </c>
      <c r="C70" s="2" t="str">
        <f>IFERROR(__xludf.DUMMYFUNCTION("""COMPUTED_VALUE"""),"Pivot")</f>
        <v>Pivot</v>
      </c>
      <c r="D70" s="2" t="str">
        <f>IFERROR(__xludf.DUMMYFUNCTION("""COMPUTED_VALUE"""),"Serbe")</f>
        <v>Serbe</v>
      </c>
      <c r="E70" s="2" t="str">
        <f>IFERROR(__xludf.DUMMYFUNCTION("""COMPUTED_VALUE"""),"Nuggets de Denver (3)")</f>
        <v>Nuggets de Denver (3)</v>
      </c>
    </row>
    <row r="71">
      <c r="A71" s="2" t="str">
        <f>IFERROR(__xludf.DUMMYFUNCTION("""COMPUTED_VALUE"""),"2024-2025*C*")</f>
        <v>2024-2025*C*</v>
      </c>
      <c r="B71" s="2" t="str">
        <f>IFERROR(__xludf.DUMMYFUNCTION("""COMPUTED_VALUE"""),"Shai Gilgeous-Alexander")</f>
        <v>Shai Gilgeous-Alexander</v>
      </c>
      <c r="C71" s="2" t="str">
        <f>IFERROR(__xludf.DUMMYFUNCTION("""COMPUTED_VALUE"""),"Meneur")</f>
        <v>Meneur</v>
      </c>
      <c r="D71" s="2" t="str">
        <f>IFERROR(__xludf.DUMMYFUNCTION("""COMPUTED_VALUE"""),"Canadienne")</f>
        <v>Canadienne</v>
      </c>
      <c r="E71" s="2" t="str">
        <f>IFERROR(__xludf.DUMMYFUNCTION("""COMPUTED_VALUE"""),"Thunder d'Oklahoma City (3)")</f>
        <v>Thunder d'Oklahoma City (3)</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tr">
        <f>IFERROR(__xludf.DUMMYFUNCTION("IMPORTHTML(""https://fr.wikipedia.org/wiki/Liste_des_pays_par_consommation_d%27alcool"",""table"",1)"),"Pays")</f>
        <v>Pays</v>
      </c>
      <c r="B1" s="2" t="str">
        <f>IFERROR(__xludf.DUMMYFUNCTION("""COMPUTED_VALUE"""),"Total")</f>
        <v>Total</v>
      </c>
      <c r="C1" s="2" t="str">
        <f>IFERROR(__xludf.DUMMYFUNCTION("""COMPUTED_VALUE"""),"Consommation
déclarée")</f>
        <v>Consommation
déclarée</v>
      </c>
      <c r="D1" s="2" t="str">
        <f>IFERROR(__xludf.DUMMYFUNCTION("""COMPUTED_VALUE"""),"Consommation
non déclarée")</f>
        <v>Consommation
non déclarée</v>
      </c>
    </row>
    <row r="2">
      <c r="A2" s="2" t="str">
        <f>IFERROR(__xludf.DUMMYFUNCTION("""COMPUTED_VALUE"""),"Biélorussie")</f>
        <v>Biélorussie</v>
      </c>
      <c r="B2" s="2" t="str">
        <f>IFERROR(__xludf.DUMMYFUNCTION("""COMPUTED_VALUE"""),"11,2")</f>
        <v>11,2</v>
      </c>
      <c r="C2" s="2" t="str">
        <f>IFERROR(__xludf.DUMMYFUNCTION("""COMPUTED_VALUE"""),"9,6")</f>
        <v>9,6</v>
      </c>
      <c r="D2" s="2" t="str">
        <f>IFERROR(__xludf.DUMMYFUNCTION("""COMPUTED_VALUE"""),"1,5")</f>
        <v>1,5</v>
      </c>
    </row>
    <row r="3">
      <c r="A3" s="2" t="str">
        <f>IFERROR(__xludf.DUMMYFUNCTION("""COMPUTED_VALUE"""),"Moldavie")</f>
        <v>Moldavie</v>
      </c>
      <c r="B3" s="2" t="str">
        <f>IFERROR(__xludf.DUMMYFUNCTION("""COMPUTED_VALUE"""),"15,2")</f>
        <v>15,2</v>
      </c>
      <c r="C3" s="2" t="str">
        <f>IFERROR(__xludf.DUMMYFUNCTION("""COMPUTED_VALUE"""),"9,3")</f>
        <v>9,3</v>
      </c>
      <c r="D3" s="2" t="str">
        <f>IFERROR(__xludf.DUMMYFUNCTION("""COMPUTED_VALUE"""),"5,6")</f>
        <v>5,6</v>
      </c>
    </row>
    <row r="4">
      <c r="A4" s="2" t="str">
        <f>IFERROR(__xludf.DUMMYFUNCTION("""COMPUTED_VALUE"""),"Lettonie")</f>
        <v>Lettonie</v>
      </c>
      <c r="B4" s="2" t="str">
        <f>IFERROR(__xludf.DUMMYFUNCTION("""COMPUTED_VALUE"""),"12,9")</f>
        <v>12,9</v>
      </c>
      <c r="C4" s="2" t="str">
        <f>IFERROR(__xludf.DUMMYFUNCTION("""COMPUTED_VALUE"""),"11,1")</f>
        <v>11,1</v>
      </c>
      <c r="D4" s="2" t="str">
        <f>IFERROR(__xludf.DUMMYFUNCTION("""COMPUTED_VALUE"""),"1,9")</f>
        <v>1,9</v>
      </c>
    </row>
    <row r="5">
      <c r="A5" s="2" t="str">
        <f>IFERROR(__xludf.DUMMYFUNCTION("""COMPUTED_VALUE"""),"Russie")</f>
        <v>Russie</v>
      </c>
      <c r="B5" s="2" t="str">
        <f>IFERROR(__xludf.DUMMYFUNCTION("""COMPUTED_VALUE"""),"11,7")</f>
        <v>11,7</v>
      </c>
      <c r="C5" s="2" t="str">
        <f>IFERROR(__xludf.DUMMYFUNCTION("""COMPUTED_VALUE"""),"8,1")</f>
        <v>8,1</v>
      </c>
      <c r="D5" s="2" t="str">
        <f>IFERROR(__xludf.DUMMYFUNCTION("""COMPUTED_VALUE"""),"3,6")</f>
        <v>3,6</v>
      </c>
    </row>
    <row r="6">
      <c r="A6" s="2" t="str">
        <f>IFERROR(__xludf.DUMMYFUNCTION("""COMPUTED_VALUE"""),"Roumanie")</f>
        <v>Roumanie</v>
      </c>
      <c r="B6" s="2" t="str">
        <f>IFERROR(__xludf.DUMMYFUNCTION("""COMPUTED_VALUE"""),"12,6")</f>
        <v>12,6</v>
      </c>
      <c r="C6" s="2" t="str">
        <f>IFERROR(__xludf.DUMMYFUNCTION("""COMPUTED_VALUE"""),"10,4")</f>
        <v>10,4</v>
      </c>
      <c r="D6" s="2" t="str">
        <f>IFERROR(__xludf.DUMMYFUNCTION("""COMPUTED_VALUE"""),"2,2")</f>
        <v>2,2</v>
      </c>
    </row>
    <row r="7">
      <c r="A7" s="2" t="str">
        <f>IFERROR(__xludf.DUMMYFUNCTION("""COMPUTED_VALUE"""),"Ukraine")</f>
        <v>Ukraine</v>
      </c>
      <c r="B7" s="2" t="str">
        <f>IFERROR(__xludf.DUMMYFUNCTION("""COMPUTED_VALUE"""),"8,6")</f>
        <v>8,6</v>
      </c>
      <c r="C7" s="2" t="str">
        <f>IFERROR(__xludf.DUMMYFUNCTION("""COMPUTED_VALUE"""),"5,4")</f>
        <v>5,4</v>
      </c>
      <c r="D7" s="2" t="str">
        <f>IFERROR(__xludf.DUMMYFUNCTION("""COMPUTED_VALUE"""),"3,1")</f>
        <v>3,1</v>
      </c>
    </row>
    <row r="8">
      <c r="A8" s="2" t="str">
        <f>IFERROR(__xludf.DUMMYFUNCTION("""COMPUTED_VALUE"""),"Andorre")</f>
        <v>Andorre</v>
      </c>
      <c r="B8" s="2" t="str">
        <f>IFERROR(__xludf.DUMMYFUNCTION("""COMPUTED_VALUE"""),"11,3")</f>
        <v>11,3</v>
      </c>
      <c r="C8" s="2" t="str">
        <f>IFERROR(__xludf.DUMMYFUNCTION("""COMPUTED_VALUE"""),"10,1")</f>
        <v>10,1</v>
      </c>
      <c r="D8" s="2" t="str">
        <f>IFERROR(__xludf.DUMMYFUNCTION("""COMPUTED_VALUE"""),"1,6")</f>
        <v>1,6</v>
      </c>
    </row>
    <row r="9">
      <c r="A9" s="2" t="str">
        <f>IFERROR(__xludf.DUMMYFUNCTION("""COMPUTED_VALUE"""),"Hongrie")</f>
        <v>Hongrie</v>
      </c>
      <c r="B9" s="2" t="str">
        <f>IFERROR(__xludf.DUMMYFUNCTION("""COMPUTED_VALUE"""),"11,4")</f>
        <v>11,4</v>
      </c>
      <c r="C9" s="2" t="str">
        <f>IFERROR(__xludf.DUMMYFUNCTION("""COMPUTED_VALUE"""),"10,9")</f>
        <v>10,9</v>
      </c>
      <c r="D9" s="2" t="str">
        <f>IFERROR(__xludf.DUMMYFUNCTION("""COMPUTED_VALUE"""),"1,5")</f>
        <v>1,5</v>
      </c>
    </row>
    <row r="10">
      <c r="A10" s="2" t="str">
        <f>IFERROR(__xludf.DUMMYFUNCTION("""COMPUTED_VALUE"""),"Tchéquie")</f>
        <v>Tchéquie</v>
      </c>
      <c r="B10" s="2" t="str">
        <f>IFERROR(__xludf.DUMMYFUNCTION("""COMPUTED_VALUE"""),"14,4")</f>
        <v>14,4</v>
      </c>
      <c r="C10" s="2" t="str">
        <f>IFERROR(__xludf.DUMMYFUNCTION("""COMPUTED_VALUE"""),"12,9")</f>
        <v>12,9</v>
      </c>
      <c r="D10" s="2" t="str">
        <f>IFERROR(__xludf.DUMMYFUNCTION("""COMPUTED_VALUE"""),"1,5")</f>
        <v>1,5</v>
      </c>
    </row>
    <row r="11">
      <c r="A11" s="2" t="str">
        <f>IFERROR(__xludf.DUMMYFUNCTION("""COMPUTED_VALUE"""),"Slovaquie")</f>
        <v>Slovaquie</v>
      </c>
      <c r="B11" s="2" t="str">
        <f>IFERROR(__xludf.DUMMYFUNCTION("""COMPUTED_VALUE"""),"11,5")</f>
        <v>11,5</v>
      </c>
      <c r="C11" s="2" t="str">
        <f>IFERROR(__xludf.DUMMYFUNCTION("""COMPUTED_VALUE"""),"10,4")</f>
        <v>10,4</v>
      </c>
      <c r="D11" s="2" t="str">
        <f>IFERROR(__xludf.DUMMYFUNCTION("""COMPUTED_VALUE"""),"1,6")</f>
        <v>1,6</v>
      </c>
    </row>
    <row r="12">
      <c r="A12" s="2" t="str">
        <f>IFERROR(__xludf.DUMMYFUNCTION("""COMPUTED_VALUE"""),"Portugal")</f>
        <v>Portugal</v>
      </c>
      <c r="B12" s="2" t="str">
        <f>IFERROR(__xludf.DUMMYFUNCTION("""COMPUTED_VALUE"""),"12,3")</f>
        <v>12,3</v>
      </c>
      <c r="C12" s="2" t="str">
        <f>IFERROR(__xludf.DUMMYFUNCTION("""COMPUTED_VALUE"""),"10,6")</f>
        <v>10,6</v>
      </c>
      <c r="D12" s="2" t="str">
        <f>IFERROR(__xludf.DUMMYFUNCTION("""COMPUTED_VALUE"""),"2,1")</f>
        <v>2,1</v>
      </c>
    </row>
    <row r="13">
      <c r="A13" s="2" t="str">
        <f>IFERROR(__xludf.DUMMYFUNCTION("""COMPUTED_VALUE"""),"Serbie")</f>
        <v>Serbie</v>
      </c>
      <c r="B13" s="2" t="str">
        <f>IFERROR(__xludf.DUMMYFUNCTION("""COMPUTED_VALUE"""),"11,1")</f>
        <v>11,1</v>
      </c>
      <c r="C13" s="2" t="str">
        <f>IFERROR(__xludf.DUMMYFUNCTION("""COMPUTED_VALUE"""),"9,2")</f>
        <v>9,2</v>
      </c>
      <c r="D13" s="2" t="str">
        <f>IFERROR(__xludf.DUMMYFUNCTION("""COMPUTED_VALUE"""),"1,8")</f>
        <v>1,8</v>
      </c>
    </row>
    <row r="14">
      <c r="A14" s="2" t="str">
        <f>IFERROR(__xludf.DUMMYFUNCTION("""COMPUTED_VALUE"""),"Grenade")</f>
        <v>Grenade</v>
      </c>
      <c r="B14" s="2" t="str">
        <f>IFERROR(__xludf.DUMMYFUNCTION("""COMPUTED_VALUE"""),"9,3")</f>
        <v>9,3</v>
      </c>
      <c r="C14" s="2" t="str">
        <f>IFERROR(__xludf.DUMMYFUNCTION("""COMPUTED_VALUE"""),"8,8")</f>
        <v>8,8</v>
      </c>
      <c r="D14" s="2" t="str">
        <f>IFERROR(__xludf.DUMMYFUNCTION("""COMPUTED_VALUE"""),"1,4")</f>
        <v>1,4</v>
      </c>
    </row>
    <row r="15">
      <c r="A15" s="2" t="str">
        <f>IFERROR(__xludf.DUMMYFUNCTION("""COMPUTED_VALUE"""),"Pologne")</f>
        <v>Pologne</v>
      </c>
      <c r="B15" s="2" t="str">
        <f>IFERROR(__xludf.DUMMYFUNCTION("""COMPUTED_VALUE"""),"11,6")</f>
        <v>11,6</v>
      </c>
      <c r="C15" s="2" t="str">
        <f>IFERROR(__xludf.DUMMYFUNCTION("""COMPUTED_VALUE"""),"10,4")</f>
        <v>10,4</v>
      </c>
      <c r="D15" s="2" t="str">
        <f>IFERROR(__xludf.DUMMYFUNCTION("""COMPUTED_VALUE"""),"1,7")</f>
        <v>1,7</v>
      </c>
    </row>
    <row r="16">
      <c r="A16" s="2" t="str">
        <f>IFERROR(__xludf.DUMMYFUNCTION("""COMPUTED_VALUE"""),"Lituanie")</f>
        <v>Lituanie</v>
      </c>
      <c r="B16" s="2" t="str">
        <f>IFERROR(__xludf.DUMMYFUNCTION("""COMPUTED_VALUE"""),"15,0")</f>
        <v>15,0</v>
      </c>
      <c r="C16" s="2" t="str">
        <f>IFERROR(__xludf.DUMMYFUNCTION("""COMPUTED_VALUE"""),"13,8")</f>
        <v>13,8</v>
      </c>
      <c r="D16" s="2" t="str">
        <f>IFERROR(__xludf.DUMMYFUNCTION("""COMPUTED_VALUE"""),"1,2")</f>
        <v>1,2</v>
      </c>
    </row>
    <row r="17">
      <c r="A17" s="2" t="str">
        <f>IFERROR(__xludf.DUMMYFUNCTION("""COMPUTED_VALUE"""),"Finlande")</f>
        <v>Finlande</v>
      </c>
      <c r="B17" s="2" t="str">
        <f>IFERROR(__xludf.DUMMYFUNCTION("""COMPUTED_VALUE"""),"10,7")</f>
        <v>10,7</v>
      </c>
      <c r="C17" s="2" t="str">
        <f>IFERROR(__xludf.DUMMYFUNCTION("""COMPUTED_VALUE"""),"8,4")</f>
        <v>8,4</v>
      </c>
      <c r="D17" s="2" t="str">
        <f>IFERROR(__xludf.DUMMYFUNCTION("""COMPUTED_VALUE"""),"2,0")</f>
        <v>2,0</v>
      </c>
    </row>
    <row r="18">
      <c r="A18" s="2" t="str">
        <f>IFERROR(__xludf.DUMMYFUNCTION("""COMPUTED_VALUE"""),"Corée du Sud")</f>
        <v>Corée du Sud</v>
      </c>
      <c r="B18" s="2" t="str">
        <f>IFERROR(__xludf.DUMMYFUNCTION("""COMPUTED_VALUE"""),"10,2")</f>
        <v>10,2</v>
      </c>
      <c r="C18" s="2" t="str">
        <f>IFERROR(__xludf.DUMMYFUNCTION("""COMPUTED_VALUE"""),"9,1")</f>
        <v>9,1</v>
      </c>
      <c r="D18" s="2" t="str">
        <f>IFERROR(__xludf.DUMMYFUNCTION("""COMPUTED_VALUE"""),"1,2")</f>
        <v>1,2</v>
      </c>
    </row>
    <row r="19">
      <c r="A19" s="2" t="str">
        <f>IFERROR(__xludf.DUMMYFUNCTION("""COMPUTED_VALUE"""),"France")</f>
        <v>France</v>
      </c>
      <c r="B19" s="2" t="str">
        <f>IFERROR(__xludf.DUMMYFUNCTION("""COMPUTED_VALUE"""),"12,6")</f>
        <v>12,6</v>
      </c>
      <c r="C19" s="2" t="str">
        <f>IFERROR(__xludf.DUMMYFUNCTION("""COMPUTED_VALUE"""),"11,8")</f>
        <v>11,8</v>
      </c>
      <c r="D19" s="2" t="str">
        <f>IFERROR(__xludf.DUMMYFUNCTION("""COMPUTED_VALUE"""),"1,5")</f>
        <v>1,5</v>
      </c>
    </row>
    <row r="20">
      <c r="A20" s="2" t="str">
        <f>IFERROR(__xludf.DUMMYFUNCTION("""COMPUTED_VALUE"""),"Australie")</f>
        <v>Australie</v>
      </c>
      <c r="B20" s="2" t="str">
        <f>IFERROR(__xludf.DUMMYFUNCTION("""COMPUTED_VALUE"""),"10,6")</f>
        <v>10,6</v>
      </c>
      <c r="C20" s="2" t="str">
        <f>IFERROR(__xludf.DUMMYFUNCTION("""COMPUTED_VALUE"""),"9,6")</f>
        <v>9,6</v>
      </c>
      <c r="D20" s="2" t="str">
        <f>IFERROR(__xludf.DUMMYFUNCTION("""COMPUTED_VALUE"""),"0,8")</f>
        <v>0,8</v>
      </c>
    </row>
    <row r="21">
      <c r="A21" s="2" t="str">
        <f>IFERROR(__xludf.DUMMYFUNCTION("""COMPUTED_VALUE"""),"Croatie")</f>
        <v>Croatie</v>
      </c>
      <c r="B21" s="2" t="str">
        <f>IFERROR(__xludf.DUMMYFUNCTION("""COMPUTED_VALUE"""),"8,9")</f>
        <v>8,9</v>
      </c>
      <c r="C21" s="2" t="str">
        <f>IFERROR(__xludf.DUMMYFUNCTION("""COMPUTED_VALUE"""),"9,9")</f>
        <v>9,9</v>
      </c>
      <c r="D21" s="2" t="str">
        <f>IFERROR(__xludf.DUMMYFUNCTION("""COMPUTED_VALUE"""),"1,4")</f>
        <v>1,4</v>
      </c>
    </row>
    <row r="22">
      <c r="A22" s="2" t="str">
        <f>IFERROR(__xludf.DUMMYFUNCTION("""COMPUTED_VALUE"""),"Irlande")</f>
        <v>Irlande</v>
      </c>
      <c r="B22" s="2" t="str">
        <f>IFERROR(__xludf.DUMMYFUNCTION("""COMPUTED_VALUE"""),"13,0")</f>
        <v>13,0</v>
      </c>
      <c r="C22" s="2" t="str">
        <f>IFERROR(__xludf.DUMMYFUNCTION("""COMPUTED_VALUE"""),"11,3")</f>
        <v>11,3</v>
      </c>
      <c r="D22" s="2" t="str">
        <f>IFERROR(__xludf.DUMMYFUNCTION("""COMPUTED_VALUE"""),"1,4")</f>
        <v>1,4</v>
      </c>
    </row>
    <row r="23">
      <c r="A23" s="2" t="str">
        <f>IFERROR(__xludf.DUMMYFUNCTION("""COMPUTED_VALUE"""),"Luxembourg")</f>
        <v>Luxembourg</v>
      </c>
      <c r="B23" s="2" t="str">
        <f>IFERROR(__xludf.DUMMYFUNCTION("""COMPUTED_VALUE"""),"13,0")</f>
        <v>13,0</v>
      </c>
      <c r="C23" s="2" t="str">
        <f>IFERROR(__xludf.DUMMYFUNCTION("""COMPUTED_VALUE"""),"11,5")</f>
        <v>11,5</v>
      </c>
      <c r="D23" s="2" t="str">
        <f>IFERROR(__xludf.DUMMYFUNCTION("""COMPUTED_VALUE"""),"1,4")</f>
        <v>1,4</v>
      </c>
    </row>
    <row r="24">
      <c r="A24" s="2" t="str">
        <f>IFERROR(__xludf.DUMMYFUNCTION("""COMPUTED_VALUE"""),"Allemagne")</f>
        <v>Allemagne</v>
      </c>
      <c r="B24" s="2" t="str">
        <f>IFERROR(__xludf.DUMMYFUNCTION("""COMPUTED_VALUE"""),"13,4")</f>
        <v>13,4</v>
      </c>
      <c r="C24" s="2" t="str">
        <f>IFERROR(__xludf.DUMMYFUNCTION("""COMPUTED_VALUE"""),"11,3")</f>
        <v>11,3</v>
      </c>
      <c r="D24" s="2" t="str">
        <f>IFERROR(__xludf.DUMMYFUNCTION("""COMPUTED_VALUE"""),"1,4")</f>
        <v>1,4</v>
      </c>
    </row>
    <row r="25">
      <c r="A25" s="2" t="str">
        <f>IFERROR(__xludf.DUMMYFUNCTION("""COMPUTED_VALUE"""),"Slovénie")</f>
        <v>Slovénie</v>
      </c>
      <c r="B25" s="2" t="str">
        <f>IFERROR(__xludf.DUMMYFUNCTION("""COMPUTED_VALUE"""),"12,6")</f>
        <v>12,6</v>
      </c>
      <c r="C25" s="2" t="str">
        <f>IFERROR(__xludf.DUMMYFUNCTION("""COMPUTED_VALUE"""),"10,8")</f>
        <v>10,8</v>
      </c>
      <c r="D25" s="2" t="str">
        <f>IFERROR(__xludf.DUMMYFUNCTION("""COMPUTED_VALUE"""),"1,8")</f>
        <v>1,8</v>
      </c>
    </row>
    <row r="26">
      <c r="A26" s="2" t="str">
        <f>IFERROR(__xludf.DUMMYFUNCTION("""COMPUTED_VALUE"""),"Royaume-Uni")</f>
        <v>Royaume-Uni</v>
      </c>
      <c r="B26" s="2" t="str">
        <f>IFERROR(__xludf.DUMMYFUNCTION("""COMPUTED_VALUE"""),"11,4")</f>
        <v>11,4</v>
      </c>
      <c r="C26" s="2" t="str">
        <f>IFERROR(__xludf.DUMMYFUNCTION("""COMPUTED_VALUE"""),"9,8")</f>
        <v>9,8</v>
      </c>
      <c r="D26" s="2" t="str">
        <f>IFERROR(__xludf.DUMMYFUNCTION("""COMPUTED_VALUE"""),"1,1")</f>
        <v>1,1</v>
      </c>
    </row>
    <row r="27">
      <c r="A27" s="2" t="str">
        <f>IFERROR(__xludf.DUMMYFUNCTION("""COMPUTED_VALUE"""),"Danemark")</f>
        <v>Danemark</v>
      </c>
      <c r="B27" s="2" t="str">
        <f>IFERROR(__xludf.DUMMYFUNCTION("""COMPUTED_VALUE"""),"10,4")</f>
        <v>10,4</v>
      </c>
      <c r="C27" s="2" t="str">
        <f>IFERROR(__xludf.DUMMYFUNCTION("""COMPUTED_VALUE"""),"9,5")</f>
        <v>9,5</v>
      </c>
      <c r="D27" s="2" t="str">
        <f>IFERROR(__xludf.DUMMYFUNCTION("""COMPUTED_VALUE"""),"1,2")</f>
        <v>1,2</v>
      </c>
    </row>
    <row r="28">
      <c r="A28" s="2" t="str">
        <f>IFERROR(__xludf.DUMMYFUNCTION("""COMPUTED_VALUE"""),"Bulgarie")</f>
        <v>Bulgarie</v>
      </c>
      <c r="B28" s="2" t="str">
        <f>IFERROR(__xludf.DUMMYFUNCTION("""COMPUTED_VALUE"""),"12,7")</f>
        <v>12,7</v>
      </c>
      <c r="C28" s="2" t="str">
        <f>IFERROR(__xludf.DUMMYFUNCTION("""COMPUTED_VALUE"""),"11,4")</f>
        <v>11,4</v>
      </c>
      <c r="D28" s="2" t="str">
        <f>IFERROR(__xludf.DUMMYFUNCTION("""COMPUTED_VALUE"""),"1,3")</f>
        <v>1,3</v>
      </c>
    </row>
    <row r="29">
      <c r="A29" s="2" t="str">
        <f>IFERROR(__xludf.DUMMYFUNCTION("""COMPUTED_VALUE"""),"Espagne")</f>
        <v>Espagne</v>
      </c>
      <c r="B29" s="2" t="str">
        <f>IFERROR(__xludf.DUMMYFUNCTION("""COMPUTED_VALUE"""),"10,0")</f>
        <v>10,0</v>
      </c>
      <c r="C29" s="2" t="str">
        <f>IFERROR(__xludf.DUMMYFUNCTION("""COMPUTED_VALUE"""),"8,5")</f>
        <v>8,5</v>
      </c>
      <c r="D29" s="2" t="str">
        <f>IFERROR(__xludf.DUMMYFUNCTION("""COMPUTED_VALUE"""),"1,8")</f>
        <v>1,8</v>
      </c>
    </row>
    <row r="30">
      <c r="A30" s="2" t="str">
        <f>IFERROR(__xludf.DUMMYFUNCTION("""COMPUTED_VALUE"""),"Belgique")</f>
        <v>Belgique</v>
      </c>
      <c r="B30" s="2" t="str">
        <f>IFERROR(__xludf.DUMMYFUNCTION("""COMPUTED_VALUE"""),"12,1")</f>
        <v>12,1</v>
      </c>
      <c r="C30" s="2" t="str">
        <f>IFERROR(__xludf.DUMMYFUNCTION("""COMPUTED_VALUE"""),"10,4")</f>
        <v>10,4</v>
      </c>
      <c r="D30" s="2" t="str">
        <f>IFERROR(__xludf.DUMMYFUNCTION("""COMPUTED_VALUE"""),"1,0")</f>
        <v>1,0</v>
      </c>
    </row>
    <row r="31">
      <c r="A31" s="2" t="str">
        <f>IFERROR(__xludf.DUMMYFUNCTION("""COMPUTED_VALUE"""),"Afrique du Sud")</f>
        <v>Afrique du Sud</v>
      </c>
      <c r="B31" s="2" t="str">
        <f>IFERROR(__xludf.DUMMYFUNCTION("""COMPUTED_VALUE"""),"9,3")</f>
        <v>9,3</v>
      </c>
      <c r="C31" s="2" t="str">
        <f>IFERROR(__xludf.DUMMYFUNCTION("""COMPUTED_VALUE"""),"7,1")</f>
        <v>7,1</v>
      </c>
      <c r="D31" s="2" t="str">
        <f>IFERROR(__xludf.DUMMYFUNCTION("""COMPUTED_VALUE"""),"2,2")</f>
        <v>2,2</v>
      </c>
    </row>
    <row r="32">
      <c r="A32" s="2" t="str">
        <f>IFERROR(__xludf.DUMMYFUNCTION("""COMPUTED_VALUE"""),"Nouvelle-Zélande")</f>
        <v>Nouvelle-Zélande</v>
      </c>
      <c r="B32" s="2" t="str">
        <f>IFERROR(__xludf.DUMMYFUNCTION("""COMPUTED_VALUE"""),"10,")</f>
        <v>10,</v>
      </c>
      <c r="C32" s="2" t="str">
        <f>IFERROR(__xludf.DUMMYFUNCTION("""COMPUTED_VALUE"""),"9,1")</f>
        <v>9,1</v>
      </c>
      <c r="D32" s="2" t="str">
        <f>IFERROR(__xludf.DUMMYFUNCTION("""COMPUTED_VALUE"""),"1,3")</f>
        <v>1,3</v>
      </c>
    </row>
    <row r="33">
      <c r="A33" s="2" t="str">
        <f>IFERROR(__xludf.DUMMYFUNCTION("""COMPUTED_VALUE"""),"Gabon")</f>
        <v>Gabon</v>
      </c>
      <c r="B33" s="2" t="str">
        <f>IFERROR(__xludf.DUMMYFUNCTION("""COMPUTED_VALUE"""),"11,5")</f>
        <v>11,5</v>
      </c>
      <c r="C33" s="2" t="str">
        <f>IFERROR(__xludf.DUMMYFUNCTION("""COMPUTED_VALUE"""),"9,5")</f>
        <v>9,5</v>
      </c>
      <c r="D33" s="2" t="str">
        <f>IFERROR(__xludf.DUMMYFUNCTION("""COMPUTED_VALUE"""),"1,9")</f>
        <v>1,9</v>
      </c>
    </row>
    <row r="34">
      <c r="A34" s="2" t="str">
        <f>IFERROR(__xludf.DUMMYFUNCTION("""COMPUTED_VALUE"""),"Namibie")</f>
        <v>Namibie</v>
      </c>
      <c r="B34" s="2" t="str">
        <f>IFERROR(__xludf.DUMMYFUNCTION("""COMPUTED_VALUE"""),"9,8")</f>
        <v>9,8</v>
      </c>
      <c r="C34" s="2" t="str">
        <f>IFERROR(__xludf.DUMMYFUNCTION("""COMPUTED_VALUE"""),"7,8")</f>
        <v>7,8</v>
      </c>
      <c r="D34" s="2" t="str">
        <f>IFERROR(__xludf.DUMMYFUNCTION("""COMPUTED_VALUE"""),"2,0")</f>
        <v>2,0</v>
      </c>
    </row>
    <row r="35">
      <c r="A35" s="2" t="str">
        <f>IFERROR(__xludf.DUMMYFUNCTION("""COMPUTED_VALUE"""),"Suisse")</f>
        <v>Suisse</v>
      </c>
      <c r="B35" s="2" t="str">
        <f>IFERROR(__xludf.DUMMYFUNCTION("""COMPUTED_VALUE"""),"11,5")</f>
        <v>11,5</v>
      </c>
      <c r="C35" s="2" t="str">
        <f>IFERROR(__xludf.DUMMYFUNCTION("""COMPUTED_VALUE"""),"9,5")</f>
        <v>9,5</v>
      </c>
      <c r="D35" s="2" t="str">
        <f>IFERROR(__xludf.DUMMYFUNCTION("""COMPUTED_VALUE"""),"1,2")</f>
        <v>1,2</v>
      </c>
    </row>
    <row r="36">
      <c r="A36" s="2" t="str">
        <f>IFERROR(__xludf.DUMMYFUNCTION("""COMPUTED_VALUE"""),"Sainte-Lucie")</f>
        <v>Sainte-Lucie</v>
      </c>
      <c r="B36" s="2" t="str">
        <f>IFERROR(__xludf.DUMMYFUNCTION("""COMPUTED_VALUE"""),"9,9")</f>
        <v>9,9</v>
      </c>
      <c r="C36" s="2" t="str">
        <f>IFERROR(__xludf.DUMMYFUNCTION("""COMPUTED_VALUE"""),"9,7")</f>
        <v>9,7</v>
      </c>
      <c r="D36" s="2" t="str">
        <f>IFERROR(__xludf.DUMMYFUNCTION("""COMPUTED_VALUE"""),"1,5")</f>
        <v>1,5</v>
      </c>
    </row>
    <row r="37">
      <c r="A37" s="2" t="str">
        <f>IFERROR(__xludf.DUMMYFUNCTION("""COMPUTED_VALUE"""),"Autriche")</f>
        <v>Autriche</v>
      </c>
      <c r="B37" s="2" t="str">
        <f>IFERROR(__xludf.DUMMYFUNCTION("""COMPUTED_VALUE"""),"11,6")</f>
        <v>11,6</v>
      </c>
      <c r="C37" s="2" t="str">
        <f>IFERROR(__xludf.DUMMYFUNCTION("""COMPUTED_VALUE"""),"11,4")</f>
        <v>11,4</v>
      </c>
      <c r="D37" s="2" t="str">
        <f>IFERROR(__xludf.DUMMYFUNCTION("""COMPUTED_VALUE"""),"0,4")</f>
        <v>0,4</v>
      </c>
    </row>
    <row r="38">
      <c r="A38" s="2" t="str">
        <f>IFERROR(__xludf.DUMMYFUNCTION("""COMPUTED_VALUE"""),"Estonie[à vérifier]")</f>
        <v>Estonie[à vérifier]</v>
      </c>
      <c r="B38" s="2" t="str">
        <f>IFERROR(__xludf.DUMMYFUNCTION("""COMPUTED_VALUE"""),"11,6")</f>
        <v>11,6</v>
      </c>
      <c r="C38" s="2" t="str">
        <f>IFERROR(__xludf.DUMMYFUNCTION("""COMPUTED_VALUE"""),"15,8")</f>
        <v>15,8</v>
      </c>
      <c r="D38" s="2" t="str">
        <f>IFERROR(__xludf.DUMMYFUNCTION("""COMPUTED_VALUE"""),"1,1")</f>
        <v>1,1</v>
      </c>
    </row>
    <row r="39">
      <c r="A39" s="2" t="str">
        <f>IFERROR(__xludf.DUMMYFUNCTION("""COMPUTED_VALUE"""),"Grèce")</f>
        <v>Grèce</v>
      </c>
      <c r="B39" s="2" t="str">
        <f>IFERROR(__xludf.DUMMYFUNCTION("""COMPUTED_VALUE"""),"10,4")</f>
        <v>10,4</v>
      </c>
      <c r="C39" s="2" t="str">
        <f>IFERROR(__xludf.DUMMYFUNCTION("""COMPUTED_VALUE"""),"6,4")</f>
        <v>6,4</v>
      </c>
      <c r="D39" s="2" t="str">
        <f>IFERROR(__xludf.DUMMYFUNCTION("""COMPUTED_VALUE"""),"4,3")</f>
        <v>4,3</v>
      </c>
    </row>
    <row r="40">
      <c r="A40" s="2" t="str">
        <f>IFERROR(__xludf.DUMMYFUNCTION("""COMPUTED_VALUE"""),"Kazakhstan")</f>
        <v>Kazakhstan</v>
      </c>
      <c r="B40" s="2" t="str">
        <f>IFERROR(__xludf.DUMMYFUNCTION("""COMPUTED_VALUE"""),"7,7")</f>
        <v>7,7</v>
      </c>
      <c r="C40" s="2" t="str">
        <f>IFERROR(__xludf.DUMMYFUNCTION("""COMPUTED_VALUE"""),"5,8")</f>
        <v>5,8</v>
      </c>
      <c r="D40" s="2" t="str">
        <f>IFERROR(__xludf.DUMMYFUNCTION("""COMPUTED_VALUE"""),"1,9")</f>
        <v>1,9</v>
      </c>
    </row>
    <row r="41">
      <c r="A41" s="2" t="str">
        <f>IFERROR(__xludf.DUMMYFUNCTION("""COMPUTED_VALUE"""),"Canada")</f>
        <v>Canada</v>
      </c>
      <c r="B41" s="2" t="str">
        <f>IFERROR(__xludf.DUMMYFUNCTION("""COMPUTED_VALUE"""),"8,9")</f>
        <v>8,9</v>
      </c>
      <c r="C41" s="2" t="str">
        <f>IFERROR(__xludf.DUMMYFUNCTION("""COMPUTED_VALUE"""),"8,1")</f>
        <v>8,1</v>
      </c>
      <c r="D41" s="2" t="str">
        <f>IFERROR(__xludf.DUMMYFUNCTION("""COMPUTED_VALUE"""),"0,9")</f>
        <v>0,9</v>
      </c>
    </row>
    <row r="42">
      <c r="A42" s="2" t="str">
        <f>IFERROR(__xludf.DUMMYFUNCTION("""COMPUTED_VALUE"""),"Nigeria")</f>
        <v>Nigeria</v>
      </c>
      <c r="B42" s="2" t="str">
        <f>IFERROR(__xludf.DUMMYFUNCTION("""COMPUTED_VALUE"""),"13,4")</f>
        <v>13,4</v>
      </c>
      <c r="C42" s="2" t="str">
        <f>IFERROR(__xludf.DUMMYFUNCTION("""COMPUTED_VALUE"""),"9,6")</f>
        <v>9,6</v>
      </c>
      <c r="D42" s="2" t="str">
        <f>IFERROR(__xludf.DUMMYFUNCTION("""COMPUTED_VALUE"""),"3,8")</f>
        <v>3,8</v>
      </c>
    </row>
    <row r="43">
      <c r="A43" s="2" t="str">
        <f>IFERROR(__xludf.DUMMYFUNCTION("""COMPUTED_VALUE"""),"Pays-Bas")</f>
        <v>Pays-Bas</v>
      </c>
      <c r="B43" s="2" t="str">
        <f>IFERROR(__xludf.DUMMYFUNCTION("""COMPUTED_VALUE"""),"8,7")</f>
        <v>8,7</v>
      </c>
      <c r="C43" s="2" t="str">
        <f>IFERROR(__xludf.DUMMYFUNCTION("""COMPUTED_VALUE"""),"7,5")</f>
        <v>7,5</v>
      </c>
      <c r="D43" s="2" t="str">
        <f>IFERROR(__xludf.DUMMYFUNCTION("""COMPUTED_VALUE"""),"0,6")</f>
        <v>0,6</v>
      </c>
    </row>
    <row r="44">
      <c r="A44" s="2" t="str">
        <f>IFERROR(__xludf.DUMMYFUNCTION("""COMPUTED_VALUE"""),"Ouganda")</f>
        <v>Ouganda</v>
      </c>
      <c r="B44" s="2" t="str">
        <f>IFERROR(__xludf.DUMMYFUNCTION("""COMPUTED_VALUE"""),"9,5")</f>
        <v>9,5</v>
      </c>
      <c r="C44" s="2" t="str">
        <f>IFERROR(__xludf.DUMMYFUNCTION("""COMPUTED_VALUE"""),"7,6")</f>
        <v>7,6</v>
      </c>
      <c r="D44" s="2" t="str">
        <f>IFERROR(__xludf.DUMMYFUNCTION("""COMPUTED_VALUE"""),"1,8")</f>
        <v>1,8</v>
      </c>
    </row>
    <row r="45">
      <c r="A45" s="2" t="str">
        <f>IFERROR(__xludf.DUMMYFUNCTION("""COMPUTED_VALUE"""),"Rwanda")</f>
        <v>Rwanda</v>
      </c>
      <c r="B45" s="2" t="str">
        <f>IFERROR(__xludf.DUMMYFUNCTION("""COMPUTED_VALUE"""),"9,0")</f>
        <v>9,0</v>
      </c>
      <c r="C45" s="2" t="str">
        <f>IFERROR(__xludf.DUMMYFUNCTION("""COMPUTED_VALUE"""),"6,9")</f>
        <v>6,9</v>
      </c>
      <c r="D45" s="2" t="str">
        <f>IFERROR(__xludf.DUMMYFUNCTION("""COMPUTED_VALUE"""),"2,1")</f>
        <v>2,1</v>
      </c>
    </row>
    <row r="46">
      <c r="A46" s="2" t="str">
        <f>IFERROR(__xludf.DUMMYFUNCTION("""COMPUTED_VALUE"""),"Chili")</f>
        <v>Chili</v>
      </c>
      <c r="B46" s="2" t="str">
        <f>IFERROR(__xludf.DUMMYFUNCTION("""COMPUTED_VALUE"""),"9,3")</f>
        <v>9,3</v>
      </c>
      <c r="C46" s="2" t="str">
        <f>IFERROR(__xludf.DUMMYFUNCTION("""COMPUTED_VALUE"""),"7,9")</f>
        <v>7,9</v>
      </c>
      <c r="D46" s="2" t="str">
        <f>IFERROR(__xludf.DUMMYFUNCTION("""COMPUTED_VALUE"""),"1,4")</f>
        <v>1,4</v>
      </c>
    </row>
    <row r="47">
      <c r="A47" s="2" t="str">
        <f>IFERROR(__xludf.DUMMYFUNCTION("""COMPUTED_VALUE"""),"Argentine")</f>
        <v>Argentine</v>
      </c>
      <c r="B47" s="2" t="str">
        <f>IFERROR(__xludf.DUMMYFUNCTION("""COMPUTED_VALUE"""),"9,8")</f>
        <v>9,8</v>
      </c>
      <c r="C47" s="2" t="str">
        <f>IFERROR(__xludf.DUMMYFUNCTION("""COMPUTED_VALUE"""),"8,4")</f>
        <v>8,4</v>
      </c>
      <c r="D47" s="2" t="str">
        <f>IFERROR(__xludf.DUMMYFUNCTION("""COMPUTED_VALUE"""),"1,3")</f>
        <v>1,3</v>
      </c>
    </row>
    <row r="48">
      <c r="A48" s="2" t="str">
        <f>IFERROR(__xludf.DUMMYFUNCTION("""COMPUTED_VALUE"""),"Burundi")</f>
        <v>Burundi</v>
      </c>
      <c r="B48" s="2" t="str">
        <f>IFERROR(__xludf.DUMMYFUNCTION("""COMPUTED_VALUE"""),"7,5")</f>
        <v>7,5</v>
      </c>
      <c r="C48" s="2" t="str">
        <f>IFERROR(__xludf.DUMMYFUNCTION("""COMPUTED_VALUE"""),"4,1")</f>
        <v>4,1</v>
      </c>
      <c r="D48" s="2" t="str">
        <f>IFERROR(__xludf.DUMMYFUNCTION("""COMPUTED_VALUE"""),"3,4")</f>
        <v>3,4</v>
      </c>
    </row>
    <row r="49">
      <c r="A49" s="2" t="str">
        <f>IFERROR(__xludf.DUMMYFUNCTION("""COMPUTED_VALUE"""),"États-Unis")</f>
        <v>États-Unis</v>
      </c>
      <c r="B49" s="2" t="str">
        <f>IFERROR(__xludf.DUMMYFUNCTION("""COMPUTED_VALUE"""),"9,8")</f>
        <v>9,8</v>
      </c>
      <c r="C49" s="2" t="str">
        <f>IFERROR(__xludf.DUMMYFUNCTION("""COMPUTED_VALUE"""),"8,8")</f>
        <v>8,8</v>
      </c>
      <c r="D49" s="2" t="str">
        <f>IFERROR(__xludf.DUMMYFUNCTION("""COMPUTED_VALUE"""),"0,8")</f>
        <v>0,8</v>
      </c>
    </row>
    <row r="50">
      <c r="A50" s="2" t="str">
        <f>IFERROR(__xludf.DUMMYFUNCTION("""COMPUTED_VALUE"""),"Chypre")</f>
        <v>Chypre</v>
      </c>
      <c r="B50" s="2" t="str">
        <f>IFERROR(__xludf.DUMMYFUNCTION("""COMPUTED_VALUE"""),"10,8")</f>
        <v>10,8</v>
      </c>
      <c r="C50" s="2" t="str">
        <f>IFERROR(__xludf.DUMMYFUNCTION("""COMPUTED_VALUE"""),"9,6")</f>
        <v>9,6</v>
      </c>
      <c r="D50" s="2" t="str">
        <f>IFERROR(__xludf.DUMMYFUNCTION("""COMPUTED_VALUE"""),"1,8")</f>
        <v>1,8</v>
      </c>
    </row>
    <row r="51">
      <c r="A51" s="2" t="str">
        <f>IFERROR(__xludf.DUMMYFUNCTION("""COMPUTED_VALUE"""),"Suède")</f>
        <v>Suède</v>
      </c>
      <c r="B51" s="2" t="str">
        <f>IFERROR(__xludf.DUMMYFUNCTION("""COMPUTED_VALUE"""),"9,2")</f>
        <v>9,2</v>
      </c>
      <c r="C51" s="2" t="str">
        <f>IFERROR(__xludf.DUMMYFUNCTION("""COMPUTED_VALUE"""),"7,2")</f>
        <v>7,2</v>
      </c>
      <c r="D51" s="2" t="str">
        <f>IFERROR(__xludf.DUMMYFUNCTION("""COMPUTED_VALUE"""),"2,0")</f>
        <v>2,0</v>
      </c>
    </row>
    <row r="52">
      <c r="A52" s="2" t="str">
        <f>IFERROR(__xludf.DUMMYFUNCTION("""COMPUTED_VALUE"""),"Venezuela")</f>
        <v>Venezuela</v>
      </c>
      <c r="B52" s="2" t="str">
        <f>IFERROR(__xludf.DUMMYFUNCTION("""COMPUTED_VALUE"""),"5,6")</f>
        <v>5,6</v>
      </c>
      <c r="C52" s="2" t="str">
        <f>IFERROR(__xludf.DUMMYFUNCTION("""COMPUTED_VALUE"""),"4,6")</f>
        <v>4,6</v>
      </c>
      <c r="D52" s="2" t="str">
        <f>IFERROR(__xludf.DUMMYFUNCTION("""COMPUTED_VALUE"""),"1,1")</f>
        <v>1,1</v>
      </c>
    </row>
    <row r="53">
      <c r="A53" s="2" t="str">
        <f>IFERROR(__xludf.DUMMYFUNCTION("""COMPUTED_VALUE"""),"Paraguay")</f>
        <v>Paraguay</v>
      </c>
      <c r="B53" s="2" t="str">
        <f>IFERROR(__xludf.DUMMYFUNCTION("""COMPUTED_VALUE"""),"7,2")</f>
        <v>7,2</v>
      </c>
      <c r="C53" s="2" t="str">
        <f>IFERROR(__xludf.DUMMYFUNCTION("""COMPUTED_VALUE"""),"5,7")</f>
        <v>5,7</v>
      </c>
      <c r="D53" s="2" t="str">
        <f>IFERROR(__xludf.DUMMYFUNCTION("""COMPUTED_VALUE"""),"1,7")</f>
        <v>1,7</v>
      </c>
    </row>
    <row r="54">
      <c r="A54" s="2" t="str">
        <f>IFERROR(__xludf.DUMMYFUNCTION("""COMPUTED_VALUE"""),"Brésil")</f>
        <v>Brésil</v>
      </c>
      <c r="B54" s="2" t="str">
        <f>IFERROR(__xludf.DUMMYFUNCTION("""COMPUTED_VALUE"""),"7,8")</f>
        <v>7,8</v>
      </c>
      <c r="C54" s="2" t="str">
        <f>IFERROR(__xludf.DUMMYFUNCTION("""COMPUTED_VALUE"""),"6,5")</f>
        <v>6,5</v>
      </c>
      <c r="D54" s="2" t="str">
        <f>IFERROR(__xludf.DUMMYFUNCTION("""COMPUTED_VALUE"""),"1,2")</f>
        <v>1,2</v>
      </c>
    </row>
    <row r="55">
      <c r="A55" s="2" t="str">
        <f>IFERROR(__xludf.DUMMYFUNCTION("""COMPUTED_VALUE"""),"Sierra Leone")</f>
        <v>Sierra Leone</v>
      </c>
      <c r="B55" s="2" t="str">
        <f>IFERROR(__xludf.DUMMYFUNCTION("""COMPUTED_VALUE"""),"5,7")</f>
        <v>5,7</v>
      </c>
      <c r="C55" s="2" t="str">
        <f>IFERROR(__xludf.DUMMYFUNCTION("""COMPUTED_VALUE"""),"3,4")</f>
        <v>3,4</v>
      </c>
      <c r="D55" s="2" t="str">
        <f>IFERROR(__xludf.DUMMYFUNCTION("""COMPUTED_VALUE"""),"2,2")</f>
        <v>2,2</v>
      </c>
    </row>
    <row r="56">
      <c r="A56" s="2" t="str">
        <f>IFERROR(__xludf.DUMMYFUNCTION("""COMPUTED_VALUE"""),"Monténégro")</f>
        <v>Monténégro</v>
      </c>
      <c r="B56" s="2" t="str">
        <f>IFERROR(__xludf.DUMMYFUNCTION("""COMPUTED_VALUE"""),"8,0")</f>
        <v>8,0</v>
      </c>
      <c r="C56" s="2" t="str">
        <f>IFERROR(__xludf.DUMMYFUNCTION("""COMPUTED_VALUE"""),"6,4")</f>
        <v>6,4</v>
      </c>
      <c r="D56" s="2" t="str">
        <f>IFERROR(__xludf.DUMMYFUNCTION("""COMPUTED_VALUE"""),"1,7")</f>
        <v>1,7</v>
      </c>
    </row>
    <row r="57">
      <c r="A57" s="2" t="str">
        <f>IFERROR(__xludf.DUMMYFUNCTION("""COMPUTED_VALUE"""),"Belize")</f>
        <v>Belize</v>
      </c>
      <c r="B57" s="2" t="str">
        <f>IFERROR(__xludf.DUMMYFUNCTION("""COMPUTED_VALUE"""),"6,7")</f>
        <v>6,7</v>
      </c>
      <c r="C57" s="2" t="str">
        <f>IFERROR(__xludf.DUMMYFUNCTION("""COMPUTED_VALUE"""),"6,2")</f>
        <v>6,2</v>
      </c>
      <c r="D57" s="2" t="str">
        <f>IFERROR(__xludf.DUMMYFUNCTION("""COMPUTED_VALUE"""),"1,4")</f>
        <v>1,4</v>
      </c>
    </row>
    <row r="58">
      <c r="A58" s="2" t="str">
        <f>IFERROR(__xludf.DUMMYFUNCTION("""COMPUTED_VALUE"""),"Cameroun")</f>
        <v>Cameroun</v>
      </c>
      <c r="B58" s="2" t="str">
        <f>IFERROR(__xludf.DUMMYFUNCTION("""COMPUTED_VALUE"""),"8,9")</f>
        <v>8,9</v>
      </c>
      <c r="C58" s="2" t="str">
        <f>IFERROR(__xludf.DUMMYFUNCTION("""COMPUTED_VALUE"""),"6,5")</f>
        <v>6,5</v>
      </c>
      <c r="D58" s="2" t="str">
        <f>IFERROR(__xludf.DUMMYFUNCTION("""COMPUTED_VALUE"""),"2,4")</f>
        <v>2,4</v>
      </c>
    </row>
    <row r="59">
      <c r="A59" s="2" t="str">
        <f>IFERROR(__xludf.DUMMYFUNCTION("""COMPUTED_VALUE"""),"Botswana")</f>
        <v>Botswana</v>
      </c>
      <c r="B59" s="2" t="str">
        <f>IFERROR(__xludf.DUMMYFUNCTION("""COMPUTED_VALUE"""),"8,4")</f>
        <v>8,4</v>
      </c>
      <c r="C59" s="2" t="str">
        <f>IFERROR(__xludf.DUMMYFUNCTION("""COMPUTED_VALUE"""),"6,2")</f>
        <v>6,2</v>
      </c>
      <c r="D59" s="2" t="str">
        <f>IFERROR(__xludf.DUMMYFUNCTION("""COMPUTED_VALUE"""),"2,2")</f>
        <v>2,2</v>
      </c>
    </row>
    <row r="60">
      <c r="A60" s="2" t="str">
        <f>IFERROR(__xludf.DUMMYFUNCTION("""COMPUTED_VALUE"""),"Saint-Christophe-et-Niévès")</f>
        <v>Saint-Christophe-et-Niévès</v>
      </c>
      <c r="B60" s="2" t="str">
        <f>IFERROR(__xludf.DUMMYFUNCTION("""COMPUTED_VALUE"""),"9,4")</f>
        <v>9,4</v>
      </c>
      <c r="C60" s="2" t="str">
        <f>IFERROR(__xludf.DUMMYFUNCTION("""COMPUTED_VALUE"""),"8,9")</f>
        <v>8,9</v>
      </c>
      <c r="D60" s="2" t="str">
        <f>IFERROR(__xludf.DUMMYFUNCTION("""COMPUTED_VALUE"""),"0,5")</f>
        <v>0,5</v>
      </c>
    </row>
    <row r="61">
      <c r="A61" s="2" t="str">
        <f>IFERROR(__xludf.DUMMYFUNCTION("""COMPUTED_VALUE"""),"Guyana")</f>
        <v>Guyana</v>
      </c>
      <c r="B61" s="2" t="str">
        <f>IFERROR(__xludf.DUMMYFUNCTION("""COMPUTED_VALUE"""),"6,3")</f>
        <v>6,3</v>
      </c>
      <c r="C61" s="2" t="str">
        <f>IFERROR(__xludf.DUMMYFUNCTION("""COMPUTED_VALUE"""),"5,1")</f>
        <v>5,1</v>
      </c>
      <c r="D61" s="2" t="str">
        <f>IFERROR(__xludf.DUMMYFUNCTION("""COMPUTED_VALUE"""),"1,2")</f>
        <v>1,2</v>
      </c>
    </row>
    <row r="62">
      <c r="A62" s="2" t="str">
        <f>IFERROR(__xludf.DUMMYFUNCTION("""COMPUTED_VALUE"""),"Pérou")</f>
        <v>Pérou</v>
      </c>
      <c r="B62" s="2" t="str">
        <f>IFERROR(__xludf.DUMMYFUNCTION("""COMPUTED_VALUE"""),"6,3")</f>
        <v>6,3</v>
      </c>
      <c r="C62" s="2" t="str">
        <f>IFERROR(__xludf.DUMMYFUNCTION("""COMPUTED_VALUE"""),"5,1")</f>
        <v>5,1</v>
      </c>
      <c r="D62" s="2" t="str">
        <f>IFERROR(__xludf.DUMMYFUNCTION("""COMPUTED_VALUE"""),"1,2")</f>
        <v>1,2</v>
      </c>
    </row>
    <row r="63">
      <c r="A63" s="2" t="str">
        <f>IFERROR(__xludf.DUMMYFUNCTION("""COMPUTED_VALUE"""),"Panama")</f>
        <v>Panama</v>
      </c>
      <c r="B63" s="2" t="str">
        <f>IFERROR(__xludf.DUMMYFUNCTION("""COMPUTED_VALUE"""),"7,9")</f>
        <v>7,9</v>
      </c>
      <c r="C63" s="2" t="str">
        <f>IFERROR(__xludf.DUMMYFUNCTION("""COMPUTED_VALUE"""),"6,8")</f>
        <v>6,8</v>
      </c>
      <c r="D63" s="2" t="str">
        <f>IFERROR(__xludf.DUMMYFUNCTION("""COMPUTED_VALUE"""),"1,2")</f>
        <v>1,2</v>
      </c>
    </row>
    <row r="64">
      <c r="A64" s="2" t="str">
        <f>IFERROR(__xludf.DUMMYFUNCTION("""COMPUTED_VALUE"""),"*Niue* (NZ)")</f>
        <v>*Niue* (NZ)</v>
      </c>
      <c r="B64" s="2" t="str">
        <f>IFERROR(__xludf.DUMMYFUNCTION("""COMPUTED_VALUE"""),"7,0")</f>
        <v>7,0</v>
      </c>
      <c r="C64" s="2" t="str">
        <f>IFERROR(__xludf.DUMMYFUNCTION("""COMPUTED_VALUE"""),"6,0")</f>
        <v>6,0</v>
      </c>
      <c r="D64" s="2" t="str">
        <f>IFERROR(__xludf.DUMMYFUNCTION("""COMPUTED_VALUE"""),"1,0")</f>
        <v>1,0</v>
      </c>
    </row>
    <row r="65">
      <c r="A65" s="2" t="str">
        <f>IFERROR(__xludf.DUMMYFUNCTION("""COMPUTED_VALUE"""),"Norvège")</f>
        <v>Norvège</v>
      </c>
      <c r="B65" s="2" t="str">
        <f>IFERROR(__xludf.DUMMYFUNCTION("""COMPUTED_VALUE"""),"7,5")</f>
        <v>7,5</v>
      </c>
      <c r="C65" s="2" t="str">
        <f>IFERROR(__xludf.DUMMYFUNCTION("""COMPUTED_VALUE"""),"6,0")</f>
        <v>6,0</v>
      </c>
      <c r="D65" s="2" t="str">
        <f>IFERROR(__xludf.DUMMYFUNCTION("""COMPUTED_VALUE"""),"1,1")</f>
        <v>1,1</v>
      </c>
    </row>
    <row r="66">
      <c r="A66" s="2" t="str">
        <f>IFERROR(__xludf.DUMMYFUNCTION("""COMPUTED_VALUE"""),"Tanzanie")</f>
        <v>Tanzanie</v>
      </c>
      <c r="B66" s="2" t="str">
        <f>IFERROR(__xludf.DUMMYFUNCTION("""COMPUTED_VALUE"""),"9,4")</f>
        <v>9,4</v>
      </c>
      <c r="C66" s="2" t="str">
        <f>IFERROR(__xludf.DUMMYFUNCTION("""COMPUTED_VALUE"""),"6,2")</f>
        <v>6,2</v>
      </c>
      <c r="D66" s="2" t="str">
        <f>IFERROR(__xludf.DUMMYFUNCTION("""COMPUTED_VALUE"""),"3,2")</f>
        <v>3,2</v>
      </c>
    </row>
    <row r="67">
      <c r="A67" s="2" t="str">
        <f>IFERROR(__xludf.DUMMYFUNCTION("""COMPUTED_VALUE"""),"Géorgie")</f>
        <v>Géorgie</v>
      </c>
      <c r="B67" s="2" t="str">
        <f>IFERROR(__xludf.DUMMYFUNCTION("""COMPUTED_VALUE"""),"9,8")</f>
        <v>9,8</v>
      </c>
      <c r="C67" s="2" t="str">
        <f>IFERROR(__xludf.DUMMYFUNCTION("""COMPUTED_VALUE"""),"7,4")</f>
        <v>7,4</v>
      </c>
      <c r="D67" s="2" t="str">
        <f>IFERROR(__xludf.DUMMYFUNCTION("""COMPUTED_VALUE"""),"2,3")</f>
        <v>2,3</v>
      </c>
    </row>
    <row r="68">
      <c r="A68" s="2" t="str">
        <f>IFERROR(__xludf.DUMMYFUNCTION("""COMPUTED_VALUE"""),"Uruguay")</f>
        <v>Uruguay</v>
      </c>
      <c r="B68" s="2" t="str">
        <f>IFERROR(__xludf.DUMMYFUNCTION("""COMPUTED_VALUE"""),"10,8")</f>
        <v>10,8</v>
      </c>
      <c r="C68" s="2" t="str">
        <f>IFERROR(__xludf.DUMMYFUNCTION("""COMPUTED_VALUE"""),"9,0")</f>
        <v>9,0</v>
      </c>
      <c r="D68" s="2" t="str">
        <f>IFERROR(__xludf.DUMMYFUNCTION("""COMPUTED_VALUE"""),"1,9")</f>
        <v>1,9</v>
      </c>
    </row>
    <row r="69">
      <c r="A69" s="2" t="str">
        <f>IFERROR(__xludf.DUMMYFUNCTION("""COMPUTED_VALUE"""),"Angola")</f>
        <v>Angola</v>
      </c>
      <c r="B69" s="2" t="str">
        <f>IFERROR(__xludf.DUMMYFUNCTION("""COMPUTED_VALUE"""),"6,4")</f>
        <v>6,4</v>
      </c>
      <c r="C69" s="2" t="str">
        <f>IFERROR(__xludf.DUMMYFUNCTION("""COMPUTED_VALUE"""),"5,0")</f>
        <v>5,0</v>
      </c>
      <c r="D69" s="2" t="str">
        <f>IFERROR(__xludf.DUMMYFUNCTION("""COMPUTED_VALUE"""),"1,4")</f>
        <v>1,4</v>
      </c>
    </row>
    <row r="70">
      <c r="A70" s="2" t="str">
        <f>IFERROR(__xludf.DUMMYFUNCTION("""COMPUTED_VALUE"""),"Laos")</f>
        <v>Laos</v>
      </c>
      <c r="B70" s="2" t="str">
        <f>IFERROR(__xludf.DUMMYFUNCTION("""COMPUTED_VALUE"""),"10,4")</f>
        <v>10,4</v>
      </c>
      <c r="C70" s="2" t="str">
        <f>IFERROR(__xludf.DUMMYFUNCTION("""COMPUTED_VALUE"""),"7,0")</f>
        <v>7,0</v>
      </c>
      <c r="D70" s="2" t="str">
        <f>IFERROR(__xludf.DUMMYFUNCTION("""COMPUTED_VALUE"""),"3,4")</f>
        <v>3,4</v>
      </c>
    </row>
    <row r="71">
      <c r="A71" s="2" t="str">
        <f>IFERROR(__xludf.DUMMYFUNCTION("""COMPUTED_VALUE"""),"Japon")</f>
        <v>Japon</v>
      </c>
      <c r="B71" s="2" t="str">
        <f>IFERROR(__xludf.DUMMYFUNCTION("""COMPUTED_VALUE"""),"8,0")</f>
        <v>8,0</v>
      </c>
      <c r="C71" s="2" t="str">
        <f>IFERROR(__xludf.DUMMYFUNCTION("""COMPUTED_VALUE"""),"6,9")</f>
        <v>6,9</v>
      </c>
      <c r="D71" s="2" t="str">
        <f>IFERROR(__xludf.DUMMYFUNCTION("""COMPUTED_VALUE"""),"1,1")</f>
        <v>1,1</v>
      </c>
    </row>
    <row r="72">
      <c r="A72" s="2" t="str">
        <f>IFERROR(__xludf.DUMMYFUNCTION("""COMPUTED_VALUE"""),"Mexique")</f>
        <v>Mexique</v>
      </c>
      <c r="B72" s="2" t="str">
        <f>IFERROR(__xludf.DUMMYFUNCTION("""COMPUTED_VALUE"""),"6,5")</f>
        <v>6,5</v>
      </c>
      <c r="C72" s="2" t="str">
        <f>IFERROR(__xludf.DUMMYFUNCTION("""COMPUTED_VALUE"""),"5,4")</f>
        <v>5,4</v>
      </c>
      <c r="D72" s="2" t="str">
        <f>IFERROR(__xludf.DUMMYFUNCTION("""COMPUTED_VALUE"""),"1,4")</f>
        <v>1,4</v>
      </c>
    </row>
    <row r="73">
      <c r="A73" s="2" t="str">
        <f>IFERROR(__xludf.DUMMYFUNCTION("""COMPUTED_VALUE"""),"Équateur")</f>
        <v>Équateur</v>
      </c>
      <c r="B73" s="2" t="str">
        <f>IFERROR(__xludf.DUMMYFUNCTION("""COMPUTED_VALUE"""),"4,4")</f>
        <v>4,4</v>
      </c>
      <c r="C73" s="2" t="str">
        <f>IFERROR(__xludf.DUMMYFUNCTION("""COMPUTED_VALUE"""),"3,3")</f>
        <v>3,3</v>
      </c>
      <c r="D73" s="2" t="str">
        <f>IFERROR(__xludf.DUMMYFUNCTION("""COMPUTED_VALUE"""),"1,1")</f>
        <v>1,1</v>
      </c>
    </row>
    <row r="74">
      <c r="A74" s="2" t="str">
        <f>IFERROR(__xludf.DUMMYFUNCTION("""COMPUTED_VALUE"""),"Dominique")</f>
        <v>Dominique</v>
      </c>
      <c r="B74" s="2" t="str">
        <f>IFERROR(__xludf.DUMMYFUNCTION("""COMPUTED_VALUE"""),"8,2")</f>
        <v>8,2</v>
      </c>
      <c r="C74" s="2" t="str">
        <f>IFERROR(__xludf.DUMMYFUNCTION("""COMPUTED_VALUE"""),"7,3")</f>
        <v>7,3</v>
      </c>
      <c r="D74" s="2" t="str">
        <f>IFERROR(__xludf.DUMMYFUNCTION("""COMPUTED_VALUE"""),"1,8")</f>
        <v>1,8</v>
      </c>
    </row>
    <row r="75">
      <c r="A75" s="2" t="str">
        <f>IFERROR(__xludf.DUMMYFUNCTION("""COMPUTED_VALUE"""),"Islande")</f>
        <v>Islande</v>
      </c>
      <c r="B75" s="2" t="str">
        <f>IFERROR(__xludf.DUMMYFUNCTION("""COMPUTED_VALUE"""),"9,1")</f>
        <v>9,1</v>
      </c>
      <c r="C75" s="2" t="str">
        <f>IFERROR(__xludf.DUMMYFUNCTION("""COMPUTED_VALUE"""),"7,7")</f>
        <v>7,7</v>
      </c>
      <c r="D75" s="2" t="str">
        <f>IFERROR(__xludf.DUMMYFUNCTION("""COMPUTED_VALUE"""),"1,5")</f>
        <v>1,5</v>
      </c>
    </row>
    <row r="76">
      <c r="A76" s="2" t="str">
        <f>IFERROR(__xludf.DUMMYFUNCTION("""COMPUTED_VALUE"""),"Thaïlande")</f>
        <v>Thaïlande</v>
      </c>
      <c r="B76" s="2" t="str">
        <f>IFERROR(__xludf.DUMMYFUNCTION("""COMPUTED_VALUE"""),"8,3")</f>
        <v>8,3</v>
      </c>
      <c r="C76" s="2" t="str">
        <f>IFERROR(__xludf.DUMMYFUNCTION("""COMPUTED_VALUE"""),"6,6")</f>
        <v>6,6</v>
      </c>
      <c r="D76" s="2" t="str">
        <f>IFERROR(__xludf.DUMMYFUNCTION("""COMPUTED_VALUE"""),"1,7")</f>
        <v>1,7</v>
      </c>
    </row>
    <row r="77">
      <c r="A77" s="2" t="str">
        <f>IFERROR(__xludf.DUMMYFUNCTION("""COMPUTED_VALUE"""),"Bosnie-Herzégovine")</f>
        <v>Bosnie-Herzégovine</v>
      </c>
      <c r="B77" s="2" t="str">
        <f>IFERROR(__xludf.DUMMYFUNCTION("""COMPUTED_VALUE"""),"6,4")</f>
        <v>6,4</v>
      </c>
      <c r="C77" s="2" t="str">
        <f>IFERROR(__xludf.DUMMYFUNCTION("""COMPUTED_VALUE"""),"4,4")</f>
        <v>4,4</v>
      </c>
      <c r="D77" s="2" t="str">
        <f>IFERROR(__xludf.DUMMYFUNCTION("""COMPUTED_VALUE"""),"1,8")</f>
        <v>1,8</v>
      </c>
    </row>
    <row r="78">
      <c r="A78" s="2" t="str">
        <f>IFERROR(__xludf.DUMMYFUNCTION("""COMPUTED_VALUE"""),"Sao Tomé-et-Principe")</f>
        <v>Sao Tomé-et-Principe</v>
      </c>
      <c r="B78" s="2" t="str">
        <f>IFERROR(__xludf.DUMMYFUNCTION("""COMPUTED_VALUE"""),"6,8")</f>
        <v>6,8</v>
      </c>
      <c r="C78" s="2" t="str">
        <f>IFERROR(__xludf.DUMMYFUNCTION("""COMPUTED_VALUE"""),"4,9")</f>
        <v>4,9</v>
      </c>
      <c r="D78" s="2" t="str">
        <f>IFERROR(__xludf.DUMMYFUNCTION("""COMPUTED_VALUE"""),"2,0")</f>
        <v>2,0</v>
      </c>
    </row>
    <row r="79">
      <c r="A79" s="2" t="str">
        <f>IFERROR(__xludf.DUMMYFUNCTION("""COMPUTED_VALUE"""),"Malte")</f>
        <v>Malte</v>
      </c>
      <c r="B79" s="2" t="str">
        <f>IFERROR(__xludf.DUMMYFUNCTION("""COMPUTED_VALUE"""),"8,1")</f>
        <v>8,1</v>
      </c>
      <c r="C79" s="2" t="str">
        <f>IFERROR(__xludf.DUMMYFUNCTION("""COMPUTED_VALUE"""),"7,8")</f>
        <v>7,8</v>
      </c>
      <c r="D79" s="2" t="str">
        <f>IFERROR(__xludf.DUMMYFUNCTION("""COMPUTED_VALUE"""),"1,2")</f>
        <v>1,2</v>
      </c>
    </row>
    <row r="80">
      <c r="A80" s="2" t="str">
        <f>IFERROR(__xludf.DUMMYFUNCTION("""COMPUTED_VALUE"""),"Albanie")</f>
        <v>Albanie</v>
      </c>
      <c r="B80" s="2" t="str">
        <f>IFERROR(__xludf.DUMMYFUNCTION("""COMPUTED_VALUE"""),"7,5")</f>
        <v>7,5</v>
      </c>
      <c r="C80" s="2" t="str">
        <f>IFERROR(__xludf.DUMMYFUNCTION("""COMPUTED_VALUE"""),"5,0")</f>
        <v>5,0</v>
      </c>
      <c r="D80" s="2" t="str">
        <f>IFERROR(__xludf.DUMMYFUNCTION("""COMPUTED_VALUE"""),"2,5")</f>
        <v>2,5</v>
      </c>
    </row>
    <row r="81">
      <c r="A81" s="2" t="str">
        <f>IFERROR(__xludf.DUMMYFUNCTION("""COMPUTED_VALUE"""),"Bahamas")</f>
        <v>Bahamas</v>
      </c>
      <c r="B81" s="2" t="str">
        <f>IFERROR(__xludf.DUMMYFUNCTION("""COMPUTED_VALUE"""),"4,4")</f>
        <v>4,4</v>
      </c>
      <c r="C81" s="2" t="str">
        <f>IFERROR(__xludf.DUMMYFUNCTION("""COMPUTED_VALUE"""),"8,6")</f>
        <v>8,6</v>
      </c>
      <c r="D81" s="2" t="str">
        <f>IFERROR(__xludf.DUMMYFUNCTION("""COMPUTED_VALUE"""),"1,2")</f>
        <v>1,2</v>
      </c>
    </row>
    <row r="82">
      <c r="A82" s="2" t="str">
        <f>IFERROR(__xludf.DUMMYFUNCTION("""COMPUTED_VALUE"""),"République dominicaine")</f>
        <v>République dominicaine</v>
      </c>
      <c r="B82" s="2" t="str">
        <f>IFERROR(__xludf.DUMMYFUNCTION("""COMPUTED_VALUE"""),"6,9")</f>
        <v>6,9</v>
      </c>
      <c r="C82" s="2" t="str">
        <f>IFERROR(__xludf.DUMMYFUNCTION("""COMPUTED_VALUE"""),"5,7")</f>
        <v>5,7</v>
      </c>
      <c r="D82" s="2" t="str">
        <f>IFERROR(__xludf.DUMMYFUNCTION("""COMPUTED_VALUE"""),"1,3")</f>
        <v>1,3</v>
      </c>
    </row>
    <row r="83">
      <c r="A83" s="2" t="str">
        <f>IFERROR(__xludf.DUMMYFUNCTION("""COMPUTED_VALUE"""),"Mongolie")</f>
        <v>Mongolie</v>
      </c>
      <c r="B83" s="2" t="str">
        <f>IFERROR(__xludf.DUMMYFUNCTION("""COMPUTED_VALUE"""),"7,4")</f>
        <v>7,4</v>
      </c>
      <c r="C83" s="2" t="str">
        <f>IFERROR(__xludf.DUMMYFUNCTION("""COMPUTED_VALUE"""),"5,7")</f>
        <v>5,7</v>
      </c>
      <c r="D83" s="2" t="str">
        <f>IFERROR(__xludf.DUMMYFUNCTION("""COMPUTED_VALUE"""),"1,7")</f>
        <v>1,7</v>
      </c>
    </row>
    <row r="84">
      <c r="A84" s="2" t="str">
        <f>IFERROR(__xludf.DUMMYFUNCTION("""COMPUTED_VALUE"""),"Cap-Vert")</f>
        <v>Cap-Vert</v>
      </c>
      <c r="B84" s="2" t="str">
        <f>IFERROR(__xludf.DUMMYFUNCTION("""COMPUTED_VALUE"""),"5,7")</f>
        <v>5,7</v>
      </c>
      <c r="C84" s="2" t="str">
        <f>IFERROR(__xludf.DUMMYFUNCTION("""COMPUTED_VALUE"""),"4,1")</f>
        <v>4,1</v>
      </c>
      <c r="D84" s="2" t="str">
        <f>IFERROR(__xludf.DUMMYFUNCTION("""COMPUTED_VALUE"""),"1,6")</f>
        <v>1,6</v>
      </c>
    </row>
    <row r="85">
      <c r="A85" s="2" t="str">
        <f>IFERROR(__xludf.DUMMYFUNCTION("""COMPUTED_VALUE"""),"Barbade")</f>
        <v>Barbade</v>
      </c>
      <c r="B85" s="2" t="str">
        <f>IFERROR(__xludf.DUMMYFUNCTION("""COMPUTED_VALUE"""),"9,6")</f>
        <v>9,6</v>
      </c>
      <c r="C85" s="2" t="str">
        <f>IFERROR(__xludf.DUMMYFUNCTION("""COMPUTED_VALUE"""),"9,2")</f>
        <v>9,2</v>
      </c>
      <c r="D85" s="2" t="str">
        <f>IFERROR(__xludf.DUMMYFUNCTION("""COMPUTED_VALUE"""),"1,4")</f>
        <v>1,4</v>
      </c>
    </row>
    <row r="86">
      <c r="A86" s="2" t="str">
        <f>IFERROR(__xludf.DUMMYFUNCTION("""COMPUTED_VALUE"""),"Burkina Faso")</f>
        <v>Burkina Faso</v>
      </c>
      <c r="B86" s="2" t="str">
        <f>IFERROR(__xludf.DUMMYFUNCTION("""COMPUTED_VALUE"""),"8,2")</f>
        <v>8,2</v>
      </c>
      <c r="C86" s="2" t="str">
        <f>IFERROR(__xludf.DUMMYFUNCTION("""COMPUTED_VALUE"""),"4,9")</f>
        <v>4,9</v>
      </c>
      <c r="D86" s="2" t="str">
        <f>IFERROR(__xludf.DUMMYFUNCTION("""COMPUTED_VALUE"""),"3,3")</f>
        <v>3,3</v>
      </c>
    </row>
    <row r="87">
      <c r="A87" s="2" t="str">
        <f>IFERROR(__xludf.DUMMYFUNCTION("""COMPUTED_VALUE"""),"Italie")</f>
        <v>Italie</v>
      </c>
      <c r="B87" s="2" t="str">
        <f>IFERROR(__xludf.DUMMYFUNCTION("""COMPUTED_VALUE"""),"7,5")</f>
        <v>7,5</v>
      </c>
      <c r="C87" s="2" t="str">
        <f>IFERROR(__xludf.DUMMYFUNCTION("""COMPUTED_VALUE"""),"7,1")</f>
        <v>7,1</v>
      </c>
      <c r="D87" s="2" t="str">
        <f>IFERROR(__xludf.DUMMYFUNCTION("""COMPUTED_VALUE"""),"0,5")</f>
        <v>0,5</v>
      </c>
    </row>
    <row r="88">
      <c r="A88" s="2" t="str">
        <f>IFERROR(__xludf.DUMMYFUNCTION("""COMPUTED_VALUE"""),"Trinité-et-Tobago")</f>
        <v>Trinité-et-Tobago</v>
      </c>
      <c r="B88" s="2" t="str">
        <f>IFERROR(__xludf.DUMMYFUNCTION("""COMPUTED_VALUE"""),"8,4")</f>
        <v>8,4</v>
      </c>
      <c r="C88" s="2" t="str">
        <f>IFERROR(__xludf.DUMMYFUNCTION("""COMPUTED_VALUE"""),"7,3")</f>
        <v>7,3</v>
      </c>
      <c r="D88" s="2" t="str">
        <f>IFERROR(__xludf.DUMMYFUNCTION("""COMPUTED_VALUE"""),"1,1")</f>
        <v>1,1</v>
      </c>
    </row>
    <row r="89">
      <c r="A89" s="2" t="str">
        <f>IFERROR(__xludf.DUMMYFUNCTION("""COMPUTED_VALUE"""),"Chine")</f>
        <v>Chine</v>
      </c>
      <c r="B89" s="2" t="str">
        <f>IFERROR(__xludf.DUMMYFUNCTION("""COMPUTED_VALUE"""),"7,2")</f>
        <v>7,2</v>
      </c>
      <c r="C89" s="2" t="str">
        <f>IFERROR(__xludf.DUMMYFUNCTION("""COMPUTED_VALUE"""),"5,7")</f>
        <v>5,7</v>
      </c>
      <c r="D89" s="2" t="str">
        <f>IFERROR(__xludf.DUMMYFUNCTION("""COMPUTED_VALUE"""),"1,5")</f>
        <v>1,5</v>
      </c>
    </row>
    <row r="90">
      <c r="A90" s="2" t="str">
        <f>IFERROR(__xludf.DUMMYFUNCTION("""COMPUTED_VALUE"""),"Macédoine du Nord")</f>
        <v>Macédoine du Nord</v>
      </c>
      <c r="B90" s="2" t="str">
        <f>IFERROR(__xludf.DUMMYFUNCTION("""COMPUTED_VALUE"""),"8,1")</f>
        <v>8,1</v>
      </c>
      <c r="C90" s="2" t="str">
        <f>IFERROR(__xludf.DUMMYFUNCTION("""COMPUTED_VALUE"""),"4,9")</f>
        <v>4,9</v>
      </c>
      <c r="D90" s="2" t="str">
        <f>IFERROR(__xludf.DUMMYFUNCTION("""COMPUTED_VALUE"""),"3,6")</f>
        <v>3,6</v>
      </c>
    </row>
    <row r="91">
      <c r="A91" s="2" t="str">
        <f>IFERROR(__xludf.DUMMYFUNCTION("""COMPUTED_VALUE"""),"Saint-Vincent-et-les-Grenadines")</f>
        <v>Saint-Vincent-et-les-Grenadines</v>
      </c>
      <c r="B91" s="2" t="str">
        <f>IFERROR(__xludf.DUMMYFUNCTION("""COMPUTED_VALUE"""),"8,2")</f>
        <v>8,2</v>
      </c>
      <c r="C91" s="2" t="str">
        <f>IFERROR(__xludf.DUMMYFUNCTION("""COMPUTED_VALUE"""),"7,4")</f>
        <v>7,4</v>
      </c>
      <c r="D91" s="2" t="str">
        <f>IFERROR(__xludf.DUMMYFUNCTION("""COMPUTED_VALUE"""),"1,4")</f>
        <v>1,4</v>
      </c>
    </row>
    <row r="92">
      <c r="A92" s="2" t="str">
        <f>IFERROR(__xludf.DUMMYFUNCTION("""COMPUTED_VALUE"""),"Guinée équatoriale")</f>
        <v>Guinée équatoriale</v>
      </c>
      <c r="B92" s="2" t="str">
        <f>IFERROR(__xludf.DUMMYFUNCTION("""COMPUTED_VALUE"""),"11,3")</f>
        <v>11,3</v>
      </c>
      <c r="C92" s="2" t="str">
        <f>IFERROR(__xludf.DUMMYFUNCTION("""COMPUTED_VALUE"""),"9,9")</f>
        <v>9,9</v>
      </c>
      <c r="D92" s="2" t="str">
        <f>IFERROR(__xludf.DUMMYFUNCTION("""COMPUTED_VALUE"""),"1,4")</f>
        <v>1,4</v>
      </c>
    </row>
    <row r="93">
      <c r="A93" s="2" t="str">
        <f>IFERROR(__xludf.DUMMYFUNCTION("""COMPUTED_VALUE"""),"Suriname")</f>
        <v>Suriname</v>
      </c>
      <c r="B93" s="2" t="str">
        <f>IFERROR(__xludf.DUMMYFUNCTION("""COMPUTED_VALUE"""),"5,1")</f>
        <v>5,1</v>
      </c>
      <c r="C93" s="2" t="str">
        <f>IFERROR(__xludf.DUMMYFUNCTION("""COMPUTED_VALUE"""),"4,3")</f>
        <v>4,3</v>
      </c>
      <c r="D93" s="2" t="str">
        <f>IFERROR(__xludf.DUMMYFUNCTION("""COMPUTED_VALUE"""),"0,9")</f>
        <v>0,9</v>
      </c>
    </row>
    <row r="94">
      <c r="A94" s="2" t="str">
        <f>IFERROR(__xludf.DUMMYFUNCTION("""COMPUTED_VALUE"""),"Vietnam")</f>
        <v>Vietnam</v>
      </c>
      <c r="B94" s="2" t="str">
        <f>IFERROR(__xludf.DUMMYFUNCTION("""COMPUTED_VALUE"""),"8,3")</f>
        <v>8,3</v>
      </c>
      <c r="C94" s="2" t="str">
        <f>IFERROR(__xludf.DUMMYFUNCTION("""COMPUTED_VALUE"""),"3,1")</f>
        <v>3,1</v>
      </c>
      <c r="D94" s="2" t="str">
        <f>IFERROR(__xludf.DUMMYFUNCTION("""COMPUTED_VALUE"""),"5,3")</f>
        <v>5,3</v>
      </c>
    </row>
    <row r="95">
      <c r="A95" s="2" t="str">
        <f>IFERROR(__xludf.DUMMYFUNCTION("""COMPUTED_VALUE"""),"Lesotho")</f>
        <v>Lesotho</v>
      </c>
      <c r="B95" s="2" t="str">
        <f>IFERROR(__xludf.DUMMYFUNCTION("""COMPUTED_VALUE"""),"5,0")</f>
        <v>5,0</v>
      </c>
      <c r="C95" s="2" t="str">
        <f>IFERROR(__xludf.DUMMYFUNCTION("""COMPUTED_VALUE"""),"3,0")</f>
        <v>3,0</v>
      </c>
      <c r="D95" s="2" t="str">
        <f>IFERROR(__xludf.DUMMYFUNCTION("""COMPUTED_VALUE"""),"2,0")</f>
        <v>2,0</v>
      </c>
    </row>
    <row r="96">
      <c r="A96" s="2" t="str">
        <f>IFERROR(__xludf.DUMMYFUNCTION("""COMPUTED_VALUE"""),"Haïti")</f>
        <v>Haïti</v>
      </c>
      <c r="B96" s="2" t="str">
        <f>IFERROR(__xludf.DUMMYFUNCTION("""COMPUTED_VALUE"""),"5,8")</f>
        <v>5,8</v>
      </c>
      <c r="C96" s="2" t="str">
        <f>IFERROR(__xludf.DUMMYFUNCTION("""COMPUTED_VALUE"""),"5,8")</f>
        <v>5,8</v>
      </c>
      <c r="D96" s="2" t="str">
        <f>IFERROR(__xludf.DUMMYFUNCTION("""COMPUTED_VALUE"""),"0,0")</f>
        <v>0,0</v>
      </c>
    </row>
    <row r="97">
      <c r="A97" s="2" t="str">
        <f>IFERROR(__xludf.DUMMYFUNCTION("""COMPUTED_VALUE"""),"*Îles Cook* (NZ)")</f>
        <v>*Îles Cook* (NZ)</v>
      </c>
      <c r="B97" s="2" t="str">
        <f>IFERROR(__xludf.DUMMYFUNCTION("""COMPUTED_VALUE"""),"10,6")</f>
        <v>10,6</v>
      </c>
      <c r="C97" s="2" t="str">
        <f>IFERROR(__xludf.DUMMYFUNCTION("""COMPUTED_VALUE"""),"10,0")</f>
        <v>10,0</v>
      </c>
      <c r="D97" s="2" t="str">
        <f>IFERROR(__xludf.DUMMYFUNCTION("""COMPUTED_VALUE"""),"0,6")</f>
        <v>0,6</v>
      </c>
    </row>
    <row r="98">
      <c r="A98" s="2" t="str">
        <f>IFERROR(__xludf.DUMMYFUNCTION("""COMPUTED_VALUE"""),"Colombie")</f>
        <v>Colombie</v>
      </c>
      <c r="B98" s="2" t="str">
        <f>IFERROR(__xludf.DUMMYFUNCTION("""COMPUTED_VALUE"""),"5,8")</f>
        <v>5,8</v>
      </c>
      <c r="C98" s="2" t="str">
        <f>IFERROR(__xludf.DUMMYFUNCTION("""COMPUTED_VALUE"""),"4,4")</f>
        <v>4,4</v>
      </c>
      <c r="D98" s="2" t="str">
        <f>IFERROR(__xludf.DUMMYFUNCTION("""COMPUTED_VALUE"""),"1,4")</f>
        <v>1,4</v>
      </c>
    </row>
    <row r="99">
      <c r="A99" s="2" t="str">
        <f>IFERROR(__xludf.DUMMYFUNCTION("""COMPUTED_VALUE"""),"Côte d'Ivoire")</f>
        <v>Côte d'Ivoire</v>
      </c>
      <c r="B99" s="2" t="str">
        <f>IFERROR(__xludf.DUMMYFUNCTION("""COMPUTED_VALUE"""),"8,4")</f>
        <v>8,4</v>
      </c>
      <c r="C99" s="2" t="str">
        <f>IFERROR(__xludf.DUMMYFUNCTION("""COMPUTED_VALUE"""),"4,8")</f>
        <v>4,8</v>
      </c>
      <c r="D99" s="2" t="str">
        <f>IFERROR(__xludf.DUMMYFUNCTION("""COMPUTED_VALUE"""),"3,6")</f>
        <v>3,6</v>
      </c>
    </row>
    <row r="100">
      <c r="A100" s="2" t="str">
        <f>IFERROR(__xludf.DUMMYFUNCTION("""COMPUTED_VALUE"""),"Bolivie")</f>
        <v>Bolivie</v>
      </c>
      <c r="B100" s="2" t="str">
        <f>IFERROR(__xludf.DUMMYFUNCTION("""COMPUTED_VALUE"""),"4,8")</f>
        <v>4,8</v>
      </c>
      <c r="C100" s="2" t="str">
        <f>IFERROR(__xludf.DUMMYFUNCTION("""COMPUTED_VALUE"""),"3,6")</f>
        <v>3,6</v>
      </c>
      <c r="D100" s="2" t="str">
        <f>IFERROR(__xludf.DUMMYFUNCTION("""COMPUTED_VALUE"""),"1,2")</f>
        <v>1,2</v>
      </c>
    </row>
    <row r="101">
      <c r="A101" s="2" t="str">
        <f>IFERROR(__xludf.DUMMYFUNCTION("""COMPUTED_VALUE"""),"Eswatini")</f>
        <v>Eswatini</v>
      </c>
      <c r="B101" s="2" t="str">
        <f>IFERROR(__xludf.DUMMYFUNCTION("""COMPUTED_VALUE"""),"9,9")</f>
        <v>9,9</v>
      </c>
      <c r="C101" s="2" t="str">
        <f>IFERROR(__xludf.DUMMYFUNCTION("""COMPUTED_VALUE"""),"7,4")</f>
        <v>7,4</v>
      </c>
      <c r="D101" s="2" t="str">
        <f>IFERROR(__xludf.DUMMYFUNCTION("""COMPUTED_VALUE"""),"2,7")</f>
        <v>2,7</v>
      </c>
    </row>
    <row r="102">
      <c r="A102" s="2" t="str">
        <f>IFERROR(__xludf.DUMMYFUNCTION("""COMPUTED_VALUE"""),"Zimbabwe")</f>
        <v>Zimbabwe</v>
      </c>
      <c r="B102" s="2" t="str">
        <f>IFERROR(__xludf.DUMMYFUNCTION("""COMPUTED_VALUE"""),"4,8")</f>
        <v>4,8</v>
      </c>
      <c r="C102" s="2" t="str">
        <f>IFERROR(__xludf.DUMMYFUNCTION("""COMPUTED_VALUE"""),"3,6")</f>
        <v>3,6</v>
      </c>
      <c r="D102" s="2" t="str">
        <f>IFERROR(__xludf.DUMMYFUNCTION("""COMPUTED_VALUE"""),"1,3")</f>
        <v>1,3</v>
      </c>
    </row>
    <row r="103">
      <c r="A103" s="2" t="str">
        <f>IFERROR(__xludf.DUMMYFUNCTION("""COMPUTED_VALUE"""),"Seychelles")</f>
        <v>Seychelles</v>
      </c>
      <c r="B103" s="2" t="str">
        <f>IFERROR(__xludf.DUMMYFUNCTION("""COMPUTED_VALUE"""),"13,8")</f>
        <v>13,8</v>
      </c>
      <c r="C103" s="2" t="str">
        <f>IFERROR(__xludf.DUMMYFUNCTION("""COMPUTED_VALUE"""),"12,4")</f>
        <v>12,4</v>
      </c>
      <c r="D103" s="2" t="str">
        <f>IFERROR(__xludf.DUMMYFUNCTION("""COMPUTED_VALUE"""),"1,4")</f>
        <v>1,4</v>
      </c>
    </row>
    <row r="104">
      <c r="A104" s="2" t="str">
        <f>IFERROR(__xludf.DUMMYFUNCTION("""COMPUTED_VALUE"""),"Cambodge")</f>
        <v>Cambodge</v>
      </c>
      <c r="B104" s="2" t="str">
        <f>IFERROR(__xludf.DUMMYFUNCTION("""COMPUTED_VALUE"""),"6,7")</f>
        <v>6,7</v>
      </c>
      <c r="C104" s="2" t="str">
        <f>IFERROR(__xludf.DUMMYFUNCTION("""COMPUTED_VALUE"""),"3,5")</f>
        <v>3,5</v>
      </c>
      <c r="D104" s="2" t="str">
        <f>IFERROR(__xludf.DUMMYFUNCTION("""COMPUTED_VALUE"""),"3,2")</f>
        <v>3,2</v>
      </c>
    </row>
    <row r="105">
      <c r="A105" s="2" t="str">
        <f>IFERROR(__xludf.DUMMYFUNCTION("""COMPUTED_VALUE"""),"Philippines")</f>
        <v>Philippines</v>
      </c>
      <c r="B105" s="2" t="str">
        <f>IFERROR(__xludf.DUMMYFUNCTION("""COMPUTED_VALUE"""),"6,6")</f>
        <v>6,6</v>
      </c>
      <c r="C105" s="2" t="str">
        <f>IFERROR(__xludf.DUMMYFUNCTION("""COMPUTED_VALUE"""),"4,5")</f>
        <v>4,5</v>
      </c>
      <c r="D105" s="2" t="str">
        <f>IFERROR(__xludf.DUMMYFUNCTION("""COMPUTED_VALUE"""),"2,1")</f>
        <v>2,1</v>
      </c>
    </row>
    <row r="106">
      <c r="A106" s="2" t="str">
        <f>IFERROR(__xludf.DUMMYFUNCTION("""COMPUTED_VALUE"""),"Costa Rica")</f>
        <v>Costa Rica</v>
      </c>
      <c r="B106" s="2" t="str">
        <f>IFERROR(__xludf.DUMMYFUNCTION("""COMPUTED_VALUE"""),"4,8")</f>
        <v>4,8</v>
      </c>
      <c r="C106" s="2" t="str">
        <f>IFERROR(__xludf.DUMMYFUNCTION("""COMPUTED_VALUE"""),"3,7")</f>
        <v>3,7</v>
      </c>
      <c r="D106" s="2" t="str">
        <f>IFERROR(__xludf.DUMMYFUNCTION("""COMPUTED_VALUE"""),"1,1")</f>
        <v>1,1</v>
      </c>
    </row>
    <row r="107">
      <c r="A107" s="2" t="str">
        <f>IFERROR(__xludf.DUMMYFUNCTION("""COMPUTED_VALUE"""),"Arménie")</f>
        <v>Arménie</v>
      </c>
      <c r="B107" s="2" t="str">
        <f>IFERROR(__xludf.DUMMYFUNCTION("""COMPUTED_VALUE"""),"5,5")</f>
        <v>5,5</v>
      </c>
      <c r="C107" s="2" t="str">
        <f>IFERROR(__xludf.DUMMYFUNCTION("""COMPUTED_VALUE"""),"3,8")</f>
        <v>3,8</v>
      </c>
      <c r="D107" s="2" t="str">
        <f>IFERROR(__xludf.DUMMYFUNCTION("""COMPUTED_VALUE"""),"1,7")</f>
        <v>1,7</v>
      </c>
    </row>
    <row r="108">
      <c r="A108" s="2" t="str">
        <f>IFERROR(__xludf.DUMMYFUNCTION("""COMPUTED_VALUE"""),"Cuba")</f>
        <v>Cuba</v>
      </c>
      <c r="B108" s="2" t="str">
        <f>IFERROR(__xludf.DUMMYFUNCTION("""COMPUTED_VALUE"""),"6,1")</f>
        <v>6,1</v>
      </c>
      <c r="C108" s="2" t="str">
        <f>IFERROR(__xludf.DUMMYFUNCTION("""COMPUTED_VALUE"""),"4,7")</f>
        <v>4,7</v>
      </c>
      <c r="D108" s="2" t="str">
        <f>IFERROR(__xludf.DUMMYFUNCTION("""COMPUTED_VALUE"""),"1,5")</f>
        <v>1,5</v>
      </c>
    </row>
    <row r="109">
      <c r="A109" s="2" t="str">
        <f>IFERROR(__xludf.DUMMYFUNCTION("""COMPUTED_VALUE"""),"Nicaragua")</f>
        <v>Nicaragua</v>
      </c>
      <c r="B109" s="2" t="str">
        <f>IFERROR(__xludf.DUMMYFUNCTION("""COMPUTED_VALUE"""),"5,2")</f>
        <v>5,2</v>
      </c>
      <c r="C109" s="2" t="str">
        <f>IFERROR(__xludf.DUMMYFUNCTION("""COMPUTED_VALUE"""),"3,8")</f>
        <v>3,8</v>
      </c>
      <c r="D109" s="2" t="str">
        <f>IFERROR(__xludf.DUMMYFUNCTION("""COMPUTED_VALUE"""),"1,4")</f>
        <v>1,4</v>
      </c>
    </row>
    <row r="110">
      <c r="A110" s="2" t="str">
        <f>IFERROR(__xludf.DUMMYFUNCTION("""COMPUTED_VALUE"""),"Jamaïque")</f>
        <v>Jamaïque</v>
      </c>
      <c r="B110" s="2" t="str">
        <f>IFERROR(__xludf.DUMMYFUNCTION("""COMPUTED_VALUE"""),"4,2")</f>
        <v>4,2</v>
      </c>
      <c r="C110" s="2" t="str">
        <f>IFERROR(__xludf.DUMMYFUNCTION("""COMPUTED_VALUE"""),"3,4")</f>
        <v>3,4</v>
      </c>
      <c r="D110" s="2" t="str">
        <f>IFERROR(__xludf.DUMMYFUNCTION("""COMPUTED_VALUE"""),"1,1")</f>
        <v>1,1</v>
      </c>
    </row>
    <row r="111">
      <c r="A111" s="2" t="str">
        <f>IFERROR(__xludf.DUMMYFUNCTION("""COMPUTED_VALUE"""),"Ghana")</f>
        <v>Ghana</v>
      </c>
      <c r="B111" s="2" t="str">
        <f>IFERROR(__xludf.DUMMYFUNCTION("""COMPUTED_VALUE"""),"2,7")</f>
        <v>2,7</v>
      </c>
      <c r="C111" s="2" t="str">
        <f>IFERROR(__xludf.DUMMYFUNCTION("""COMPUTED_VALUE"""),"1,6")</f>
        <v>1,6</v>
      </c>
      <c r="D111" s="2" t="str">
        <f>IFERROR(__xludf.DUMMYFUNCTION("""COMPUTED_VALUE"""),"1,1")</f>
        <v>1,1</v>
      </c>
    </row>
    <row r="112">
      <c r="A112" s="2" t="str">
        <f>IFERROR(__xludf.DUMMYFUNCTION("""COMPUTED_VALUE"""),"Liberia")</f>
        <v>Liberia</v>
      </c>
      <c r="B112" s="2" t="str">
        <f>IFERROR(__xludf.DUMMYFUNCTION("""COMPUTED_VALUE"""),"5,8")</f>
        <v>5,8</v>
      </c>
      <c r="C112" s="2" t="str">
        <f>IFERROR(__xludf.DUMMYFUNCTION("""COMPUTED_VALUE"""),"3,5")</f>
        <v>3,5</v>
      </c>
      <c r="D112" s="2" t="str">
        <f>IFERROR(__xludf.DUMMYFUNCTION("""COMPUTED_VALUE"""),"2,2")</f>
        <v>2,2</v>
      </c>
    </row>
    <row r="113">
      <c r="A113" s="2" t="str">
        <f>IFERROR(__xludf.DUMMYFUNCTION("""COMPUTED_VALUE"""),"Ouzbékistan")</f>
        <v>Ouzbékistan</v>
      </c>
      <c r="B113" s="2" t="str">
        <f>IFERROR(__xludf.DUMMYFUNCTION("""COMPUTED_VALUE"""),"2,7")</f>
        <v>2,7</v>
      </c>
      <c r="C113" s="2" t="str">
        <f>IFERROR(__xludf.DUMMYFUNCTION("""COMPUTED_VALUE"""),"1,6")</f>
        <v>1,6</v>
      </c>
      <c r="D113" s="2" t="str">
        <f>IFERROR(__xludf.DUMMYFUNCTION("""COMPUTED_VALUE"""),"1,1")</f>
        <v>1,1</v>
      </c>
    </row>
    <row r="114">
      <c r="A114" s="2" t="str">
        <f>IFERROR(__xludf.DUMMYFUNCTION("""COMPUTED_VALUE"""),"Tchad")</f>
        <v>Tchad</v>
      </c>
      <c r="B114" s="2" t="str">
        <f>IFERROR(__xludf.DUMMYFUNCTION("""COMPUTED_VALUE"""),"1,5")</f>
        <v>1,5</v>
      </c>
      <c r="C114" s="2" t="str">
        <f>IFERROR(__xludf.DUMMYFUNCTION("""COMPUTED_VALUE"""),"0,7")</f>
        <v>0,7</v>
      </c>
      <c r="D114" s="2" t="str">
        <f>IFERROR(__xludf.DUMMYFUNCTION("""COMPUTED_VALUE"""),"0,9")</f>
        <v>0,9</v>
      </c>
    </row>
    <row r="115">
      <c r="A115" s="2" t="str">
        <f>IFERROR(__xludf.DUMMYFUNCTION("""COMPUTED_VALUE"""),"Émirats arabes unis")</f>
        <v>Émirats arabes unis</v>
      </c>
      <c r="B115" s="2" t="str">
        <f>IFERROR(__xludf.DUMMYFUNCTION("""COMPUTED_VALUE"""),"3,8")</f>
        <v>3,8</v>
      </c>
      <c r="C115" s="2" t="str">
        <f>IFERROR(__xludf.DUMMYFUNCTION("""COMPUTED_VALUE"""),"2,1")</f>
        <v>2,1</v>
      </c>
      <c r="D115" s="2" t="str">
        <f>IFERROR(__xludf.DUMMYFUNCTION("""COMPUTED_VALUE"""),"1,8")</f>
        <v>1,8</v>
      </c>
    </row>
    <row r="116">
      <c r="A116" s="2" t="str">
        <f>IFERROR(__xludf.DUMMYFUNCTION("""COMPUTED_VALUE"""),"Kirghizistan")</f>
        <v>Kirghizistan</v>
      </c>
      <c r="B116" s="2" t="str">
        <f>IFERROR(__xludf.DUMMYFUNCTION("""COMPUTED_VALUE"""),"6,2")</f>
        <v>6,2</v>
      </c>
      <c r="C116" s="2" t="str">
        <f>IFERROR(__xludf.DUMMYFUNCTION("""COMPUTED_VALUE"""),"4,1")</f>
        <v>4,1</v>
      </c>
      <c r="D116" s="2" t="str">
        <f>IFERROR(__xludf.DUMMYFUNCTION("""COMPUTED_VALUE"""),"2,1")</f>
        <v>2,1</v>
      </c>
    </row>
    <row r="117">
      <c r="A117" s="2" t="str">
        <f>IFERROR(__xludf.DUMMYFUNCTION("""COMPUTED_VALUE"""),"Inde")</f>
        <v>Inde</v>
      </c>
      <c r="B117" s="2" t="str">
        <f>IFERROR(__xludf.DUMMYFUNCTION("""COMPUTED_VALUE"""),"5,7")</f>
        <v>5,7</v>
      </c>
      <c r="C117" s="2" t="str">
        <f>IFERROR(__xludf.DUMMYFUNCTION("""COMPUTED_VALUE"""),"3,0")</f>
        <v>3,0</v>
      </c>
      <c r="D117" s="2" t="str">
        <f>IFERROR(__xludf.DUMMYFUNCTION("""COMPUTED_VALUE"""),"2,6")</f>
        <v>2,6</v>
      </c>
    </row>
    <row r="118">
      <c r="A118" s="2" t="str">
        <f>IFERROR(__xludf.DUMMYFUNCTION("""COMPUTED_VALUE"""),"Turkménistan")</f>
        <v>Turkménistan</v>
      </c>
      <c r="B118" s="2" t="str">
        <f>IFERROR(__xludf.DUMMYFUNCTION("""COMPUTED_VALUE"""),"5,4")</f>
        <v>5,4</v>
      </c>
      <c r="C118" s="2" t="str">
        <f>IFERROR(__xludf.DUMMYFUNCTION("""COMPUTED_VALUE"""),"3,4")</f>
        <v>3,4</v>
      </c>
      <c r="D118" s="2" t="str">
        <f>IFERROR(__xludf.DUMMYFUNCTION("""COMPUTED_VALUE"""),"2,0")</f>
        <v>2,0</v>
      </c>
    </row>
    <row r="119">
      <c r="A119" s="2" t="str">
        <f>IFERROR(__xludf.DUMMYFUNCTION("""COMPUTED_VALUE"""),"Kenya")</f>
        <v>Kenya</v>
      </c>
      <c r="B119" s="2" t="str">
        <f>IFERROR(__xludf.DUMMYFUNCTION("""COMPUTED_VALUE"""),"3,4")</f>
        <v>3,4</v>
      </c>
      <c r="C119" s="2" t="str">
        <f>IFERROR(__xludf.DUMMYFUNCTION("""COMPUTED_VALUE"""),"1,9")</f>
        <v>1,9</v>
      </c>
      <c r="D119" s="2" t="str">
        <f>IFERROR(__xludf.DUMMYFUNCTION("""COMPUTED_VALUE"""),"1,5")</f>
        <v>1,5</v>
      </c>
    </row>
    <row r="120">
      <c r="A120" s="2" t="str">
        <f>IFERROR(__xludf.DUMMYFUNCTION("""COMPUTED_VALUE"""),"Éthiopie")</f>
        <v>Éthiopie</v>
      </c>
      <c r="B120" s="2" t="str">
        <f>IFERROR(__xludf.DUMMYFUNCTION("""COMPUTED_VALUE"""),"2,8")</f>
        <v>2,8</v>
      </c>
      <c r="C120" s="2" t="str">
        <f>IFERROR(__xludf.DUMMYFUNCTION("""COMPUTED_VALUE"""),"1,4")</f>
        <v>1,4</v>
      </c>
      <c r="D120" s="2" t="str">
        <f>IFERROR(__xludf.DUMMYFUNCTION("""COMPUTED_VALUE"""),"1,4")</f>
        <v>1,4</v>
      </c>
    </row>
    <row r="121">
      <c r="A121" s="2" t="str">
        <f>IFERROR(__xludf.DUMMYFUNCTION("""COMPUTED_VALUE"""),"Honduras")</f>
        <v>Honduras</v>
      </c>
      <c r="B121" s="2" t="str">
        <f>IFERROR(__xludf.DUMMYFUNCTION("""COMPUTED_VALUE"""),"4,0")</f>
        <v>4,0</v>
      </c>
      <c r="C121" s="2" t="str">
        <f>IFERROR(__xludf.DUMMYFUNCTION("""COMPUTED_VALUE"""),"2,9")</f>
        <v>2,9</v>
      </c>
      <c r="D121" s="2" t="str">
        <f>IFERROR(__xludf.DUMMYFUNCTION("""COMPUTED_VALUE"""),"1,2")</f>
        <v>1,2</v>
      </c>
    </row>
    <row r="122">
      <c r="A122" s="2" t="str">
        <f>IFERROR(__xludf.DUMMYFUNCTION("""COMPUTED_VALUE"""),"Guinée-Bissau")</f>
        <v>Guinée-Bissau</v>
      </c>
      <c r="B122" s="2" t="str">
        <f>IFERROR(__xludf.DUMMYFUNCTION("""COMPUTED_VALUE"""),"4,8")</f>
        <v>4,8</v>
      </c>
      <c r="C122" s="2" t="str">
        <f>IFERROR(__xludf.DUMMYFUNCTION("""COMPUTED_VALUE"""),"2,8")</f>
        <v>2,8</v>
      </c>
      <c r="D122" s="2" t="str">
        <f>IFERROR(__xludf.DUMMYFUNCTION("""COMPUTED_VALUE"""),"1,9")</f>
        <v>1,9</v>
      </c>
    </row>
    <row r="123">
      <c r="A123" s="2" t="str">
        <f>IFERROR(__xludf.DUMMYFUNCTION("""COMPUTED_VALUE"""),"Zambie")</f>
        <v>Zambie</v>
      </c>
      <c r="B123" s="2" t="str">
        <f>IFERROR(__xludf.DUMMYFUNCTION("""COMPUTED_VALUE"""),"4,8")</f>
        <v>4,8</v>
      </c>
      <c r="C123" s="2" t="str">
        <f>IFERROR(__xludf.DUMMYFUNCTION("""COMPUTED_VALUE"""),"2,9")</f>
        <v>2,9</v>
      </c>
      <c r="D123" s="2" t="str">
        <f>IFERROR(__xludf.DUMMYFUNCTION("""COMPUTED_VALUE"""),"2,0")</f>
        <v>2,0</v>
      </c>
    </row>
    <row r="124">
      <c r="A124" s="2" t="str">
        <f>IFERROR(__xludf.DUMMYFUNCTION("""COMPUTED_VALUE"""),"République du Congo")</f>
        <v>République du Congo</v>
      </c>
      <c r="B124" s="2" t="str">
        <f>IFERROR(__xludf.DUMMYFUNCTION("""COMPUTED_VALUE"""),"7,8")</f>
        <v>7,8</v>
      </c>
      <c r="C124" s="2" t="str">
        <f>IFERROR(__xludf.DUMMYFUNCTION("""COMPUTED_VALUE"""),"4,9")</f>
        <v>4,9</v>
      </c>
      <c r="D124" s="2" t="str">
        <f>IFERROR(__xludf.DUMMYFUNCTION("""COMPUTED_VALUE"""),"3,0")</f>
        <v>3,0</v>
      </c>
    </row>
    <row r="125">
      <c r="A125" s="2" t="str">
        <f>IFERROR(__xludf.DUMMYFUNCTION("""COMPUTED_VALUE"""),"Guatemala")</f>
        <v>Guatemala</v>
      </c>
      <c r="B125" s="2" t="str">
        <f>IFERROR(__xludf.DUMMYFUNCTION("""COMPUTED_VALUE"""),"2,4")</f>
        <v>2,4</v>
      </c>
      <c r="C125" s="2" t="str">
        <f>IFERROR(__xludf.DUMMYFUNCTION("""COMPUTED_VALUE"""),"1,6")</f>
        <v>1,6</v>
      </c>
      <c r="D125" s="2" t="str">
        <f>IFERROR(__xludf.DUMMYFUNCTION("""COMPUTED_VALUE"""),"0,9")</f>
        <v>0,9</v>
      </c>
    </row>
    <row r="126">
      <c r="A126" s="2" t="str">
        <f>IFERROR(__xludf.DUMMYFUNCTION("""COMPUTED_VALUE"""),"République centrafricaine")</f>
        <v>République centrafricaine</v>
      </c>
      <c r="B126" s="2" t="str">
        <f>IFERROR(__xludf.DUMMYFUNCTION("""COMPUTED_VALUE"""),"3,3")</f>
        <v>3,3</v>
      </c>
      <c r="C126" s="2" t="str">
        <f>IFERROR(__xludf.DUMMYFUNCTION("""COMPUTED_VALUE"""),"1,7")</f>
        <v>1,7</v>
      </c>
      <c r="D126" s="2" t="str">
        <f>IFERROR(__xludf.DUMMYFUNCTION("""COMPUTED_VALUE"""),"1,6")</f>
        <v>1,6</v>
      </c>
    </row>
    <row r="127">
      <c r="A127" s="2" t="str">
        <f>IFERROR(__xludf.DUMMYFUNCTION("""COMPUTED_VALUE"""),"Corée du Nord")</f>
        <v>Corée du Nord</v>
      </c>
      <c r="B127" s="2" t="str">
        <f>IFERROR(__xludf.DUMMYFUNCTION("""COMPUTED_VALUE"""),"3,9")</f>
        <v>3,9</v>
      </c>
      <c r="C127" s="2" t="str">
        <f>IFERROR(__xludf.DUMMYFUNCTION("""COMPUTED_VALUE"""),"3,4")</f>
        <v>3,4</v>
      </c>
      <c r="D127" s="2" t="str">
        <f>IFERROR(__xludf.DUMMYFUNCTION("""COMPUTED_VALUE"""),"0,5")</f>
        <v>0,5</v>
      </c>
    </row>
    <row r="128">
      <c r="A128" s="2" t="str">
        <f>IFERROR(__xludf.DUMMYFUNCTION("""COMPUTED_VALUE"""),"Sri Lanka")</f>
        <v>Sri Lanka</v>
      </c>
      <c r="B128" s="2" t="str">
        <f>IFERROR(__xludf.DUMMYFUNCTION("""COMPUTED_VALUE"""),"4,3")</f>
        <v>4,3</v>
      </c>
      <c r="C128" s="2" t="str">
        <f>IFERROR(__xludf.DUMMYFUNCTION("""COMPUTED_VALUE"""),"2,4")</f>
        <v>2,4</v>
      </c>
      <c r="D128" s="2" t="str">
        <f>IFERROR(__xludf.DUMMYFUNCTION("""COMPUTED_VALUE"""),"1,6")</f>
        <v>1,6</v>
      </c>
    </row>
    <row r="129">
      <c r="A129" s="2" t="str">
        <f>IFERROR(__xludf.DUMMYFUNCTION("""COMPUTED_VALUE"""),"Maurice")</f>
        <v>Maurice</v>
      </c>
      <c r="B129" s="2" t="str">
        <f>IFERROR(__xludf.DUMMYFUNCTION("""COMPUTED_VALUE"""),"3,6")</f>
        <v>3,6</v>
      </c>
      <c r="C129" s="2" t="str">
        <f>IFERROR(__xludf.DUMMYFUNCTION("""COMPUTED_VALUE"""),"2,6")</f>
        <v>2,6</v>
      </c>
      <c r="D129" s="2" t="str">
        <f>IFERROR(__xludf.DUMMYFUNCTION("""COMPUTED_VALUE"""),"1,2")</f>
        <v>1,2</v>
      </c>
    </row>
    <row r="130">
      <c r="A130" s="2" t="str">
        <f>IFERROR(__xludf.DUMMYFUNCTION("""COMPUTED_VALUE"""),"Samoa")</f>
        <v>Samoa</v>
      </c>
      <c r="B130" s="2" t="str">
        <f>IFERROR(__xludf.DUMMYFUNCTION("""COMPUTED_VALUE"""),"2,5")</f>
        <v>2,5</v>
      </c>
      <c r="C130" s="2" t="str">
        <f>IFERROR(__xludf.DUMMYFUNCTION("""COMPUTED_VALUE"""),"2,0")</f>
        <v>2,0</v>
      </c>
      <c r="D130" s="2" t="str">
        <f>IFERROR(__xludf.DUMMYFUNCTION("""COMPUTED_VALUE"""),"0,7")</f>
        <v>0,7</v>
      </c>
    </row>
    <row r="131">
      <c r="A131" s="2" t="str">
        <f>IFERROR(__xludf.DUMMYFUNCTION("""COMPUTED_VALUE"""),"République démocratique du Congo")</f>
        <v>République démocratique du Congo</v>
      </c>
      <c r="B131" s="2" t="str">
        <f>IFERROR(__xludf.DUMMYFUNCTION("""COMPUTED_VALUE"""),"2,6")</f>
        <v>2,6</v>
      </c>
      <c r="C131" s="2" t="str">
        <f>IFERROR(__xludf.DUMMYFUNCTION("""COMPUTED_VALUE"""),"1,3")</f>
        <v>1,3</v>
      </c>
      <c r="D131" s="2" t="str">
        <f>IFERROR(__xludf.DUMMYFUNCTION("""COMPUTED_VALUE"""),"1,3")</f>
        <v>1,3</v>
      </c>
    </row>
    <row r="132">
      <c r="A132" s="2" t="str">
        <f>IFERROR(__xludf.DUMMYFUNCTION("""COMPUTED_VALUE"""),"Nauru")</f>
        <v>Nauru</v>
      </c>
      <c r="B132" s="2" t="str">
        <f>IFERROR(__xludf.DUMMYFUNCTION("""COMPUTED_VALUE"""),"6,0")</f>
        <v>6,0</v>
      </c>
      <c r="C132" s="2" t="str">
        <f>IFERROR(__xludf.DUMMYFUNCTION("""COMPUTED_VALUE"""),"3,5")</f>
        <v>3,5</v>
      </c>
      <c r="D132" s="2" t="str">
        <f>IFERROR(__xludf.DUMMYFUNCTION("""COMPUTED_VALUE"""),"2,5")</f>
        <v>2,5</v>
      </c>
    </row>
    <row r="133">
      <c r="A133" s="2" t="str">
        <f>IFERROR(__xludf.DUMMYFUNCTION("""COMPUTED_VALUE"""),"Gambie")</f>
        <v>Gambie</v>
      </c>
      <c r="B133" s="2" t="str">
        <f>IFERROR(__xludf.DUMMYFUNCTION("""COMPUTED_VALUE"""),"3,8")</f>
        <v>3,8</v>
      </c>
      <c r="C133" s="2" t="str">
        <f>IFERROR(__xludf.DUMMYFUNCTION("""COMPUTED_VALUE"""),"3,0")</f>
        <v>3,0</v>
      </c>
      <c r="D133" s="2" t="str">
        <f>IFERROR(__xludf.DUMMYFUNCTION("""COMPUTED_VALUE"""),"0,9")</f>
        <v>0,9</v>
      </c>
    </row>
    <row r="134">
      <c r="A134" s="2" t="str">
        <f>IFERROR(__xludf.DUMMYFUNCTION("""COMPUTED_VALUE"""),"États fédérés de Micronésie")</f>
        <v>États fédérés de Micronésie</v>
      </c>
      <c r="B134" s="2" t="str">
        <f>IFERROR(__xludf.DUMMYFUNCTION("""COMPUTED_VALUE"""),"2,5")</f>
        <v>2,5</v>
      </c>
      <c r="C134" s="2" t="str">
        <f>IFERROR(__xludf.DUMMYFUNCTION("""COMPUTED_VALUE"""),"1,6")</f>
        <v>1,6</v>
      </c>
      <c r="D134" s="2" t="str">
        <f>IFERROR(__xludf.DUMMYFUNCTION("""COMPUTED_VALUE"""),"0,9")</f>
        <v>0,9</v>
      </c>
    </row>
    <row r="135">
      <c r="A135" s="2" t="str">
        <f>IFERROR(__xludf.DUMMYFUNCTION("""COMPUTED_VALUE"""),"Salvador")</f>
        <v>Salvador</v>
      </c>
      <c r="B135" s="2" t="str">
        <f>IFERROR(__xludf.DUMMYFUNCTION("""COMPUTED_VALUE"""),"3,7")</f>
        <v>3,7</v>
      </c>
      <c r="C135" s="2" t="str">
        <f>IFERROR(__xludf.DUMMYFUNCTION("""COMPUTED_VALUE"""),"2,7")</f>
        <v>2,7</v>
      </c>
      <c r="D135" s="2" t="str">
        <f>IFERROR(__xludf.DUMMYFUNCTION("""COMPUTED_VALUE"""),"1,1")</f>
        <v>1,1</v>
      </c>
    </row>
    <row r="136">
      <c r="A136" s="2" t="str">
        <f>IFERROR(__xludf.DUMMYFUNCTION("""COMPUTED_VALUE"""),"Fidji")</f>
        <v>Fidji</v>
      </c>
      <c r="B136" s="2" t="str">
        <f>IFERROR(__xludf.DUMMYFUNCTION("""COMPUTED_VALUE"""),"3,0")</f>
        <v>3,0</v>
      </c>
      <c r="C136" s="2" t="str">
        <f>IFERROR(__xludf.DUMMYFUNCTION("""COMPUTED_VALUE"""),"2,2")</f>
        <v>2,2</v>
      </c>
      <c r="D136" s="2" t="str">
        <f>IFERROR(__xludf.DUMMYFUNCTION("""COMPUTED_VALUE"""),"1,0")</f>
        <v>1,0</v>
      </c>
    </row>
    <row r="137">
      <c r="A137" s="2" t="str">
        <f>IFERROR(__xludf.DUMMYFUNCTION("""COMPUTED_VALUE"""),"Papouasie-Nouvelle-Guinée")</f>
        <v>Papouasie-Nouvelle-Guinée</v>
      </c>
      <c r="B137" s="2" t="str">
        <f>IFERROR(__xludf.DUMMYFUNCTION("""COMPUTED_VALUE"""),"1,2")</f>
        <v>1,2</v>
      </c>
      <c r="C137" s="2" t="str">
        <f>IFERROR(__xludf.DUMMYFUNCTION("""COMPUTED_VALUE"""),"0,4")</f>
        <v>0,4</v>
      </c>
      <c r="D137" s="2" t="str">
        <f>IFERROR(__xludf.DUMMYFUNCTION("""COMPUTED_VALUE"""),"0,5")</f>
        <v>0,5</v>
      </c>
    </row>
    <row r="138">
      <c r="A138" s="2" t="str">
        <f>IFERROR(__xludf.DUMMYFUNCTION("""COMPUTED_VALUE"""),"Kiribati")</f>
        <v>Kiribati</v>
      </c>
      <c r="B138" s="2" t="str">
        <f>IFERROR(__xludf.DUMMYFUNCTION("""COMPUTED_VALUE"""),"0,4")</f>
        <v>0,4</v>
      </c>
      <c r="C138" s="2" t="str">
        <f>IFERROR(__xludf.DUMMYFUNCTION("""COMPUTED_VALUE"""),"0,4")</f>
        <v>0,4</v>
      </c>
      <c r="D138" s="2" t="str">
        <f>IFERROR(__xludf.DUMMYFUNCTION("""COMPUTED_VALUE"""),"0,2")</f>
        <v>0,2</v>
      </c>
    </row>
    <row r="139">
      <c r="A139" s="2" t="str">
        <f>IFERROR(__xludf.DUMMYFUNCTION("""COMPUTED_VALUE"""),"Tadjikistan")</f>
        <v>Tadjikistan</v>
      </c>
      <c r="B139" s="2" t="str">
        <f>IFERROR(__xludf.DUMMYFUNCTION("""COMPUTED_VALUE"""),"3,3")</f>
        <v>3,3</v>
      </c>
      <c r="C139" s="2" t="str">
        <f>IFERROR(__xludf.DUMMYFUNCTION("""COMPUTED_VALUE"""),"0,9")</f>
        <v>0,9</v>
      </c>
      <c r="D139" s="2" t="str">
        <f>IFERROR(__xludf.DUMMYFUNCTION("""COMPUTED_VALUE"""),"1,2")</f>
        <v>1,2</v>
      </c>
    </row>
    <row r="140">
      <c r="A140" s="2" t="str">
        <f>IFERROR(__xludf.DUMMYFUNCTION("""COMPUTED_VALUE"""),"Israël")</f>
        <v>Israël</v>
      </c>
      <c r="B140" s="2" t="str">
        <f>IFERROR(__xludf.DUMMYFUNCTION("""COMPUTED_VALUE"""),"3,8")</f>
        <v>3,8</v>
      </c>
      <c r="C140" s="2" t="str">
        <f>IFERROR(__xludf.DUMMYFUNCTION("""COMPUTED_VALUE"""),"2,6")</f>
        <v>2,6</v>
      </c>
      <c r="D140" s="2" t="str">
        <f>IFERROR(__xludf.DUMMYFUNCTION("""COMPUTED_VALUE"""),"1,2")</f>
        <v>1,2</v>
      </c>
    </row>
    <row r="141">
      <c r="A141" s="2" t="str">
        <f>IFERROR(__xludf.DUMMYFUNCTION("""COMPUTED_VALUE"""),"Soudan")</f>
        <v>Soudan</v>
      </c>
      <c r="B141" s="2" t="str">
        <f>IFERROR(__xludf.DUMMYFUNCTION("""COMPUTED_VALUE"""),"0,5")</f>
        <v>0,5</v>
      </c>
      <c r="C141" s="2" t="str">
        <f>IFERROR(__xludf.DUMMYFUNCTION("""COMPUTED_VALUE"""),"0,0")</f>
        <v>0,0</v>
      </c>
      <c r="D141" s="2" t="str">
        <f>IFERROR(__xludf.DUMMYFUNCTION("""COMPUTED_VALUE"""),"0,5")</f>
        <v>0,5</v>
      </c>
    </row>
    <row r="142">
      <c r="A142" s="2" t="str">
        <f>IFERROR(__xludf.DUMMYFUNCTION("""COMPUTED_VALUE"""),"Malawi")</f>
        <v>Malawi</v>
      </c>
      <c r="B142" s="2" t="str">
        <f>IFERROR(__xludf.DUMMYFUNCTION("""COMPUTED_VALUE"""),"3,7")</f>
        <v>3,7</v>
      </c>
      <c r="C142" s="2" t="str">
        <f>IFERROR(__xludf.DUMMYFUNCTION("""COMPUTED_VALUE"""),"2,0")</f>
        <v>2,0</v>
      </c>
      <c r="D142" s="2" t="str">
        <f>IFERROR(__xludf.DUMMYFUNCTION("""COMPUTED_VALUE"""),"1,7")</f>
        <v>1,7</v>
      </c>
    </row>
    <row r="143">
      <c r="A143" s="2" t="str">
        <f>IFERROR(__xludf.DUMMYFUNCTION("""COMPUTED_VALUE"""),"Liban")</f>
        <v>Liban</v>
      </c>
      <c r="B143" s="2" t="str">
        <f>IFERROR(__xludf.DUMMYFUNCTION("""COMPUTED_VALUE"""),"1,5")</f>
        <v>1,5</v>
      </c>
      <c r="C143" s="2" t="str">
        <f>IFERROR(__xludf.DUMMYFUNCTION("""COMPUTED_VALUE"""),"1,2")</f>
        <v>1,2</v>
      </c>
      <c r="D143" s="2" t="str">
        <f>IFERROR(__xludf.DUMMYFUNCTION("""COMPUTED_VALUE"""),"0,4")</f>
        <v>0,4</v>
      </c>
    </row>
    <row r="144">
      <c r="A144" s="2" t="str">
        <f>IFERROR(__xludf.DUMMYFUNCTION("""COMPUTED_VALUE"""),"Azerbaïdjan")</f>
        <v>Azerbaïdjan</v>
      </c>
      <c r="B144" s="2" t="str">
        <f>IFERROR(__xludf.DUMMYFUNCTION("""COMPUTED_VALUE"""),"0,8")</f>
        <v>0,8</v>
      </c>
      <c r="C144" s="2" t="str">
        <f>IFERROR(__xludf.DUMMYFUNCTION("""COMPUTED_VALUE"""),"0,5")</f>
        <v>0,5</v>
      </c>
      <c r="D144" s="2" t="str">
        <f>IFERROR(__xludf.DUMMYFUNCTION("""COMPUTED_VALUE"""),"0,3")</f>
        <v>0,3</v>
      </c>
    </row>
    <row r="145">
      <c r="A145" s="2" t="str">
        <f>IFERROR(__xludf.DUMMYFUNCTION("""COMPUTED_VALUE"""),"Mozambique")</f>
        <v>Mozambique</v>
      </c>
      <c r="B145" s="2" t="str">
        <f>IFERROR(__xludf.DUMMYFUNCTION("""COMPUTED_VALUE"""),"2,4")</f>
        <v>2,4</v>
      </c>
      <c r="C145" s="2" t="str">
        <f>IFERROR(__xludf.DUMMYFUNCTION("""COMPUTED_VALUE"""),"1,3")</f>
        <v>1,3</v>
      </c>
      <c r="D145" s="2" t="str">
        <f>IFERROR(__xludf.DUMMYFUNCTION("""COMPUTED_VALUE"""),"1,1")</f>
        <v>1,1</v>
      </c>
    </row>
    <row r="146">
      <c r="A146" s="2" t="str">
        <f>IFERROR(__xludf.DUMMYFUNCTION("""COMPUTED_VALUE"""),"Togo")</f>
        <v>Togo</v>
      </c>
      <c r="B146" s="2" t="str">
        <f>IFERROR(__xludf.DUMMYFUNCTION("""COMPUTED_VALUE"""),"3,1")</f>
        <v>3,1</v>
      </c>
      <c r="C146" s="2" t="str">
        <f>IFERROR(__xludf.DUMMYFUNCTION("""COMPUTED_VALUE"""),"1,7")</f>
        <v>1,7</v>
      </c>
      <c r="D146" s="2" t="str">
        <f>IFERROR(__xludf.DUMMYFUNCTION("""COMPUTED_VALUE"""),"1,4")</f>
        <v>1,4</v>
      </c>
    </row>
    <row r="147">
      <c r="A147" s="2" t="str">
        <f>IFERROR(__xludf.DUMMYFUNCTION("""COMPUTED_VALUE"""),"Népal")</f>
        <v>Népal</v>
      </c>
      <c r="B147" s="2" t="str">
        <f>IFERROR(__xludf.DUMMYFUNCTION("""COMPUTED_VALUE"""),"2,0")</f>
        <v>2,0</v>
      </c>
      <c r="C147" s="2" t="str">
        <f>IFERROR(__xludf.DUMMYFUNCTION("""COMPUTED_VALUE"""),"0,6")</f>
        <v>0,6</v>
      </c>
      <c r="D147" s="2" t="str">
        <f>IFERROR(__xludf.DUMMYFUNCTION("""COMPUTED_VALUE"""),"1,4")</f>
        <v>1,4</v>
      </c>
    </row>
    <row r="148">
      <c r="A148" s="2" t="str">
        <f>IFERROR(__xludf.DUMMYFUNCTION("""COMPUTED_VALUE"""),"Bénin")</f>
        <v>Bénin</v>
      </c>
      <c r="B148" s="2" t="str">
        <f>IFERROR(__xludf.DUMMYFUNCTION("""COMPUTED_VALUE"""),"3,0")</f>
        <v>3,0</v>
      </c>
      <c r="C148" s="2" t="str">
        <f>IFERROR(__xludf.DUMMYFUNCTION("""COMPUTED_VALUE"""),"1,6")</f>
        <v>1,6</v>
      </c>
      <c r="D148" s="2" t="str">
        <f>IFERROR(__xludf.DUMMYFUNCTION("""COMPUTED_VALUE"""),"1,5")</f>
        <v>1,5</v>
      </c>
    </row>
    <row r="149">
      <c r="A149" s="2" t="str">
        <f>IFERROR(__xludf.DUMMYFUNCTION("""COMPUTED_VALUE"""),"Singapour")</f>
        <v>Singapour</v>
      </c>
      <c r="B149" s="2" t="str">
        <f>IFERROR(__xludf.DUMMYFUNCTION("""COMPUTED_VALUE"""),"2,0")</f>
        <v>2,0</v>
      </c>
      <c r="C149" s="2" t="str">
        <f>IFERROR(__xludf.DUMMYFUNCTION("""COMPUTED_VALUE"""),"1,8")</f>
        <v>1,8</v>
      </c>
      <c r="D149" s="2" t="str">
        <f>IFERROR(__xludf.DUMMYFUNCTION("""COMPUTED_VALUE"""),"0,3")</f>
        <v>0,3</v>
      </c>
    </row>
    <row r="150">
      <c r="A150" s="2" t="str">
        <f>IFERROR(__xludf.DUMMYFUNCTION("""COMPUTED_VALUE"""),"Turquie")</f>
        <v>Turquie</v>
      </c>
      <c r="B150" s="2" t="str">
        <f>IFERROR(__xludf.DUMMYFUNCTION("""COMPUTED_VALUE"""),"2,0")</f>
        <v>2,0</v>
      </c>
      <c r="C150" s="2" t="str">
        <f>IFERROR(__xludf.DUMMYFUNCTION("""COMPUTED_VALUE"""),"1,3")</f>
        <v>1,3</v>
      </c>
      <c r="D150" s="2" t="str">
        <f>IFERROR(__xludf.DUMMYFUNCTION("""COMPUTED_VALUE"""),"0,7")</f>
        <v>0,7</v>
      </c>
    </row>
    <row r="151">
      <c r="A151" s="2" t="str">
        <f>IFERROR(__xludf.DUMMYFUNCTION("""COMPUTED_VALUE"""),"Madagascar")</f>
        <v>Madagascar</v>
      </c>
      <c r="B151" s="2" t="str">
        <f>IFERROR(__xludf.DUMMYFUNCTION("""COMPUTED_VALUE"""),"1,9")</f>
        <v>1,9</v>
      </c>
      <c r="C151" s="2" t="str">
        <f>IFERROR(__xludf.DUMMYFUNCTION("""COMPUTED_VALUE"""),"0,9")</f>
        <v>0,9</v>
      </c>
      <c r="D151" s="2" t="str">
        <f>IFERROR(__xludf.DUMMYFUNCTION("""COMPUTED_VALUE"""),"1,1")</f>
        <v>1,1</v>
      </c>
    </row>
    <row r="152">
      <c r="A152" s="2" t="str">
        <f>IFERROR(__xludf.DUMMYFUNCTION("""COMPUTED_VALUE"""),"Îles Salomon")</f>
        <v>Îles Salomon</v>
      </c>
      <c r="B152" s="2" t="str">
        <f>IFERROR(__xludf.DUMMYFUNCTION("""COMPUTED_VALUE"""),"1,4")</f>
        <v>1,4</v>
      </c>
      <c r="C152" s="2" t="str">
        <f>IFERROR(__xludf.DUMMYFUNCTION("""COMPUTED_VALUE"""),"1,0")</f>
        <v>1,0</v>
      </c>
      <c r="D152" s="2" t="str">
        <f>IFERROR(__xludf.DUMMYFUNCTION("""COMPUTED_VALUE"""),"0,4")</f>
        <v>0,4</v>
      </c>
    </row>
    <row r="153">
      <c r="A153" s="2" t="str">
        <f>IFERROR(__xludf.DUMMYFUNCTION("""COMPUTED_VALUE"""),"Tonga")</f>
        <v>Tonga</v>
      </c>
      <c r="B153" s="2" t="str">
        <f>IFERROR(__xludf.DUMMYFUNCTION("""COMPUTED_VALUE"""),"1,5")</f>
        <v>1,5</v>
      </c>
      <c r="C153" s="2" t="str">
        <f>IFERROR(__xludf.DUMMYFUNCTION("""COMPUTED_VALUE"""),"1,1")</f>
        <v>1,1</v>
      </c>
      <c r="D153" s="2" t="str">
        <f>IFERROR(__xludf.DUMMYFUNCTION("""COMPUTED_VALUE"""),"0,7")</f>
        <v>0,7</v>
      </c>
    </row>
    <row r="154">
      <c r="A154" s="2" t="str">
        <f>IFERROR(__xludf.DUMMYFUNCTION("""COMPUTED_VALUE"""),"Tunisie")</f>
        <v>Tunisie</v>
      </c>
      <c r="B154" s="2" t="str">
        <f>IFERROR(__xludf.DUMMYFUNCTION("""COMPUTED_VALUE"""),"1,9")</f>
        <v>1,9</v>
      </c>
      <c r="C154" s="2" t="str">
        <f>IFERROR(__xludf.DUMMYFUNCTION("""COMPUTED_VALUE"""),"1,4")</f>
        <v>1,4</v>
      </c>
      <c r="D154" s="2" t="str">
        <f>IFERROR(__xludf.DUMMYFUNCTION("""COMPUTED_VALUE"""),"0,6")</f>
        <v>0,6</v>
      </c>
    </row>
    <row r="155">
      <c r="A155" s="2" t="str">
        <f>IFERROR(__xludf.DUMMYFUNCTION("""COMPUTED_VALUE"""),"Tuvalu")</f>
        <v>Tuvalu</v>
      </c>
      <c r="B155" s="2" t="str">
        <f>IFERROR(__xludf.DUMMYFUNCTION("""COMPUTED_VALUE"""),"1,7")</f>
        <v>1,7</v>
      </c>
      <c r="C155" s="2" t="str">
        <f>IFERROR(__xludf.DUMMYFUNCTION("""COMPUTED_VALUE"""),"1,2")</f>
        <v>1,2</v>
      </c>
      <c r="D155" s="2" t="str">
        <f>IFERROR(__xludf.DUMMYFUNCTION("""COMPUTED_VALUE"""),"0,5")</f>
        <v>0,5</v>
      </c>
    </row>
    <row r="156">
      <c r="A156" s="2" t="str">
        <f>IFERROR(__xludf.DUMMYFUNCTION("""COMPUTED_VALUE"""),"Qatar")</f>
        <v>Qatar</v>
      </c>
      <c r="B156" s="2" t="str">
        <f>IFERROR(__xludf.DUMMYFUNCTION("""COMPUTED_VALUE"""),"2,0")</f>
        <v>2,0</v>
      </c>
      <c r="C156" s="2" t="str">
        <f>IFERROR(__xludf.DUMMYFUNCTION("""COMPUTED_VALUE"""),"1,3")</f>
        <v>1,3</v>
      </c>
      <c r="D156" s="2" t="str">
        <f>IFERROR(__xludf.DUMMYFUNCTION("""COMPUTED_VALUE"""),"0,7")</f>
        <v>0,7</v>
      </c>
    </row>
    <row r="157">
      <c r="A157" s="2" t="str">
        <f>IFERROR(__xludf.DUMMYFUNCTION("""COMPUTED_VALUE"""),"Vanuatu")</f>
        <v>Vanuatu</v>
      </c>
      <c r="B157" s="2" t="str">
        <f>IFERROR(__xludf.DUMMYFUNCTION("""COMPUTED_VALUE"""),"1,0")</f>
        <v>1,0</v>
      </c>
      <c r="C157" s="2" t="str">
        <f>IFERROR(__xludf.DUMMYFUNCTION("""COMPUTED_VALUE"""),"0,8")</f>
        <v>0,8</v>
      </c>
      <c r="D157" s="2" t="str">
        <f>IFERROR(__xludf.DUMMYFUNCTION("""COMPUTED_VALUE"""),"0,4")</f>
        <v>0,4</v>
      </c>
    </row>
    <row r="158">
      <c r="A158" s="2" t="str">
        <f>IFERROR(__xludf.DUMMYFUNCTION("""COMPUTED_VALUE"""),"Djibouti")</f>
        <v>Djibouti</v>
      </c>
      <c r="B158" s="2" t="str">
        <f>IFERROR(__xludf.DUMMYFUNCTION("""COMPUTED_VALUE"""),"0,5")</f>
        <v>0,5</v>
      </c>
      <c r="C158" s="2" t="str">
        <f>IFERROR(__xludf.DUMMYFUNCTION("""COMPUTED_VALUE"""),"0,4")</f>
        <v>0,4</v>
      </c>
      <c r="D158" s="2" t="str">
        <f>IFERROR(__xludf.DUMMYFUNCTION("""COMPUTED_VALUE"""),"0,2")</f>
        <v>0,2</v>
      </c>
    </row>
    <row r="159">
      <c r="A159" s="2" t="str">
        <f>IFERROR(__xludf.DUMMYFUNCTION("""COMPUTED_VALUE"""),"Malaisie")</f>
        <v>Malaisie</v>
      </c>
      <c r="B159" s="2" t="str">
        <f>IFERROR(__xludf.DUMMYFUNCTION("""COMPUTED_VALUE"""),"0,9")</f>
        <v>0,9</v>
      </c>
      <c r="C159" s="2" t="str">
        <f>IFERROR(__xludf.DUMMYFUNCTION("""COMPUTED_VALUE"""),"0,6")</f>
        <v>0,6</v>
      </c>
      <c r="D159" s="2" t="str">
        <f>IFERROR(__xludf.DUMMYFUNCTION("""COMPUTED_VALUE"""),"0,4")</f>
        <v>0,4</v>
      </c>
    </row>
    <row r="160">
      <c r="A160" s="2" t="str">
        <f>IFERROR(__xludf.DUMMYFUNCTION("""COMPUTED_VALUE"""),"Syrie")</f>
        <v>Syrie</v>
      </c>
      <c r="B160" s="2" t="str">
        <f>IFERROR(__xludf.DUMMYFUNCTION("""COMPUTED_VALUE"""),"0,3")</f>
        <v>0,3</v>
      </c>
      <c r="C160" s="2" t="str">
        <f>IFERROR(__xludf.DUMMYFUNCTION("""COMPUTED_VALUE"""),"0,2")</f>
        <v>0,2</v>
      </c>
      <c r="D160" s="2" t="str">
        <f>IFERROR(__xludf.DUMMYFUNCTION("""COMPUTED_VALUE"""),"0,1")</f>
        <v>0,1</v>
      </c>
    </row>
    <row r="161">
      <c r="A161" s="2" t="str">
        <f>IFERROR(__xludf.DUMMYFUNCTION("""COMPUTED_VALUE"""),"Maldives")</f>
        <v>Maldives</v>
      </c>
      <c r="B161" s="2" t="str">
        <f>IFERROR(__xludf.DUMMYFUNCTION("""COMPUTED_VALUE"""),"2,7")</f>
        <v>2,7</v>
      </c>
      <c r="C161" s="2" t="str">
        <f>IFERROR(__xludf.DUMMYFUNCTION("""COMPUTED_VALUE"""),"1,3")</f>
        <v>1,3</v>
      </c>
      <c r="D161" s="2" t="str">
        <f>IFERROR(__xludf.DUMMYFUNCTION("""COMPUTED_VALUE"""),"1,9")</f>
        <v>1,9</v>
      </c>
    </row>
    <row r="162">
      <c r="A162" s="2" t="str">
        <f>IFERROR(__xludf.DUMMYFUNCTION("""COMPUTED_VALUE"""),"Mali")</f>
        <v>Mali</v>
      </c>
      <c r="B162" s="2" t="str">
        <f>IFERROR(__xludf.DUMMYFUNCTION("""COMPUTED_VALUE"""),"1,3")</f>
        <v>1,3</v>
      </c>
      <c r="C162" s="2" t="str">
        <f>IFERROR(__xludf.DUMMYFUNCTION("""COMPUTED_VALUE"""),"0,6")</f>
        <v>0,6</v>
      </c>
      <c r="D162" s="2" t="str">
        <f>IFERROR(__xludf.DUMMYFUNCTION("""COMPUTED_VALUE"""),"0,7")</f>
        <v>0,7</v>
      </c>
    </row>
    <row r="163">
      <c r="A163" s="2" t="str">
        <f>IFERROR(__xludf.DUMMYFUNCTION("""COMPUTED_VALUE"""),"Érythrée")</f>
        <v>Érythrée</v>
      </c>
      <c r="B163" s="2" t="str">
        <f>IFERROR(__xludf.DUMMYFUNCTION("""COMPUTED_VALUE"""),"1,3")</f>
        <v>1,3</v>
      </c>
      <c r="C163" s="2" t="str">
        <f>IFERROR(__xludf.DUMMYFUNCTION("""COMPUTED_VALUE"""),"0,6")</f>
        <v>0,6</v>
      </c>
      <c r="D163" s="2" t="str">
        <f>IFERROR(__xludf.DUMMYFUNCTION("""COMPUTED_VALUE"""),"0,7")</f>
        <v>0,7</v>
      </c>
    </row>
    <row r="164">
      <c r="A164" s="2" t="str">
        <f>IFERROR(__xludf.DUMMYFUNCTION("""COMPUTED_VALUE"""),"Algérie")</f>
        <v>Algérie</v>
      </c>
      <c r="B164" s="2" t="str">
        <f>IFERROR(__xludf.DUMMYFUNCTION("""COMPUTED_VALUE"""),"0,9")</f>
        <v>0,9</v>
      </c>
      <c r="C164" s="2" t="str">
        <f>IFERROR(__xludf.DUMMYFUNCTION("""COMPUTED_VALUE"""),"0,6")</f>
        <v>0,6</v>
      </c>
      <c r="D164" s="2" t="str">
        <f>IFERROR(__xludf.DUMMYFUNCTION("""COMPUTED_VALUE"""),"0,4")</f>
        <v>0,4</v>
      </c>
    </row>
    <row r="165">
      <c r="A165" s="2" t="str">
        <f>IFERROR(__xludf.DUMMYFUNCTION("""COMPUTED_VALUE"""),"Iran")</f>
        <v>Iran</v>
      </c>
      <c r="B165" s="2" t="str">
        <f>IFERROR(__xludf.DUMMYFUNCTION("""COMPUTED_VALUE"""),"1,0")</f>
        <v>1,0</v>
      </c>
      <c r="C165" s="2" t="str">
        <f>IFERROR(__xludf.DUMMYFUNCTION("""COMPUTED_VALUE"""),"0,0")</f>
        <v>0,0</v>
      </c>
      <c r="D165" s="2" t="str">
        <f>IFERROR(__xludf.DUMMYFUNCTION("""COMPUTED_VALUE"""),"1,0")</f>
        <v>1,0</v>
      </c>
    </row>
    <row r="166">
      <c r="A166" s="2" t="str">
        <f>IFERROR(__xludf.DUMMYFUNCTION("""COMPUTED_VALUE"""),"Oman")</f>
        <v>Oman</v>
      </c>
      <c r="B166" s="2" t="str">
        <f>IFERROR(__xludf.DUMMYFUNCTION("""COMPUTED_VALUE"""),"0,8")</f>
        <v>0,8</v>
      </c>
      <c r="C166" s="2" t="str">
        <f>IFERROR(__xludf.DUMMYFUNCTION("""COMPUTED_VALUE"""),"0,4")</f>
        <v>0,4</v>
      </c>
      <c r="D166" s="2" t="str">
        <f>IFERROR(__xludf.DUMMYFUNCTION("""COMPUTED_VALUE"""),"0,4")</f>
        <v>0,4</v>
      </c>
    </row>
    <row r="167">
      <c r="A167" s="2" t="str">
        <f>IFERROR(__xludf.DUMMYFUNCTION("""COMPUTED_VALUE"""),"Bahreïn")</f>
        <v>Bahreïn</v>
      </c>
      <c r="B167" s="2" t="str">
        <f>IFERROR(__xludf.DUMMYFUNCTION("""COMPUTED_VALUE"""),"1,9")</f>
        <v>1,9</v>
      </c>
      <c r="C167" s="2" t="str">
        <f>IFERROR(__xludf.DUMMYFUNCTION("""COMPUTED_VALUE"""),"2,1")</f>
        <v>2,1</v>
      </c>
      <c r="D167" s="2" t="str">
        <f>IFERROR(__xludf.DUMMYFUNCTION("""COMPUTED_VALUE"""),"0,1")</f>
        <v>0,1</v>
      </c>
    </row>
    <row r="168">
      <c r="A168" s="2" t="str">
        <f>IFERROR(__xludf.DUMMYFUNCTION("""COMPUTED_VALUE"""),"Maroc")</f>
        <v>Maroc</v>
      </c>
      <c r="B168" s="2" t="str">
        <f>IFERROR(__xludf.DUMMYFUNCTION("""COMPUTED_VALUE"""),"0,6")</f>
        <v>0,6</v>
      </c>
      <c r="C168" s="2" t="str">
        <f>IFERROR(__xludf.DUMMYFUNCTION("""COMPUTED_VALUE"""),"0,4")</f>
        <v>0,4</v>
      </c>
      <c r="D168" s="2" t="str">
        <f>IFERROR(__xludf.DUMMYFUNCTION("""COMPUTED_VALUE"""),"0,3")</f>
        <v>0,3</v>
      </c>
    </row>
    <row r="169">
      <c r="A169" s="2" t="str">
        <f>IFERROR(__xludf.DUMMYFUNCTION("""COMPUTED_VALUE"""),"Jordanie")</f>
        <v>Jordanie</v>
      </c>
      <c r="B169" s="2" t="str">
        <f>IFERROR(__xludf.DUMMYFUNCTION("""COMPUTED_VALUE"""),"0,7")</f>
        <v>0,7</v>
      </c>
      <c r="C169" s="2" t="str">
        <f>IFERROR(__xludf.DUMMYFUNCTION("""COMPUTED_VALUE"""),"0,4")</f>
        <v>0,4</v>
      </c>
      <c r="D169" s="2" t="str">
        <f>IFERROR(__xludf.DUMMYFUNCTION("""COMPUTED_VALUE"""),"0,4")</f>
        <v>0,4</v>
      </c>
    </row>
    <row r="170">
      <c r="A170" s="2" t="str">
        <f>IFERROR(__xludf.DUMMYFUNCTION("""COMPUTED_VALUE"""),"Bhoutan")</f>
        <v>Bhoutan</v>
      </c>
      <c r="B170" s="2" t="str">
        <f>IFERROR(__xludf.DUMMYFUNCTION("""COMPUTED_VALUE"""),"0,6")</f>
        <v>0,6</v>
      </c>
      <c r="C170" s="2" t="str">
        <f>IFERROR(__xludf.DUMMYFUNCTION("""COMPUTED_VALUE"""),"0,2")</f>
        <v>0,2</v>
      </c>
      <c r="D170" s="2" t="str">
        <f>IFERROR(__xludf.DUMMYFUNCTION("""COMPUTED_VALUE"""),"0,4")</f>
        <v>0,4</v>
      </c>
    </row>
    <row r="171">
      <c r="A171" s="2" t="str">
        <f>IFERROR(__xludf.DUMMYFUNCTION("""COMPUTED_VALUE"""),"Guinée")</f>
        <v>Guinée</v>
      </c>
      <c r="B171" s="2" t="str">
        <f>IFERROR(__xludf.DUMMYFUNCTION("""COMPUTED_VALUE"""),"2,7")</f>
        <v>2,7</v>
      </c>
      <c r="C171" s="2" t="str">
        <f>IFERROR(__xludf.DUMMYFUNCTION("""COMPUTED_VALUE"""),"1,6")</f>
        <v>1,6</v>
      </c>
      <c r="D171" s="2" t="str">
        <f>IFERROR(__xludf.DUMMYFUNCTION("""COMPUTED_VALUE"""),"1,1")</f>
        <v>1,1</v>
      </c>
    </row>
    <row r="172">
      <c r="A172" s="2" t="str">
        <f>IFERROR(__xludf.DUMMYFUNCTION("""COMPUTED_VALUE"""),"Birmanie")</f>
        <v>Birmanie</v>
      </c>
      <c r="B172" s="2" t="str">
        <f>IFERROR(__xludf.DUMMYFUNCTION("""COMPUTED_VALUE"""),"4,8")</f>
        <v>4,8</v>
      </c>
      <c r="C172" s="2" t="str">
        <f>IFERROR(__xludf.DUMMYFUNCTION("""COMPUTED_VALUE"""),"1,6")</f>
        <v>1,6</v>
      </c>
      <c r="D172" s="2" t="str">
        <f>IFERROR(__xludf.DUMMYFUNCTION("""COMPUTED_VALUE"""),"3,2")</f>
        <v>3,2</v>
      </c>
    </row>
    <row r="173">
      <c r="A173" s="2" t="str">
        <f>IFERROR(__xludf.DUMMYFUNCTION("""COMPUTED_VALUE"""),"Afghanistan")</f>
        <v>Afghanistan</v>
      </c>
      <c r="B173" s="2" t="str">
        <f>IFERROR(__xludf.DUMMYFUNCTION("""COMPUTED_VALUE"""),"0,2")</f>
        <v>0,2</v>
      </c>
      <c r="C173" s="2" t="str">
        <f>IFERROR(__xludf.DUMMYFUNCTION("""COMPUTED_VALUE"""),"0,0")</f>
        <v>0,0</v>
      </c>
      <c r="D173" s="2" t="str">
        <f>IFERROR(__xludf.DUMMYFUNCTION("""COMPUTED_VALUE"""),"0,2")</f>
        <v>0,2</v>
      </c>
    </row>
    <row r="174">
      <c r="A174" s="2" t="str">
        <f>IFERROR(__xludf.DUMMYFUNCTION("""COMPUTED_VALUE"""),"Sénégal")</f>
        <v>Sénégal</v>
      </c>
      <c r="B174" s="2" t="str">
        <f>IFERROR(__xludf.DUMMYFUNCTION("""COMPUTED_VALUE"""),"0,7")</f>
        <v>0,7</v>
      </c>
      <c r="C174" s="2" t="str">
        <f>IFERROR(__xludf.DUMMYFUNCTION("""COMPUTED_VALUE"""),"0,2")</f>
        <v>0,2</v>
      </c>
      <c r="D174" s="2" t="str">
        <f>IFERROR(__xludf.DUMMYFUNCTION("""COMPUTED_VALUE"""),"0,5")</f>
        <v>0,5</v>
      </c>
    </row>
    <row r="175">
      <c r="A175" s="2" t="str">
        <f>IFERROR(__xludf.DUMMYFUNCTION("""COMPUTED_VALUE"""),"Indonésie")</f>
        <v>Indonésie</v>
      </c>
      <c r="B175" s="2" t="str">
        <f>IFERROR(__xludf.DUMMYFUNCTION("""COMPUTED_VALUE"""),"0,8")</f>
        <v>0,8</v>
      </c>
      <c r="C175" s="2" t="str">
        <f>IFERROR(__xludf.DUMMYFUNCTION("""COMPUTED_VALUE"""),"0,3")</f>
        <v>0,3</v>
      </c>
      <c r="D175" s="2" t="str">
        <f>IFERROR(__xludf.DUMMYFUNCTION("""COMPUTED_VALUE"""),"0,5")</f>
        <v>0,5</v>
      </c>
    </row>
    <row r="176">
      <c r="A176" s="2" t="str">
        <f>IFERROR(__xludf.DUMMYFUNCTION("""COMPUTED_VALUE"""),"Timor oriental")</f>
        <v>Timor oriental</v>
      </c>
      <c r="B176" s="2" t="str">
        <f>IFERROR(__xludf.DUMMYFUNCTION("""COMPUTED_VALUE"""),"2,1")</f>
        <v>2,1</v>
      </c>
      <c r="C176" s="2" t="str">
        <f>IFERROR(__xludf.DUMMYFUNCTION("""COMPUTED_VALUE"""),"0,6")</f>
        <v>0,6</v>
      </c>
      <c r="D176" s="2" t="str">
        <f>IFERROR(__xludf.DUMMYFUNCTION("""COMPUTED_VALUE"""),"1,5")</f>
        <v>1,5</v>
      </c>
    </row>
    <row r="177">
      <c r="A177" s="2" t="str">
        <f>IFERROR(__xludf.DUMMYFUNCTION("""COMPUTED_VALUE"""),"Irak")</f>
        <v>Irak</v>
      </c>
      <c r="B177" s="2" t="str">
        <f>IFERROR(__xludf.DUMMYFUNCTION("""COMPUTED_VALUE"""),"0,4")</f>
        <v>0,4</v>
      </c>
      <c r="C177" s="2" t="str">
        <f>IFERROR(__xludf.DUMMYFUNCTION("""COMPUTED_VALUE"""),"0,2")</f>
        <v>0,2</v>
      </c>
      <c r="D177" s="2" t="str">
        <f>IFERROR(__xludf.DUMMYFUNCTION("""COMPUTED_VALUE"""),"0,2")</f>
        <v>0,2</v>
      </c>
    </row>
    <row r="178">
      <c r="A178" s="2" t="str">
        <f>IFERROR(__xludf.DUMMYFUNCTION("""COMPUTED_VALUE"""),"Somalie")</f>
        <v>Somalie</v>
      </c>
      <c r="B178" s="2" t="str">
        <f>IFERROR(__xludf.DUMMYFUNCTION("""COMPUTED_VALUE"""),"0,0")</f>
        <v>0,0</v>
      </c>
      <c r="C178" s="2" t="str">
        <f>IFERROR(__xludf.DUMMYFUNCTION("""COMPUTED_VALUE"""),"0,0")</f>
        <v>0,0</v>
      </c>
      <c r="D178" s="2" t="str">
        <f>IFERROR(__xludf.DUMMYFUNCTION("""COMPUTED_VALUE"""),"0,0")</f>
        <v>0,0</v>
      </c>
    </row>
    <row r="179">
      <c r="A179" s="2" t="str">
        <f>IFERROR(__xludf.DUMMYFUNCTION("""COMPUTED_VALUE"""),"Égypte")</f>
        <v>Égypte</v>
      </c>
      <c r="B179" s="2" t="str">
        <f>IFERROR(__xludf.DUMMYFUNCTION("""COMPUTED_VALUE"""),"0,4")</f>
        <v>0,4</v>
      </c>
      <c r="C179" s="2" t="str">
        <f>IFERROR(__xludf.DUMMYFUNCTION("""COMPUTED_VALUE"""),"0,2")</f>
        <v>0,2</v>
      </c>
      <c r="D179" s="2" t="str">
        <f>IFERROR(__xludf.DUMMYFUNCTION("""COMPUTED_VALUE"""),"0,2")</f>
        <v>0,2</v>
      </c>
    </row>
    <row r="180">
      <c r="A180" s="2" t="str">
        <f>IFERROR(__xludf.DUMMYFUNCTION("""COMPUTED_VALUE"""),"Niger")</f>
        <v>Niger</v>
      </c>
      <c r="B180" s="2" t="str">
        <f>IFERROR(__xludf.DUMMYFUNCTION("""COMPUTED_VALUE"""),"0,5")</f>
        <v>0,5</v>
      </c>
      <c r="C180" s="2" t="str">
        <f>IFERROR(__xludf.DUMMYFUNCTION("""COMPUTED_VALUE"""),"0,1")</f>
        <v>0,1</v>
      </c>
      <c r="D180" s="2" t="str">
        <f>IFERROR(__xludf.DUMMYFUNCTION("""COMPUTED_VALUE"""),"0,4")</f>
        <v>0,4</v>
      </c>
    </row>
    <row r="181">
      <c r="A181" s="2" t="str">
        <f>IFERROR(__xludf.DUMMYFUNCTION("""COMPUTED_VALUE"""),"Yémen")</f>
        <v>Yémen</v>
      </c>
      <c r="B181" s="2" t="str">
        <f>IFERROR(__xludf.DUMMYFUNCTION("""COMPUTED_VALUE"""),"0,1")</f>
        <v>0,1</v>
      </c>
      <c r="C181" s="2" t="str">
        <f>IFERROR(__xludf.DUMMYFUNCTION("""COMPUTED_VALUE"""),"0,0")</f>
        <v>0,0</v>
      </c>
      <c r="D181" s="2" t="str">
        <f>IFERROR(__xludf.DUMMYFUNCTION("""COMPUTED_VALUE"""),"0,0")</f>
        <v>0,0</v>
      </c>
    </row>
    <row r="182">
      <c r="A182" s="2" t="str">
        <f>IFERROR(__xludf.DUMMYFUNCTION("""COMPUTED_VALUE"""),"Comores")</f>
        <v>Comores</v>
      </c>
      <c r="B182" s="2" t="str">
        <f>IFERROR(__xludf.DUMMYFUNCTION("""COMPUTED_VALUE"""),"0,9")</f>
        <v>0,9</v>
      </c>
      <c r="C182" s="2" t="str">
        <f>IFERROR(__xludf.DUMMYFUNCTION("""COMPUTED_VALUE"""),"0,1")</f>
        <v>0,1</v>
      </c>
      <c r="D182" s="2" t="str">
        <f>IFERROR(__xludf.DUMMYFUNCTION("""COMPUTED_VALUE"""),"0,8")</f>
        <v>0,8</v>
      </c>
    </row>
    <row r="183">
      <c r="A183" s="2" t="str">
        <f>IFERROR(__xludf.DUMMYFUNCTION("""COMPUTED_VALUE"""),"Arabie saoudite")</f>
        <v>Arabie saoudite</v>
      </c>
      <c r="B183" s="2" t="str">
        <f>IFERROR(__xludf.DUMMYFUNCTION("""COMPUTED_VALUE"""),"0,2")</f>
        <v>0,2</v>
      </c>
      <c r="C183" s="2" t="str">
        <f>IFERROR(__xludf.DUMMYFUNCTION("""COMPUTED_VALUE"""),"0,1")</f>
        <v>0,1</v>
      </c>
      <c r="D183" s="2" t="str">
        <f>IFERROR(__xludf.DUMMYFUNCTION("""COMPUTED_VALUE"""),"0,2")</f>
        <v>0,2</v>
      </c>
    </row>
    <row r="184">
      <c r="A184" s="2" t="str">
        <f>IFERROR(__xludf.DUMMYFUNCTION("""COMPUTED_VALUE"""),"Bangladesh")</f>
        <v>Bangladesh</v>
      </c>
      <c r="B184" s="2" t="str">
        <f>IFERROR(__xludf.DUMMYFUNCTION("""COMPUTED_VALUE"""),"0,0")</f>
        <v>0,0</v>
      </c>
      <c r="C184" s="2" t="str">
        <f>IFERROR(__xludf.DUMMYFUNCTION("""COMPUTED_VALUE"""),"0,0")</f>
        <v>0,0</v>
      </c>
      <c r="D184" s="2" t="str">
        <f>IFERROR(__xludf.DUMMYFUNCTION("""COMPUTED_VALUE"""),"0,0")</f>
        <v>0,0</v>
      </c>
    </row>
    <row r="185">
      <c r="A185" s="2" t="str">
        <f>IFERROR(__xludf.DUMMYFUNCTION("""COMPUTED_VALUE"""),"Koweït")</f>
        <v>Koweït</v>
      </c>
      <c r="B185" s="2" t="str">
        <f>IFERROR(__xludf.DUMMYFUNCTION("""COMPUTED_VALUE"""),"0,0")</f>
        <v>0,0</v>
      </c>
      <c r="C185" s="2" t="str">
        <f>IFERROR(__xludf.DUMMYFUNCTION("""COMPUTED_VALUE"""),"0,0")</f>
        <v>0,0</v>
      </c>
      <c r="D185" s="2" t="str">
        <f>IFERROR(__xludf.DUMMYFUNCTION("""COMPUTED_VALUE"""),"0,0")</f>
        <v>0,0</v>
      </c>
    </row>
    <row r="186">
      <c r="A186" s="2" t="str">
        <f>IFERROR(__xludf.DUMMYFUNCTION("""COMPUTED_VALUE"""),"Mauritanie")</f>
        <v>Mauritanie</v>
      </c>
      <c r="B186" s="2" t="str">
        <f>IFERROR(__xludf.DUMMYFUNCTION("""COMPUTED_VALUE"""),"0,0")</f>
        <v>0,0</v>
      </c>
      <c r="C186" s="2" t="str">
        <f>IFERROR(__xludf.DUMMYFUNCTION("""COMPUTED_VALUE"""),"0,0")</f>
        <v>0,0</v>
      </c>
      <c r="D186" s="2" t="str">
        <f>IFERROR(__xludf.DUMMYFUNCTION("""COMPUTED_VALUE"""),"0,0")</f>
        <v>0,0</v>
      </c>
    </row>
    <row r="187">
      <c r="A187" s="2" t="str">
        <f>IFERROR(__xludf.DUMMYFUNCTION("""COMPUTED_VALUE"""),"Pakistan")</f>
        <v>Pakistan</v>
      </c>
      <c r="B187" s="2" t="str">
        <f>IFERROR(__xludf.DUMMYFUNCTION("""COMPUTED_VALUE"""),"0,3")</f>
        <v>0,3</v>
      </c>
      <c r="C187" s="2" t="str">
        <f>IFERROR(__xludf.DUMMYFUNCTION("""COMPUTED_VALUE"""),"0,0")</f>
        <v>0,0</v>
      </c>
      <c r="D187" s="2" t="str">
        <f>IFERROR(__xludf.DUMMYFUNCTION("""COMPUTED_VALUE"""),"0,3")</f>
        <v>0,3</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 t="s">
        <v>40</v>
      </c>
    </row>
    <row r="2">
      <c r="A2" s="2" t="str">
        <f>IFERROR(__xludf.DUMMYFUNCTION("IMPORTHTML(""https://www.insee.fr/fr/statistiques/4281932#tableau-figure1"",""table"",""3"")"),"")</f>
        <v/>
      </c>
      <c r="B2" s="2" t="str">
        <f>IFERROR(__xludf.DUMMYFUNCTION("""COMPUTED_VALUE"""),"Année 2017")</f>
        <v>Année 2017</v>
      </c>
      <c r="C2" s="2" t="str">
        <f>IFERROR(__xludf.DUMMYFUNCTION("""COMPUTED_VALUE"""),"Année 2018")</f>
        <v>Année 2018</v>
      </c>
    </row>
    <row r="3">
      <c r="A3" s="2" t="str">
        <f>IFERROR(__xludf.DUMMYFUNCTION("""COMPUTED_VALUE"""),"Janvier")</f>
        <v>Janvier</v>
      </c>
      <c r="B3" s="8" t="str">
        <f>IFERROR(__xludf.DUMMYFUNCTION("""COMPUTED_VALUE"""),"7 180")</f>
        <v>7 180</v>
      </c>
      <c r="C3" s="8" t="str">
        <f>IFERROR(__xludf.DUMMYFUNCTION("""COMPUTED_VALUE"""),"6 185")</f>
        <v>6 185</v>
      </c>
    </row>
    <row r="4">
      <c r="A4" s="2" t="str">
        <f>IFERROR(__xludf.DUMMYFUNCTION("""COMPUTED_VALUE"""),"Février")</f>
        <v>Février</v>
      </c>
      <c r="B4" s="8" t="str">
        <f>IFERROR(__xludf.DUMMYFUNCTION("""COMPUTED_VALUE"""),"5 744")</f>
        <v>5 744</v>
      </c>
      <c r="C4" s="8" t="str">
        <f>IFERROR(__xludf.DUMMYFUNCTION("""COMPUTED_VALUE"""),"5 728")</f>
        <v>5 728</v>
      </c>
    </row>
    <row r="5">
      <c r="A5" s="2" t="str">
        <f>IFERROR(__xludf.DUMMYFUNCTION("""COMPUTED_VALUE"""),"Mars")</f>
        <v>Mars</v>
      </c>
      <c r="B5" s="8" t="str">
        <f>IFERROR(__xludf.DUMMYFUNCTION("""COMPUTED_VALUE"""),"5 472")</f>
        <v>5 472</v>
      </c>
      <c r="C5" s="8" t="str">
        <f>IFERROR(__xludf.DUMMYFUNCTION("""COMPUTED_VALUE"""),"6 463")</f>
        <v>6 463</v>
      </c>
    </row>
    <row r="6">
      <c r="A6" s="2" t="str">
        <f>IFERROR(__xludf.DUMMYFUNCTION("""COMPUTED_VALUE"""),"Avril")</f>
        <v>Avril</v>
      </c>
      <c r="B6" s="8" t="str">
        <f>IFERROR(__xludf.DUMMYFUNCTION("""COMPUTED_VALUE"""),"5 017")</f>
        <v>5 017</v>
      </c>
      <c r="C6" s="8" t="str">
        <f>IFERROR(__xludf.DUMMYFUNCTION("""COMPUTED_VALUE"""),"5 439")</f>
        <v>5 439</v>
      </c>
    </row>
    <row r="7">
      <c r="A7" s="2" t="str">
        <f>IFERROR(__xludf.DUMMYFUNCTION("""COMPUTED_VALUE"""),"Mai")</f>
        <v>Mai</v>
      </c>
      <c r="B7" s="8" t="str">
        <f>IFERROR(__xludf.DUMMYFUNCTION("""COMPUTED_VALUE"""),"5 296")</f>
        <v>5 296</v>
      </c>
      <c r="C7" s="8" t="str">
        <f>IFERROR(__xludf.DUMMYFUNCTION("""COMPUTED_VALUE"""),"5 127")</f>
        <v>5 127</v>
      </c>
    </row>
    <row r="8">
      <c r="A8" s="2" t="str">
        <f>IFERROR(__xludf.DUMMYFUNCTION("""COMPUTED_VALUE"""),"Juin")</f>
        <v>Juin</v>
      </c>
      <c r="B8" s="8" t="str">
        <f>IFERROR(__xludf.DUMMYFUNCTION("""COMPUTED_VALUE"""),"4 684")</f>
        <v>4 684</v>
      </c>
      <c r="C8" s="8" t="str">
        <f>IFERROR(__xludf.DUMMYFUNCTION("""COMPUTED_VALUE"""),"4 964")</f>
        <v>4 964</v>
      </c>
    </row>
    <row r="9">
      <c r="A9" s="2" t="str">
        <f>IFERROR(__xludf.DUMMYFUNCTION("""COMPUTED_VALUE"""),"Juillet")</f>
        <v>Juillet</v>
      </c>
      <c r="B9" s="8" t="str">
        <f>IFERROR(__xludf.DUMMYFUNCTION("""COMPUTED_VALUE"""),"4 983")</f>
        <v>4 983</v>
      </c>
      <c r="C9" s="8" t="str">
        <f>IFERROR(__xludf.DUMMYFUNCTION("""COMPUTED_VALUE"""),"5 118")</f>
        <v>5 118</v>
      </c>
    </row>
    <row r="10">
      <c r="A10" s="2" t="str">
        <f>IFERROR(__xludf.DUMMYFUNCTION("""COMPUTED_VALUE"""),"Août")</f>
        <v>Août</v>
      </c>
      <c r="B10" s="8" t="str">
        <f>IFERROR(__xludf.DUMMYFUNCTION("""COMPUTED_VALUE"""),"4 909")</f>
        <v>4 909</v>
      </c>
      <c r="C10" s="8" t="str">
        <f>IFERROR(__xludf.DUMMYFUNCTION("""COMPUTED_VALUE"""),"4 985")</f>
        <v>4 985</v>
      </c>
    </row>
    <row r="11">
      <c r="A11" s="2" t="str">
        <f>IFERROR(__xludf.DUMMYFUNCTION("""COMPUTED_VALUE"""),"Septembre")</f>
        <v>Septembre</v>
      </c>
      <c r="B11" s="8" t="str">
        <f>IFERROR(__xludf.DUMMYFUNCTION("""COMPUTED_VALUE"""),"5 085")</f>
        <v>5 085</v>
      </c>
      <c r="C11" s="8" t="str">
        <f>IFERROR(__xludf.DUMMYFUNCTION("""COMPUTED_VALUE"""),"4 856")</f>
        <v>4 856</v>
      </c>
    </row>
    <row r="12">
      <c r="A12" s="2" t="str">
        <f>IFERROR(__xludf.DUMMYFUNCTION("""COMPUTED_VALUE"""),"Octobre")</f>
        <v>Octobre</v>
      </c>
      <c r="B12" s="8" t="str">
        <f>IFERROR(__xludf.DUMMYFUNCTION("""COMPUTED_VALUE"""),"5 208")</f>
        <v>5 208</v>
      </c>
      <c r="C12" s="8" t="str">
        <f>IFERROR(__xludf.DUMMYFUNCTION("""COMPUTED_VALUE"""),"5 301")</f>
        <v>5 301</v>
      </c>
    </row>
    <row r="13">
      <c r="A13" s="2" t="str">
        <f>IFERROR(__xludf.DUMMYFUNCTION("""COMPUTED_VALUE"""),"Novembre")</f>
        <v>Novembre</v>
      </c>
      <c r="B13" s="8" t="str">
        <f>IFERROR(__xludf.DUMMYFUNCTION("""COMPUTED_VALUE"""),"5 378")</f>
        <v>5 378</v>
      </c>
      <c r="C13" s="8" t="str">
        <f>IFERROR(__xludf.DUMMYFUNCTION("""COMPUTED_VALUE"""),"5 376")</f>
        <v>5 376</v>
      </c>
    </row>
    <row r="14">
      <c r="A14" s="2" t="str">
        <f>IFERROR(__xludf.DUMMYFUNCTION("""COMPUTED_VALUE"""),"Décembre")</f>
        <v>Décembre</v>
      </c>
      <c r="B14" s="8" t="str">
        <f>IFERROR(__xludf.DUMMYFUNCTION("""COMPUTED_VALUE"""),"5 974")</f>
        <v>5 974</v>
      </c>
      <c r="C14" s="8" t="str">
        <f>IFERROR(__xludf.DUMMYFUNCTION("""COMPUTED_VALUE"""),"5 514")</f>
        <v>5 514</v>
      </c>
    </row>
    <row r="16">
      <c r="B16" s="2" t="s">
        <v>41</v>
      </c>
      <c r="C16" s="2" t="s">
        <v>42</v>
      </c>
    </row>
    <row r="17">
      <c r="A17" s="2" t="s">
        <v>31</v>
      </c>
      <c r="B17" s="3" t="s">
        <v>43</v>
      </c>
      <c r="C17" s="3" t="s">
        <v>44</v>
      </c>
    </row>
    <row r="18">
      <c r="A18" s="2" t="s">
        <v>32</v>
      </c>
      <c r="B18" s="3" t="s">
        <v>45</v>
      </c>
      <c r="C18" s="3" t="s">
        <v>46</v>
      </c>
    </row>
    <row r="19">
      <c r="A19" s="2" t="s">
        <v>33</v>
      </c>
      <c r="B19" s="3" t="s">
        <v>47</v>
      </c>
      <c r="C19" s="3" t="s">
        <v>48</v>
      </c>
    </row>
    <row r="20">
      <c r="A20" s="2" t="s">
        <v>34</v>
      </c>
      <c r="B20" s="3" t="s">
        <v>49</v>
      </c>
      <c r="C20" s="3" t="s">
        <v>50</v>
      </c>
    </row>
    <row r="21">
      <c r="A21" s="2" t="s">
        <v>35</v>
      </c>
      <c r="B21" s="3" t="s">
        <v>51</v>
      </c>
      <c r="C21" s="3" t="s">
        <v>52</v>
      </c>
    </row>
    <row r="22">
      <c r="A22" s="2" t="s">
        <v>53</v>
      </c>
      <c r="B22" s="3" t="s">
        <v>54</v>
      </c>
      <c r="C22" s="3" t="s">
        <v>55</v>
      </c>
    </row>
    <row r="23">
      <c r="A23" s="2" t="s">
        <v>56</v>
      </c>
      <c r="B23" s="3" t="s">
        <v>57</v>
      </c>
      <c r="C23" s="3" t="s">
        <v>58</v>
      </c>
    </row>
    <row r="24">
      <c r="A24" s="2" t="s">
        <v>59</v>
      </c>
      <c r="B24" s="3" t="s">
        <v>60</v>
      </c>
      <c r="C24" s="3" t="s">
        <v>61</v>
      </c>
    </row>
    <row r="25">
      <c r="A25" s="2" t="s">
        <v>62</v>
      </c>
      <c r="B25" s="3" t="s">
        <v>63</v>
      </c>
      <c r="C25" s="3" t="s">
        <v>64</v>
      </c>
    </row>
    <row r="26">
      <c r="A26" s="2" t="s">
        <v>65</v>
      </c>
      <c r="B26" s="3" t="s">
        <v>66</v>
      </c>
      <c r="C26" s="3" t="s">
        <v>67</v>
      </c>
    </row>
    <row r="27">
      <c r="A27" s="2" t="s">
        <v>68</v>
      </c>
      <c r="B27" s="3" t="s">
        <v>69</v>
      </c>
      <c r="C27" s="3" t="s">
        <v>70</v>
      </c>
    </row>
    <row r="28">
      <c r="A28" s="2" t="s">
        <v>71</v>
      </c>
      <c r="B28" s="3" t="s">
        <v>72</v>
      </c>
      <c r="C28" s="3" t="s">
        <v>73</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9" t="str">
        <f>IFERROR(__xludf.DUMMYFUNCTION("IMPORTHTML(""https://fr.wikipedia.org/wiki/Liste_des_capitales_du_monde_par_population"",""table"", 4)"),"#N/A")</f>
        <v>#N/A</v>
      </c>
    </row>
    <row r="3">
      <c r="G3" s="1" t="s">
        <v>74</v>
      </c>
    </row>
    <row r="4">
      <c r="A4" s="2" t="str">
        <f>IFERROR(__xludf.DUMMYFUNCTION("IMPORTHTML(""https://fr.wikipedia.org/wiki/Liste_des_capitales_du_monde_par_population"",""table"")"),"#REF!")</f>
        <v>#REF!</v>
      </c>
      <c r="B4" s="2"/>
      <c r="C4" s="2"/>
      <c r="D4" s="2"/>
      <c r="E4" s="2"/>
      <c r="F4" s="2"/>
      <c r="G4" s="2"/>
    </row>
    <row r="5">
      <c r="A5" s="2"/>
      <c r="B5" s="2"/>
      <c r="C5" s="2"/>
      <c r="D5" s="3"/>
      <c r="E5" s="2"/>
      <c r="F5" s="2"/>
      <c r="G5" s="3">
        <f>D5+E5</f>
        <v>0</v>
      </c>
    </row>
    <row r="6">
      <c r="D6" s="3"/>
    </row>
    <row r="7">
      <c r="D7" s="3"/>
    </row>
    <row r="8">
      <c r="D8" s="3"/>
    </row>
    <row r="9">
      <c r="D9" s="3"/>
      <c r="F9" s="3">
        <f>D9+E9</f>
        <v>0</v>
      </c>
    </row>
    <row r="10">
      <c r="D10" s="3"/>
    </row>
    <row r="11">
      <c r="D11" s="3"/>
    </row>
    <row r="12">
      <c r="D12" s="3"/>
    </row>
    <row r="13">
      <c r="D13" s="3"/>
    </row>
    <row r="14">
      <c r="D14" s="3"/>
    </row>
    <row r="15">
      <c r="D15" s="3"/>
    </row>
    <row r="16">
      <c r="D16" s="3"/>
    </row>
    <row r="17">
      <c r="D17" s="3"/>
    </row>
    <row r="18">
      <c r="D18" s="3"/>
    </row>
    <row r="19">
      <c r="D19" s="3"/>
    </row>
    <row r="20">
      <c r="D20" s="3"/>
    </row>
    <row r="21">
      <c r="D21" s="3"/>
    </row>
    <row r="22">
      <c r="D22" s="3"/>
    </row>
    <row r="23">
      <c r="D23" s="3"/>
    </row>
    <row r="24">
      <c r="D24" s="3"/>
    </row>
    <row r="25">
      <c r="D25" s="3"/>
    </row>
    <row r="26">
      <c r="D26" s="3"/>
    </row>
    <row r="27">
      <c r="D27" s="3"/>
    </row>
    <row r="28">
      <c r="D28" s="3"/>
    </row>
    <row r="29">
      <c r="D29" s="3"/>
    </row>
    <row r="30">
      <c r="D30" s="3"/>
    </row>
    <row r="31">
      <c r="D31" s="3"/>
    </row>
    <row r="32">
      <c r="D32" s="3"/>
    </row>
    <row r="33">
      <c r="D33" s="3"/>
    </row>
    <row r="34">
      <c r="D34" s="3"/>
    </row>
    <row r="35">
      <c r="D35" s="3"/>
    </row>
    <row r="36">
      <c r="D36" s="3"/>
    </row>
    <row r="37">
      <c r="D37" s="3"/>
    </row>
    <row r="38">
      <c r="D38" s="3"/>
    </row>
    <row r="39">
      <c r="D39" s="3"/>
    </row>
    <row r="40">
      <c r="D40" s="3"/>
    </row>
    <row r="41">
      <c r="D41" s="3"/>
    </row>
    <row r="42">
      <c r="D42" s="3"/>
    </row>
    <row r="43">
      <c r="D43" s="3"/>
    </row>
    <row r="44">
      <c r="D44" s="3"/>
    </row>
    <row r="45">
      <c r="D45" s="3"/>
    </row>
    <row r="46">
      <c r="D46" s="3"/>
    </row>
    <row r="47">
      <c r="D47" s="3"/>
    </row>
    <row r="48">
      <c r="D48" s="3"/>
    </row>
    <row r="49">
      <c r="D49" s="3"/>
    </row>
    <row r="50">
      <c r="D50" s="3"/>
    </row>
    <row r="51">
      <c r="D51" s="3"/>
    </row>
    <row r="52">
      <c r="D52" s="3"/>
    </row>
    <row r="53">
      <c r="D53" s="3"/>
    </row>
    <row r="54">
      <c r="D54" s="3"/>
    </row>
    <row r="55">
      <c r="D55" s="3"/>
    </row>
    <row r="56">
      <c r="D56" s="3"/>
    </row>
    <row r="57">
      <c r="D57" s="3"/>
    </row>
    <row r="58">
      <c r="D58" s="3"/>
    </row>
    <row r="59">
      <c r="D59" s="3"/>
    </row>
    <row r="60">
      <c r="D60" s="3"/>
    </row>
    <row r="61">
      <c r="D61" s="3"/>
    </row>
    <row r="62">
      <c r="D62" s="3"/>
    </row>
    <row r="63">
      <c r="D63" s="3"/>
    </row>
    <row r="64">
      <c r="D64" s="3"/>
    </row>
    <row r="65">
      <c r="D65" s="3"/>
    </row>
    <row r="66">
      <c r="D66" s="3"/>
    </row>
    <row r="67">
      <c r="D67" s="3"/>
    </row>
    <row r="68">
      <c r="D68" s="3"/>
    </row>
    <row r="69">
      <c r="D69" s="3"/>
    </row>
    <row r="70">
      <c r="D70" s="3"/>
    </row>
    <row r="71">
      <c r="D71" s="3"/>
    </row>
    <row r="72">
      <c r="D72" s="3"/>
    </row>
    <row r="73">
      <c r="D73" s="3"/>
    </row>
    <row r="74">
      <c r="D74" s="3"/>
    </row>
    <row r="75">
      <c r="D75" s="3"/>
    </row>
    <row r="76">
      <c r="D76" s="3"/>
    </row>
    <row r="77">
      <c r="D77" s="3"/>
    </row>
    <row r="78">
      <c r="D78" s="3"/>
    </row>
    <row r="79">
      <c r="D79" s="3"/>
    </row>
    <row r="80">
      <c r="D80" s="3"/>
    </row>
    <row r="81">
      <c r="D81" s="3"/>
    </row>
    <row r="82">
      <c r="D82" s="3"/>
    </row>
    <row r="83">
      <c r="D83" s="3"/>
    </row>
    <row r="84">
      <c r="D84" s="3"/>
    </row>
    <row r="85">
      <c r="D85" s="3"/>
    </row>
    <row r="86">
      <c r="D86" s="3"/>
    </row>
    <row r="87">
      <c r="D87" s="3"/>
    </row>
    <row r="88">
      <c r="D88" s="3"/>
    </row>
    <row r="89">
      <c r="D89" s="3"/>
    </row>
    <row r="90">
      <c r="D90" s="3"/>
    </row>
    <row r="91">
      <c r="D91" s="3"/>
    </row>
    <row r="92">
      <c r="D92" s="3"/>
    </row>
    <row r="93">
      <c r="D93" s="3"/>
    </row>
    <row r="94">
      <c r="D94" s="3"/>
    </row>
    <row r="95">
      <c r="D95" s="3"/>
    </row>
    <row r="96">
      <c r="D96" s="3"/>
    </row>
    <row r="97">
      <c r="D97" s="3"/>
    </row>
    <row r="98">
      <c r="D98" s="3"/>
    </row>
    <row r="99">
      <c r="D99" s="3"/>
    </row>
    <row r="100">
      <c r="D100" s="3"/>
    </row>
    <row r="101">
      <c r="D101" s="3"/>
    </row>
    <row r="102">
      <c r="D102" s="3"/>
    </row>
    <row r="103">
      <c r="D103" s="3"/>
    </row>
    <row r="104">
      <c r="D104" s="3"/>
    </row>
    <row r="105">
      <c r="D105" s="3"/>
    </row>
    <row r="106">
      <c r="D106" s="3"/>
    </row>
    <row r="107">
      <c r="D107" s="3"/>
    </row>
    <row r="108">
      <c r="D108" s="3"/>
    </row>
    <row r="109">
      <c r="D109" s="3"/>
    </row>
    <row r="110">
      <c r="D110" s="3"/>
    </row>
    <row r="111">
      <c r="D111" s="3"/>
    </row>
    <row r="112">
      <c r="D112" s="3"/>
    </row>
    <row r="113">
      <c r="D113" s="3"/>
    </row>
    <row r="114">
      <c r="D114" s="3"/>
    </row>
    <row r="115">
      <c r="D115" s="3"/>
    </row>
    <row r="116">
      <c r="D116" s="3"/>
    </row>
    <row r="117">
      <c r="D117" s="3"/>
    </row>
    <row r="118">
      <c r="D118" s="3"/>
    </row>
    <row r="119">
      <c r="D119" s="3"/>
    </row>
    <row r="120">
      <c r="D120" s="3"/>
    </row>
    <row r="121">
      <c r="D121" s="3"/>
    </row>
    <row r="122">
      <c r="D122" s="3"/>
    </row>
    <row r="123">
      <c r="D123" s="3"/>
    </row>
    <row r="124">
      <c r="D124" s="3"/>
    </row>
    <row r="125">
      <c r="D125" s="3"/>
    </row>
    <row r="126">
      <c r="D126" s="3"/>
    </row>
    <row r="127">
      <c r="D127" s="3"/>
    </row>
    <row r="128">
      <c r="D128" s="3"/>
    </row>
    <row r="129">
      <c r="D129" s="3"/>
    </row>
    <row r="130">
      <c r="D130" s="3"/>
    </row>
    <row r="131">
      <c r="D131" s="3"/>
    </row>
    <row r="132">
      <c r="D132" s="3"/>
    </row>
    <row r="133">
      <c r="D133" s="3"/>
    </row>
    <row r="134">
      <c r="D134" s="3"/>
    </row>
    <row r="135">
      <c r="D135" s="3"/>
    </row>
    <row r="136">
      <c r="D136" s="3"/>
    </row>
    <row r="137">
      <c r="D137" s="3"/>
    </row>
    <row r="138">
      <c r="D138" s="3"/>
    </row>
    <row r="139">
      <c r="D139" s="3"/>
    </row>
    <row r="140">
      <c r="D140" s="3"/>
    </row>
    <row r="141">
      <c r="D141" s="3"/>
    </row>
    <row r="142">
      <c r="D142" s="3"/>
    </row>
    <row r="143">
      <c r="D143" s="3"/>
    </row>
    <row r="144">
      <c r="D144" s="3"/>
    </row>
    <row r="145">
      <c r="D145" s="3"/>
    </row>
    <row r="146">
      <c r="D146" s="3"/>
    </row>
    <row r="147">
      <c r="D147" s="3"/>
    </row>
    <row r="148">
      <c r="D148" s="3"/>
    </row>
    <row r="149">
      <c r="D149" s="3"/>
    </row>
    <row r="150">
      <c r="D150" s="3"/>
    </row>
    <row r="151">
      <c r="D151" s="3"/>
    </row>
    <row r="152">
      <c r="D152" s="3"/>
    </row>
    <row r="153">
      <c r="D153" s="3"/>
    </row>
    <row r="154">
      <c r="D154" s="3"/>
    </row>
    <row r="155">
      <c r="D155" s="3"/>
    </row>
    <row r="156">
      <c r="D156" s="3"/>
    </row>
    <row r="157">
      <c r="D157" s="3"/>
    </row>
    <row r="158">
      <c r="D158" s="3"/>
    </row>
    <row r="159">
      <c r="D159" s="3"/>
    </row>
    <row r="160">
      <c r="D160" s="3"/>
    </row>
    <row r="161">
      <c r="D161" s="3"/>
    </row>
    <row r="162">
      <c r="D162" s="3"/>
    </row>
    <row r="163">
      <c r="D163" s="3"/>
    </row>
    <row r="164">
      <c r="D164" s="3"/>
    </row>
    <row r="165">
      <c r="D165" s="3"/>
    </row>
    <row r="166">
      <c r="D166" s="3"/>
    </row>
    <row r="167">
      <c r="D167" s="3"/>
    </row>
    <row r="168">
      <c r="D168" s="3"/>
    </row>
    <row r="169">
      <c r="D169" s="3"/>
    </row>
    <row r="170">
      <c r="D170" s="3"/>
    </row>
    <row r="171">
      <c r="D171" s="3"/>
    </row>
    <row r="172">
      <c r="D172" s="3"/>
    </row>
    <row r="173">
      <c r="D173" s="3"/>
    </row>
    <row r="174">
      <c r="D174" s="3"/>
    </row>
    <row r="175">
      <c r="D175" s="3"/>
    </row>
    <row r="176">
      <c r="D176" s="3"/>
    </row>
    <row r="177">
      <c r="D177" s="3"/>
    </row>
    <row r="178">
      <c r="D178" s="3"/>
    </row>
    <row r="179">
      <c r="D179" s="3"/>
    </row>
    <row r="180">
      <c r="D180" s="3"/>
    </row>
    <row r="181">
      <c r="D181" s="3"/>
    </row>
    <row r="182">
      <c r="D182" s="3"/>
    </row>
    <row r="183">
      <c r="D183" s="3"/>
    </row>
    <row r="184">
      <c r="D184" s="3"/>
    </row>
    <row r="185">
      <c r="D185" s="3"/>
    </row>
    <row r="186">
      <c r="D186" s="3"/>
    </row>
    <row r="187">
      <c r="D187" s="3"/>
    </row>
    <row r="188">
      <c r="D188" s="3"/>
    </row>
    <row r="189">
      <c r="D189" s="3"/>
    </row>
    <row r="190">
      <c r="D190" s="3"/>
    </row>
    <row r="191">
      <c r="D191" s="3"/>
    </row>
    <row r="192">
      <c r="D192" s="3"/>
    </row>
    <row r="193">
      <c r="D193" s="3"/>
    </row>
    <row r="194">
      <c r="D194" s="3"/>
    </row>
    <row r="195">
      <c r="D195" s="3"/>
    </row>
    <row r="196">
      <c r="D196" s="3"/>
    </row>
    <row r="197">
      <c r="D197" s="3"/>
    </row>
    <row r="198">
      <c r="D198" s="3"/>
    </row>
    <row r="199">
      <c r="D199" s="3"/>
    </row>
    <row r="200">
      <c r="D200" s="3"/>
    </row>
    <row r="201">
      <c r="D201" s="3"/>
    </row>
    <row r="202">
      <c r="D202" s="3"/>
    </row>
    <row r="203">
      <c r="D203" s="3"/>
    </row>
    <row r="204">
      <c r="D204" s="3"/>
    </row>
    <row r="205">
      <c r="D205" s="3"/>
    </row>
    <row r="206">
      <c r="D206" s="3"/>
    </row>
    <row r="207">
      <c r="D207" s="3"/>
    </row>
    <row r="208">
      <c r="D208" s="3"/>
    </row>
    <row r="209">
      <c r="D209" s="3"/>
    </row>
    <row r="210">
      <c r="D210" s="3"/>
    </row>
    <row r="211">
      <c r="D211" s="3"/>
    </row>
    <row r="212">
      <c r="D212" s="3"/>
    </row>
    <row r="213">
      <c r="D213" s="3"/>
    </row>
    <row r="214">
      <c r="D214" s="3"/>
    </row>
    <row r="215">
      <c r="D215" s="3"/>
    </row>
    <row r="216">
      <c r="D216" s="3"/>
    </row>
    <row r="217">
      <c r="D217" s="3"/>
    </row>
    <row r="218">
      <c r="D218" s="3"/>
    </row>
    <row r="219">
      <c r="D219" s="3"/>
    </row>
    <row r="220">
      <c r="D220" s="3"/>
    </row>
    <row r="221">
      <c r="D221" s="3"/>
    </row>
    <row r="222">
      <c r="D222" s="3"/>
    </row>
    <row r="223">
      <c r="D223" s="3"/>
    </row>
    <row r="224">
      <c r="D224" s="3"/>
    </row>
    <row r="225">
      <c r="D225" s="3"/>
    </row>
    <row r="226">
      <c r="D226" s="3"/>
    </row>
    <row r="227">
      <c r="D227" s="3"/>
    </row>
    <row r="228">
      <c r="D228" s="3"/>
    </row>
    <row r="229">
      <c r="D229" s="3"/>
    </row>
    <row r="230">
      <c r="D230" s="3"/>
    </row>
    <row r="231">
      <c r="D231" s="3"/>
    </row>
    <row r="232">
      <c r="D232" s="3"/>
    </row>
    <row r="233">
      <c r="D233" s="3"/>
    </row>
    <row r="234">
      <c r="D234" s="3"/>
    </row>
    <row r="235">
      <c r="D235" s="3"/>
    </row>
    <row r="236">
      <c r="D236" s="3"/>
    </row>
    <row r="237">
      <c r="D237" s="3"/>
    </row>
    <row r="238">
      <c r="D238" s="3"/>
    </row>
    <row r="239">
      <c r="D239" s="3"/>
    </row>
    <row r="240">
      <c r="D240" s="3"/>
    </row>
    <row r="241">
      <c r="D241" s="3"/>
    </row>
    <row r="242">
      <c r="D242" s="3"/>
    </row>
    <row r="243">
      <c r="D243" s="3"/>
    </row>
    <row r="244">
      <c r="D244" s="3"/>
    </row>
    <row r="245">
      <c r="D245" s="3"/>
    </row>
    <row r="246">
      <c r="D246" s="3"/>
    </row>
    <row r="247">
      <c r="D247" s="3"/>
    </row>
    <row r="250">
      <c r="A250" s="2" t="s">
        <v>75</v>
      </c>
      <c r="B250" s="2" t="s">
        <v>76</v>
      </c>
      <c r="C250" s="2" t="s">
        <v>77</v>
      </c>
      <c r="D250" s="2" t="s">
        <v>78</v>
      </c>
      <c r="E250" s="2" t="s">
        <v>79</v>
      </c>
    </row>
    <row r="251">
      <c r="A251" s="2">
        <v>1.0</v>
      </c>
      <c r="B251" s="2" t="s">
        <v>80</v>
      </c>
      <c r="C251" s="2" t="s">
        <v>81</v>
      </c>
      <c r="D251" s="3" t="s">
        <v>82</v>
      </c>
      <c r="E251" s="2">
        <v>2017.0</v>
      </c>
    </row>
    <row r="252">
      <c r="A252" s="2">
        <v>2.0</v>
      </c>
      <c r="B252" s="2" t="s">
        <v>83</v>
      </c>
      <c r="C252" s="2" t="s">
        <v>84</v>
      </c>
      <c r="D252" s="3" t="s">
        <v>85</v>
      </c>
      <c r="E252" s="2">
        <v>2016.0</v>
      </c>
    </row>
    <row r="253">
      <c r="A253" s="2">
        <v>3.0</v>
      </c>
      <c r="B253" s="2" t="s">
        <v>86</v>
      </c>
      <c r="C253" s="2" t="s">
        <v>87</v>
      </c>
      <c r="D253" s="3" t="s">
        <v>88</v>
      </c>
      <c r="E253" s="2">
        <v>2016.0</v>
      </c>
    </row>
    <row r="254">
      <c r="A254" s="2">
        <v>4.0</v>
      </c>
      <c r="B254" s="2" t="s">
        <v>89</v>
      </c>
      <c r="C254" s="2" t="s">
        <v>90</v>
      </c>
      <c r="D254" s="3" t="s">
        <v>91</v>
      </c>
      <c r="E254" s="2">
        <v>2011.0</v>
      </c>
    </row>
    <row r="255">
      <c r="A255" s="2">
        <v>5.0</v>
      </c>
      <c r="B255" s="2" t="s">
        <v>92</v>
      </c>
      <c r="C255" s="2" t="s">
        <v>93</v>
      </c>
      <c r="D255" s="3" t="s">
        <v>94</v>
      </c>
      <c r="E255" s="2">
        <v>2011.0</v>
      </c>
    </row>
    <row r="256">
      <c r="A256" s="2">
        <v>6.0</v>
      </c>
      <c r="B256" s="2" t="s">
        <v>95</v>
      </c>
      <c r="C256" s="2" t="s">
        <v>96</v>
      </c>
      <c r="D256" s="3" t="s">
        <v>97</v>
      </c>
      <c r="E256" s="2">
        <v>2011.0</v>
      </c>
    </row>
    <row r="257">
      <c r="A257" s="2">
        <v>7.0</v>
      </c>
      <c r="B257" s="2" t="s">
        <v>98</v>
      </c>
      <c r="C257" s="2" t="s">
        <v>99</v>
      </c>
      <c r="D257" s="3" t="s">
        <v>100</v>
      </c>
      <c r="E257" s="2">
        <v>2011.0</v>
      </c>
    </row>
    <row r="258">
      <c r="A258" s="2">
        <v>8.0</v>
      </c>
      <c r="B258" s="2" t="s">
        <v>101</v>
      </c>
      <c r="C258" s="2" t="s">
        <v>102</v>
      </c>
      <c r="D258" s="3" t="s">
        <v>103</v>
      </c>
      <c r="E258" s="2">
        <v>2010.0</v>
      </c>
    </row>
    <row r="259">
      <c r="A259" s="2">
        <v>9.0</v>
      </c>
      <c r="B259" s="2" t="s">
        <v>104</v>
      </c>
      <c r="C259" s="2" t="s">
        <v>105</v>
      </c>
      <c r="D259" s="3" t="s">
        <v>106</v>
      </c>
      <c r="E259" s="2">
        <v>2015.0</v>
      </c>
    </row>
    <row r="260">
      <c r="A260" s="2">
        <v>10.0</v>
      </c>
      <c r="B260" s="2" t="s">
        <v>107</v>
      </c>
      <c r="C260" s="2" t="s">
        <v>108</v>
      </c>
      <c r="D260" s="3" t="s">
        <v>109</v>
      </c>
      <c r="E260" s="2">
        <v>2012.0</v>
      </c>
    </row>
    <row r="261">
      <c r="A261" s="2">
        <v>11.0</v>
      </c>
      <c r="B261" s="2" t="s">
        <v>110</v>
      </c>
      <c r="C261" s="2" t="s">
        <v>111</v>
      </c>
      <c r="D261" s="3" t="s">
        <v>112</v>
      </c>
      <c r="E261" s="2">
        <v>2010.0</v>
      </c>
    </row>
    <row r="262">
      <c r="A262" s="2">
        <v>12.0</v>
      </c>
      <c r="B262" s="2" t="s">
        <v>113</v>
      </c>
      <c r="C262" s="2" t="s">
        <v>114</v>
      </c>
      <c r="D262" s="3" t="s">
        <v>115</v>
      </c>
    </row>
    <row r="263">
      <c r="A263" s="2">
        <v>13.0</v>
      </c>
      <c r="B263" s="2" t="s">
        <v>116</v>
      </c>
      <c r="C263" s="2" t="s">
        <v>117</v>
      </c>
      <c r="D263" s="3" t="s">
        <v>118</v>
      </c>
      <c r="E263" s="2">
        <v>2011.0</v>
      </c>
    </row>
    <row r="264">
      <c r="A264" s="2">
        <v>14.0</v>
      </c>
      <c r="B264" s="2" t="s">
        <v>119</v>
      </c>
      <c r="C264" s="2" t="s">
        <v>120</v>
      </c>
      <c r="D264" s="3" t="s">
        <v>121</v>
      </c>
    </row>
    <row r="265">
      <c r="A265" s="2">
        <v>15.0</v>
      </c>
      <c r="B265" s="2" t="s">
        <v>122</v>
      </c>
      <c r="C265" s="2" t="s">
        <v>123</v>
      </c>
      <c r="D265" s="3" t="s">
        <v>124</v>
      </c>
    </row>
    <row r="266">
      <c r="A266" s="2">
        <v>16.0</v>
      </c>
      <c r="B266" s="2" t="s">
        <v>125</v>
      </c>
      <c r="C266" s="2" t="s">
        <v>126</v>
      </c>
      <c r="D266" s="3" t="s">
        <v>127</v>
      </c>
      <c r="E266" s="2">
        <v>2012.0</v>
      </c>
    </row>
    <row r="267">
      <c r="A267" s="2">
        <v>17.0</v>
      </c>
      <c r="B267" s="2" t="s">
        <v>128</v>
      </c>
      <c r="C267" s="2" t="s">
        <v>129</v>
      </c>
      <c r="D267" s="3" t="s">
        <v>130</v>
      </c>
      <c r="E267" s="2">
        <v>2012.0</v>
      </c>
    </row>
    <row r="268">
      <c r="A268" s="2">
        <v>18.0</v>
      </c>
      <c r="B268" s="2" t="s">
        <v>131</v>
      </c>
      <c r="C268" s="2" t="s">
        <v>132</v>
      </c>
      <c r="D268" s="3" t="s">
        <v>133</v>
      </c>
      <c r="E268" s="2">
        <v>2014.0</v>
      </c>
    </row>
    <row r="269">
      <c r="A269" s="2">
        <v>19.0</v>
      </c>
      <c r="B269" s="2" t="s">
        <v>134</v>
      </c>
      <c r="C269" s="2" t="s">
        <v>135</v>
      </c>
      <c r="D269" s="3" t="s">
        <v>136</v>
      </c>
      <c r="E269" s="2">
        <v>2012.0</v>
      </c>
    </row>
    <row r="270">
      <c r="A270" s="2">
        <v>20.0</v>
      </c>
      <c r="B270" s="2" t="s">
        <v>137</v>
      </c>
      <c r="C270" s="2" t="s">
        <v>138</v>
      </c>
      <c r="D270" s="3" t="s">
        <v>139</v>
      </c>
      <c r="E270" s="2">
        <v>2009.0</v>
      </c>
    </row>
    <row r="271">
      <c r="A271" s="2">
        <v>21.0</v>
      </c>
      <c r="B271" s="2" t="s">
        <v>140</v>
      </c>
      <c r="C271" s="2" t="s">
        <v>141</v>
      </c>
      <c r="D271" s="3" t="s">
        <v>142</v>
      </c>
      <c r="E271" s="2">
        <v>2015.0</v>
      </c>
    </row>
    <row r="272">
      <c r="A272" s="2">
        <v>22.0</v>
      </c>
      <c r="B272" s="2" t="s">
        <v>143</v>
      </c>
      <c r="C272" s="2" t="s">
        <v>144</v>
      </c>
      <c r="D272" s="3" t="s">
        <v>145</v>
      </c>
      <c r="E272" s="2">
        <v>2012.0</v>
      </c>
    </row>
    <row r="273">
      <c r="A273" s="2">
        <v>23.0</v>
      </c>
      <c r="B273" s="2" t="s">
        <v>146</v>
      </c>
      <c r="C273" s="2" t="s">
        <v>147</v>
      </c>
      <c r="D273" s="3" t="s">
        <v>148</v>
      </c>
    </row>
    <row r="274">
      <c r="A274" s="2">
        <v>24.0</v>
      </c>
      <c r="B274" s="2" t="s">
        <v>149</v>
      </c>
      <c r="C274" s="2" t="s">
        <v>150</v>
      </c>
      <c r="D274" s="3" t="s">
        <v>151</v>
      </c>
    </row>
    <row r="275">
      <c r="A275" s="2">
        <v>25.0</v>
      </c>
      <c r="B275" s="2" t="s">
        <v>152</v>
      </c>
      <c r="C275" s="2" t="s">
        <v>153</v>
      </c>
      <c r="D275" s="3" t="s">
        <v>154</v>
      </c>
      <c r="E275" s="2">
        <v>2012.0</v>
      </c>
    </row>
    <row r="276">
      <c r="A276" s="2">
        <v>26.0</v>
      </c>
      <c r="B276" s="2" t="s">
        <v>155</v>
      </c>
      <c r="C276" s="2" t="s">
        <v>156</v>
      </c>
      <c r="D276" s="3" t="s">
        <v>157</v>
      </c>
    </row>
    <row r="277">
      <c r="A277" s="2">
        <v>27.0</v>
      </c>
      <c r="B277" s="2" t="s">
        <v>158</v>
      </c>
      <c r="C277" s="2" t="s">
        <v>159</v>
      </c>
      <c r="D277" s="3" t="s">
        <v>160</v>
      </c>
    </row>
    <row r="278">
      <c r="A278" s="2">
        <v>28.0</v>
      </c>
      <c r="B278" s="2" t="s">
        <v>161</v>
      </c>
      <c r="C278" s="2" t="s">
        <v>162</v>
      </c>
      <c r="D278" s="3" t="s">
        <v>163</v>
      </c>
      <c r="E278" s="2">
        <v>2010.0</v>
      </c>
    </row>
    <row r="279">
      <c r="A279" s="2">
        <v>29.0</v>
      </c>
      <c r="B279" s="2" t="s">
        <v>164</v>
      </c>
      <c r="C279" s="2" t="s">
        <v>165</v>
      </c>
      <c r="D279" s="3" t="s">
        <v>166</v>
      </c>
      <c r="E279" s="2">
        <v>2012.0</v>
      </c>
    </row>
    <row r="280">
      <c r="A280" s="2">
        <v>30.0</v>
      </c>
      <c r="B280" s="2" t="s">
        <v>167</v>
      </c>
      <c r="C280" s="2" t="s">
        <v>168</v>
      </c>
      <c r="D280" s="3" t="s">
        <v>169</v>
      </c>
      <c r="E280" s="2">
        <v>2010.0</v>
      </c>
    </row>
    <row r="281">
      <c r="A281" s="2">
        <v>31.0</v>
      </c>
      <c r="B281" s="2" t="s">
        <v>170</v>
      </c>
      <c r="C281" s="2" t="s">
        <v>171</v>
      </c>
      <c r="D281" s="3" t="s">
        <v>172</v>
      </c>
      <c r="E281" s="2">
        <v>2014.0</v>
      </c>
    </row>
    <row r="282">
      <c r="A282" s="2">
        <v>32.0</v>
      </c>
      <c r="B282" s="2" t="s">
        <v>173</v>
      </c>
      <c r="C282" s="2" t="s">
        <v>174</v>
      </c>
      <c r="D282" s="3" t="s">
        <v>175</v>
      </c>
      <c r="E282" s="2">
        <v>2013.0</v>
      </c>
    </row>
    <row r="283">
      <c r="A283" s="2">
        <v>33.0</v>
      </c>
      <c r="B283" s="2" t="s">
        <v>176</v>
      </c>
      <c r="C283" s="2" t="s">
        <v>177</v>
      </c>
      <c r="D283" s="3" t="s">
        <v>178</v>
      </c>
      <c r="E283" s="2">
        <v>2014.0</v>
      </c>
    </row>
    <row r="284">
      <c r="A284" s="2">
        <v>34.0</v>
      </c>
      <c r="B284" s="2" t="s">
        <v>179</v>
      </c>
      <c r="C284" s="2" t="s">
        <v>180</v>
      </c>
      <c r="D284" s="3" t="s">
        <v>181</v>
      </c>
      <c r="E284" s="2">
        <v>2012.0</v>
      </c>
    </row>
    <row r="285">
      <c r="A285" s="2">
        <v>35.0</v>
      </c>
      <c r="B285" s="2" t="s">
        <v>182</v>
      </c>
      <c r="C285" s="2" t="s">
        <v>183</v>
      </c>
      <c r="D285" s="3" t="s">
        <v>184</v>
      </c>
    </row>
    <row r="286">
      <c r="A286" s="2">
        <v>36.0</v>
      </c>
      <c r="B286" s="2" t="s">
        <v>185</v>
      </c>
      <c r="C286" s="2" t="s">
        <v>186</v>
      </c>
      <c r="D286" s="3" t="s">
        <v>187</v>
      </c>
    </row>
    <row r="287">
      <c r="A287" s="2">
        <v>37.0</v>
      </c>
      <c r="B287" s="2" t="s">
        <v>188</v>
      </c>
      <c r="C287" s="2" t="s">
        <v>189</v>
      </c>
      <c r="D287" s="3" t="s">
        <v>190</v>
      </c>
    </row>
    <row r="288">
      <c r="A288" s="2">
        <v>38.0</v>
      </c>
      <c r="B288" s="2" t="s">
        <v>191</v>
      </c>
      <c r="C288" s="2" t="s">
        <v>192</v>
      </c>
      <c r="D288" s="3" t="s">
        <v>193</v>
      </c>
      <c r="E288" s="2">
        <v>2010.0</v>
      </c>
    </row>
    <row r="289">
      <c r="A289" s="2">
        <v>39.0</v>
      </c>
      <c r="B289" s="2" t="s">
        <v>194</v>
      </c>
      <c r="C289" s="2" t="s">
        <v>195</v>
      </c>
      <c r="D289" s="3" t="s">
        <v>196</v>
      </c>
    </row>
    <row r="290">
      <c r="A290" s="2">
        <v>40.0</v>
      </c>
      <c r="B290" s="2" t="s">
        <v>197</v>
      </c>
      <c r="C290" s="2" t="s">
        <v>198</v>
      </c>
      <c r="D290" s="3" t="s">
        <v>199</v>
      </c>
      <c r="E290" s="2">
        <v>2015.0</v>
      </c>
    </row>
    <row r="291">
      <c r="A291" s="2">
        <v>41.0</v>
      </c>
      <c r="B291" s="2" t="s">
        <v>200</v>
      </c>
      <c r="C291" s="2" t="s">
        <v>201</v>
      </c>
      <c r="D291" s="3" t="s">
        <v>202</v>
      </c>
      <c r="E291" s="2">
        <v>2014.0</v>
      </c>
    </row>
    <row r="292">
      <c r="A292" s="2">
        <v>42.0</v>
      </c>
      <c r="B292" s="2" t="s">
        <v>203</v>
      </c>
      <c r="C292" s="2" t="s">
        <v>204</v>
      </c>
      <c r="D292" s="3" t="s">
        <v>205</v>
      </c>
      <c r="E292" s="2">
        <v>2010.0</v>
      </c>
    </row>
    <row r="293">
      <c r="A293" s="2">
        <v>43.0</v>
      </c>
      <c r="B293" s="2" t="s">
        <v>206</v>
      </c>
      <c r="C293" s="2" t="s">
        <v>207</v>
      </c>
      <c r="D293" s="3" t="s">
        <v>208</v>
      </c>
    </row>
    <row r="294">
      <c r="A294" s="2">
        <v>44.0</v>
      </c>
      <c r="B294" s="2" t="s">
        <v>209</v>
      </c>
      <c r="C294" s="2" t="s">
        <v>210</v>
      </c>
      <c r="D294" s="3" t="s">
        <v>211</v>
      </c>
    </row>
    <row r="295">
      <c r="A295" s="2">
        <v>45.0</v>
      </c>
      <c r="B295" s="2" t="s">
        <v>212</v>
      </c>
      <c r="C295" s="2" t="s">
        <v>213</v>
      </c>
      <c r="D295" s="3" t="s">
        <v>214</v>
      </c>
    </row>
    <row r="296">
      <c r="A296" s="2">
        <v>46.0</v>
      </c>
      <c r="B296" s="2" t="s">
        <v>215</v>
      </c>
      <c r="C296" s="2" t="s">
        <v>216</v>
      </c>
      <c r="D296" s="3" t="s">
        <v>217</v>
      </c>
    </row>
    <row r="297">
      <c r="A297" s="2">
        <v>47.0</v>
      </c>
      <c r="B297" s="2" t="s">
        <v>218</v>
      </c>
      <c r="C297" s="2" t="s">
        <v>219</v>
      </c>
      <c r="D297" s="3" t="s">
        <v>220</v>
      </c>
      <c r="E297" s="2">
        <v>2013.0</v>
      </c>
    </row>
    <row r="298">
      <c r="A298" s="2">
        <v>48.0</v>
      </c>
      <c r="B298" s="2" t="s">
        <v>221</v>
      </c>
      <c r="C298" s="2" t="s">
        <v>222</v>
      </c>
      <c r="D298" s="3" t="s">
        <v>223</v>
      </c>
    </row>
    <row r="299">
      <c r="A299" s="2">
        <v>49.0</v>
      </c>
      <c r="B299" s="2" t="s">
        <v>224</v>
      </c>
      <c r="C299" s="2" t="s">
        <v>225</v>
      </c>
      <c r="D299" s="3" t="s">
        <v>226</v>
      </c>
      <c r="E299" s="2">
        <v>2011.0</v>
      </c>
    </row>
    <row r="300">
      <c r="A300" s="2">
        <v>50.0</v>
      </c>
      <c r="B300" s="2" t="s">
        <v>227</v>
      </c>
      <c r="C300" s="2" t="s">
        <v>228</v>
      </c>
      <c r="D300" s="3" t="s">
        <v>229</v>
      </c>
      <c r="E300" s="2">
        <v>2012.0</v>
      </c>
    </row>
    <row r="301">
      <c r="A301" s="2">
        <v>51.0</v>
      </c>
      <c r="B301" s="2" t="s">
        <v>230</v>
      </c>
      <c r="C301" s="2" t="s">
        <v>231</v>
      </c>
      <c r="D301" s="3" t="s">
        <v>232</v>
      </c>
    </row>
    <row r="302">
      <c r="A302" s="2">
        <v>52.0</v>
      </c>
      <c r="B302" s="2" t="s">
        <v>233</v>
      </c>
      <c r="C302" s="2" t="s">
        <v>234</v>
      </c>
      <c r="D302" s="3" t="s">
        <v>235</v>
      </c>
      <c r="E302" s="2">
        <v>2010.0</v>
      </c>
    </row>
    <row r="303">
      <c r="A303" s="2">
        <v>53.0</v>
      </c>
      <c r="B303" s="2" t="s">
        <v>236</v>
      </c>
      <c r="C303" s="2" t="s">
        <v>237</v>
      </c>
      <c r="D303" s="3" t="s">
        <v>238</v>
      </c>
    </row>
    <row r="304">
      <c r="A304" s="2">
        <v>54.0</v>
      </c>
      <c r="B304" s="2" t="s">
        <v>239</v>
      </c>
      <c r="C304" s="2" t="s">
        <v>240</v>
      </c>
      <c r="D304" s="3" t="s">
        <v>241</v>
      </c>
    </row>
    <row r="305">
      <c r="A305" s="2">
        <v>55.0</v>
      </c>
      <c r="B305" s="2" t="s">
        <v>242</v>
      </c>
      <c r="C305" s="2" t="s">
        <v>243</v>
      </c>
      <c r="D305" s="3" t="s">
        <v>244</v>
      </c>
      <c r="E305" s="2">
        <v>2013.0</v>
      </c>
    </row>
    <row r="306">
      <c r="A306" s="2">
        <v>56.0</v>
      </c>
      <c r="B306" s="2" t="s">
        <v>245</v>
      </c>
      <c r="C306" s="2" t="s">
        <v>246</v>
      </c>
      <c r="D306" s="3" t="s">
        <v>247</v>
      </c>
      <c r="E306" s="2">
        <v>2013.0</v>
      </c>
    </row>
    <row r="307">
      <c r="A307" s="2">
        <v>57.0</v>
      </c>
      <c r="B307" s="2" t="s">
        <v>248</v>
      </c>
      <c r="C307" s="2" t="s">
        <v>249</v>
      </c>
      <c r="D307" s="3" t="s">
        <v>250</v>
      </c>
    </row>
    <row r="308">
      <c r="A308" s="2">
        <v>58.0</v>
      </c>
      <c r="B308" s="2" t="s">
        <v>251</v>
      </c>
      <c r="C308" s="2" t="s">
        <v>252</v>
      </c>
      <c r="D308" s="3" t="s">
        <v>253</v>
      </c>
    </row>
    <row r="309">
      <c r="A309" s="2">
        <v>59.0</v>
      </c>
      <c r="B309" s="2" t="s">
        <v>254</v>
      </c>
      <c r="C309" s="2" t="s">
        <v>255</v>
      </c>
      <c r="D309" s="3" t="s">
        <v>256</v>
      </c>
    </row>
    <row r="310">
      <c r="A310" s="2">
        <v>60.0</v>
      </c>
      <c r="B310" s="2" t="s">
        <v>257</v>
      </c>
      <c r="C310" s="2" t="s">
        <v>258</v>
      </c>
      <c r="D310" s="3" t="s">
        <v>259</v>
      </c>
    </row>
    <row r="311">
      <c r="A311" s="2">
        <v>61.0</v>
      </c>
      <c r="B311" s="2" t="s">
        <v>260</v>
      </c>
      <c r="C311" s="2" t="s">
        <v>261</v>
      </c>
      <c r="D311" s="3" t="s">
        <v>262</v>
      </c>
    </row>
    <row r="312">
      <c r="A312" s="2">
        <v>62.0</v>
      </c>
      <c r="B312" s="2" t="s">
        <v>263</v>
      </c>
      <c r="C312" s="2" t="s">
        <v>264</v>
      </c>
      <c r="D312" s="3" t="s">
        <v>265</v>
      </c>
    </row>
    <row r="313">
      <c r="A313" s="2">
        <v>63.0</v>
      </c>
      <c r="B313" s="2" t="s">
        <v>266</v>
      </c>
      <c r="C313" s="2" t="s">
        <v>267</v>
      </c>
      <c r="D313" s="3" t="s">
        <v>268</v>
      </c>
    </row>
    <row r="314">
      <c r="A314" s="2">
        <v>64.0</v>
      </c>
      <c r="B314" s="2" t="s">
        <v>269</v>
      </c>
      <c r="C314" s="2" t="s">
        <v>270</v>
      </c>
      <c r="D314" s="3" t="s">
        <v>271</v>
      </c>
    </row>
    <row r="315">
      <c r="A315" s="2">
        <v>65.0</v>
      </c>
      <c r="B315" s="2" t="s">
        <v>272</v>
      </c>
      <c r="C315" s="2" t="s">
        <v>273</v>
      </c>
      <c r="D315" s="3" t="s">
        <v>274</v>
      </c>
    </row>
    <row r="316">
      <c r="A316" s="2">
        <v>66.0</v>
      </c>
      <c r="B316" s="2" t="s">
        <v>275</v>
      </c>
      <c r="C316" s="2" t="s">
        <v>276</v>
      </c>
      <c r="D316" s="3" t="s">
        <v>277</v>
      </c>
    </row>
    <row r="317">
      <c r="A317" s="2">
        <v>67.0</v>
      </c>
      <c r="B317" s="2" t="s">
        <v>278</v>
      </c>
      <c r="C317" s="2" t="s">
        <v>279</v>
      </c>
      <c r="D317" s="3" t="s">
        <v>280</v>
      </c>
    </row>
    <row r="318">
      <c r="A318" s="2">
        <v>68.0</v>
      </c>
      <c r="B318" s="2" t="s">
        <v>281</v>
      </c>
      <c r="C318" s="2" t="s">
        <v>282</v>
      </c>
      <c r="D318" s="3" t="s">
        <v>283</v>
      </c>
      <c r="E318" s="2">
        <v>2011.0</v>
      </c>
    </row>
    <row r="319">
      <c r="A319" s="2">
        <v>69.0</v>
      </c>
      <c r="B319" s="2" t="s">
        <v>284</v>
      </c>
      <c r="C319" s="2" t="s">
        <v>285</v>
      </c>
      <c r="D319" s="3" t="s">
        <v>286</v>
      </c>
    </row>
    <row r="320">
      <c r="A320" s="2">
        <v>70.0</v>
      </c>
      <c r="B320" s="2" t="s">
        <v>287</v>
      </c>
      <c r="C320" s="2" t="s">
        <v>288</v>
      </c>
      <c r="D320" s="3" t="s">
        <v>289</v>
      </c>
    </row>
    <row r="321">
      <c r="A321" s="2">
        <v>71.0</v>
      </c>
      <c r="B321" s="2" t="s">
        <v>290</v>
      </c>
      <c r="C321" s="2" t="s">
        <v>291</v>
      </c>
      <c r="D321" s="3" t="s">
        <v>292</v>
      </c>
    </row>
    <row r="322">
      <c r="A322" s="2">
        <v>72.0</v>
      </c>
      <c r="B322" s="2" t="s">
        <v>293</v>
      </c>
      <c r="C322" s="2" t="s">
        <v>294</v>
      </c>
      <c r="D322" s="3" t="s">
        <v>295</v>
      </c>
    </row>
    <row r="323">
      <c r="A323" s="2">
        <v>73.0</v>
      </c>
      <c r="B323" s="2" t="s">
        <v>296</v>
      </c>
      <c r="C323" s="2" t="s">
        <v>297</v>
      </c>
      <c r="D323" s="3" t="s">
        <v>298</v>
      </c>
      <c r="E323" s="2">
        <v>2010.0</v>
      </c>
    </row>
    <row r="324">
      <c r="A324" s="2">
        <v>74.0</v>
      </c>
      <c r="B324" s="2" t="s">
        <v>299</v>
      </c>
      <c r="C324" s="2" t="s">
        <v>300</v>
      </c>
      <c r="D324" s="3" t="s">
        <v>301</v>
      </c>
    </row>
    <row r="325">
      <c r="A325" s="2">
        <v>75.0</v>
      </c>
      <c r="B325" s="2" t="s">
        <v>302</v>
      </c>
      <c r="C325" s="2" t="s">
        <v>303</v>
      </c>
      <c r="D325" s="3" t="s">
        <v>304</v>
      </c>
      <c r="E325" s="2">
        <v>2019.0</v>
      </c>
    </row>
    <row r="326">
      <c r="A326" s="2">
        <v>76.0</v>
      </c>
      <c r="B326" s="2" t="s">
        <v>305</v>
      </c>
      <c r="C326" s="2" t="s">
        <v>306</v>
      </c>
      <c r="D326" s="3" t="s">
        <v>307</v>
      </c>
    </row>
    <row r="327">
      <c r="A327" s="2">
        <v>77.0</v>
      </c>
      <c r="B327" s="2" t="s">
        <v>308</v>
      </c>
      <c r="C327" s="2" t="s">
        <v>309</v>
      </c>
      <c r="D327" s="3" t="s">
        <v>310</v>
      </c>
    </row>
    <row r="328">
      <c r="A328" s="2">
        <v>78.0</v>
      </c>
      <c r="B328" s="2" t="s">
        <v>311</v>
      </c>
      <c r="C328" s="2" t="s">
        <v>312</v>
      </c>
      <c r="D328" s="3" t="s">
        <v>313</v>
      </c>
      <c r="E328" s="2">
        <v>2013.0</v>
      </c>
    </row>
    <row r="329">
      <c r="A329" s="2">
        <v>79.0</v>
      </c>
      <c r="B329" s="2" t="s">
        <v>314</v>
      </c>
      <c r="C329" s="2" t="s">
        <v>315</v>
      </c>
      <c r="D329" s="3" t="s">
        <v>316</v>
      </c>
    </row>
    <row r="330">
      <c r="A330" s="2">
        <v>80.0</v>
      </c>
      <c r="B330" s="2" t="s">
        <v>317</v>
      </c>
      <c r="C330" s="2" t="s">
        <v>318</v>
      </c>
      <c r="D330" s="3" t="s">
        <v>319</v>
      </c>
    </row>
    <row r="331">
      <c r="A331" s="2">
        <v>81.0</v>
      </c>
      <c r="B331" s="2" t="s">
        <v>320</v>
      </c>
      <c r="C331" s="2" t="s">
        <v>321</v>
      </c>
      <c r="D331" s="3" t="s">
        <v>322</v>
      </c>
    </row>
    <row r="332">
      <c r="A332" s="2">
        <v>82.0</v>
      </c>
      <c r="B332" s="2" t="s">
        <v>323</v>
      </c>
      <c r="C332" s="2" t="s">
        <v>324</v>
      </c>
      <c r="D332" s="3" t="s">
        <v>325</v>
      </c>
    </row>
    <row r="333">
      <c r="A333" s="2">
        <v>83.0</v>
      </c>
      <c r="B333" s="2" t="s">
        <v>326</v>
      </c>
      <c r="C333" s="2" t="s">
        <v>327</v>
      </c>
      <c r="D333" s="3" t="s">
        <v>328</v>
      </c>
    </row>
    <row r="334">
      <c r="A334" s="2">
        <v>84.0</v>
      </c>
      <c r="B334" s="2" t="s">
        <v>329</v>
      </c>
      <c r="C334" s="2" t="s">
        <v>330</v>
      </c>
      <c r="D334" s="3" t="s">
        <v>331</v>
      </c>
    </row>
    <row r="335">
      <c r="A335" s="2">
        <v>85.0</v>
      </c>
      <c r="B335" s="2" t="s">
        <v>332</v>
      </c>
      <c r="C335" s="2" t="s">
        <v>333</v>
      </c>
      <c r="D335" s="3" t="s">
        <v>334</v>
      </c>
    </row>
    <row r="336">
      <c r="A336" s="2">
        <v>86.0</v>
      </c>
      <c r="B336" s="2" t="s">
        <v>335</v>
      </c>
      <c r="C336" s="2" t="s">
        <v>336</v>
      </c>
      <c r="D336" s="3" t="s">
        <v>337</v>
      </c>
    </row>
    <row r="337">
      <c r="A337" s="2">
        <v>87.0</v>
      </c>
      <c r="B337" s="2" t="s">
        <v>338</v>
      </c>
      <c r="C337" s="2" t="s">
        <v>339</v>
      </c>
      <c r="D337" s="3" t="s">
        <v>340</v>
      </c>
    </row>
    <row r="338">
      <c r="A338" s="2">
        <v>88.0</v>
      </c>
      <c r="B338" s="2" t="s">
        <v>341</v>
      </c>
      <c r="C338" s="2" t="s">
        <v>342</v>
      </c>
      <c r="D338" s="3" t="s">
        <v>343</v>
      </c>
    </row>
    <row r="339">
      <c r="A339" s="2">
        <v>89.0</v>
      </c>
      <c r="B339" s="2" t="s">
        <v>344</v>
      </c>
      <c r="C339" s="2" t="s">
        <v>345</v>
      </c>
      <c r="D339" s="3" t="s">
        <v>346</v>
      </c>
    </row>
    <row r="340">
      <c r="A340" s="2">
        <v>90.0</v>
      </c>
      <c r="B340" s="2" t="s">
        <v>347</v>
      </c>
      <c r="C340" s="2" t="s">
        <v>348</v>
      </c>
      <c r="D340" s="3" t="s">
        <v>349</v>
      </c>
    </row>
    <row r="341">
      <c r="A341" s="2">
        <v>91.0</v>
      </c>
      <c r="B341" s="2" t="s">
        <v>350</v>
      </c>
      <c r="C341" s="2" t="s">
        <v>351</v>
      </c>
      <c r="D341" s="3" t="s">
        <v>352</v>
      </c>
    </row>
    <row r="342">
      <c r="A342" s="2">
        <v>92.0</v>
      </c>
      <c r="B342" s="2" t="s">
        <v>353</v>
      </c>
      <c r="C342" s="2" t="s">
        <v>354</v>
      </c>
      <c r="D342" s="3" t="s">
        <v>355</v>
      </c>
    </row>
    <row r="343">
      <c r="A343" s="2">
        <v>93.0</v>
      </c>
      <c r="B343" s="2" t="s">
        <v>356</v>
      </c>
      <c r="C343" s="2" t="s">
        <v>357</v>
      </c>
      <c r="D343" s="3" t="s">
        <v>358</v>
      </c>
    </row>
    <row r="344">
      <c r="A344" s="2">
        <v>94.0</v>
      </c>
      <c r="B344" s="2" t="s">
        <v>359</v>
      </c>
      <c r="C344" s="2" t="s">
        <v>360</v>
      </c>
      <c r="D344" s="3" t="s">
        <v>361</v>
      </c>
    </row>
    <row r="345">
      <c r="A345" s="2">
        <v>96.0</v>
      </c>
      <c r="B345" s="2" t="s">
        <v>362</v>
      </c>
      <c r="C345" s="2" t="s">
        <v>363</v>
      </c>
      <c r="D345" s="3" t="s">
        <v>364</v>
      </c>
      <c r="E345" s="2">
        <v>2014.0</v>
      </c>
    </row>
    <row r="346">
      <c r="A346" s="2">
        <v>96.0</v>
      </c>
      <c r="B346" s="2" t="s">
        <v>365</v>
      </c>
      <c r="C346" s="2" t="s">
        <v>366</v>
      </c>
      <c r="D346" s="3" t="s">
        <v>367</v>
      </c>
    </row>
    <row r="347">
      <c r="A347" s="2">
        <v>97.0</v>
      </c>
      <c r="B347" s="2" t="s">
        <v>368</v>
      </c>
      <c r="C347" s="2" t="s">
        <v>369</v>
      </c>
      <c r="D347" s="3" t="s">
        <v>370</v>
      </c>
    </row>
    <row r="348">
      <c r="A348" s="2">
        <v>98.0</v>
      </c>
      <c r="B348" s="2" t="s">
        <v>371</v>
      </c>
      <c r="C348" s="2" t="s">
        <v>372</v>
      </c>
      <c r="D348" s="3" t="s">
        <v>373</v>
      </c>
    </row>
    <row r="349">
      <c r="A349" s="2">
        <v>98.0</v>
      </c>
      <c r="B349" s="2" t="s">
        <v>374</v>
      </c>
      <c r="C349" s="2" t="s">
        <v>375</v>
      </c>
      <c r="D349" s="3" t="s">
        <v>376</v>
      </c>
    </row>
    <row r="350">
      <c r="A350" s="2">
        <v>100.0</v>
      </c>
      <c r="B350" s="2" t="s">
        <v>377</v>
      </c>
      <c r="C350" s="2" t="s">
        <v>378</v>
      </c>
      <c r="D350" s="3" t="s">
        <v>379</v>
      </c>
    </row>
    <row r="351">
      <c r="A351" s="2">
        <v>101.0</v>
      </c>
      <c r="B351" s="2" t="s">
        <v>380</v>
      </c>
      <c r="C351" s="2" t="s">
        <v>381</v>
      </c>
      <c r="D351" s="3" t="s">
        <v>382</v>
      </c>
    </row>
    <row r="352">
      <c r="A352" s="2">
        <v>102.0</v>
      </c>
      <c r="B352" s="2" t="s">
        <v>383</v>
      </c>
      <c r="C352" s="2" t="s">
        <v>384</v>
      </c>
      <c r="D352" s="3" t="s">
        <v>385</v>
      </c>
    </row>
    <row r="353">
      <c r="A353" s="2">
        <v>103.0</v>
      </c>
      <c r="B353" s="2" t="s">
        <v>386</v>
      </c>
      <c r="C353" s="2" t="s">
        <v>387</v>
      </c>
      <c r="D353" s="3" t="s">
        <v>388</v>
      </c>
    </row>
    <row r="354">
      <c r="A354" s="2">
        <v>104.0</v>
      </c>
      <c r="B354" s="2" t="s">
        <v>389</v>
      </c>
      <c r="C354" s="2" t="s">
        <v>390</v>
      </c>
      <c r="D354" s="3" t="s">
        <v>391</v>
      </c>
    </row>
    <row r="355">
      <c r="A355" s="2">
        <v>105.0</v>
      </c>
      <c r="B355" s="2" t="s">
        <v>392</v>
      </c>
      <c r="C355" s="2" t="s">
        <v>393</v>
      </c>
      <c r="D355" s="3" t="s">
        <v>394</v>
      </c>
      <c r="E355" s="2" t="s">
        <v>395</v>
      </c>
    </row>
    <row r="356">
      <c r="A356" s="2">
        <v>106.0</v>
      </c>
      <c r="B356" s="2" t="s">
        <v>396</v>
      </c>
      <c r="C356" s="2" t="s">
        <v>397</v>
      </c>
      <c r="D356" s="3" t="s">
        <v>398</v>
      </c>
    </row>
    <row r="357">
      <c r="A357" s="2">
        <v>107.0</v>
      </c>
      <c r="B357" s="2" t="s">
        <v>399</v>
      </c>
      <c r="C357" s="2" t="s">
        <v>400</v>
      </c>
      <c r="D357" s="3" t="s">
        <v>401</v>
      </c>
    </row>
    <row r="358">
      <c r="A358" s="2">
        <v>108.0</v>
      </c>
      <c r="B358" s="2" t="s">
        <v>402</v>
      </c>
      <c r="C358" s="2" t="s">
        <v>403</v>
      </c>
      <c r="D358" s="3" t="s">
        <v>404</v>
      </c>
    </row>
    <row r="359">
      <c r="A359" s="2">
        <v>109.0</v>
      </c>
      <c r="B359" s="2" t="s">
        <v>405</v>
      </c>
      <c r="C359" s="2" t="s">
        <v>406</v>
      </c>
      <c r="D359" s="3" t="s">
        <v>407</v>
      </c>
    </row>
    <row r="360">
      <c r="A360" s="2">
        <v>110.0</v>
      </c>
      <c r="B360" s="2" t="s">
        <v>408</v>
      </c>
      <c r="C360" s="2" t="s">
        <v>409</v>
      </c>
      <c r="D360" s="3" t="s">
        <v>410</v>
      </c>
    </row>
    <row r="361">
      <c r="A361" s="2">
        <v>111.0</v>
      </c>
      <c r="B361" s="2" t="s">
        <v>411</v>
      </c>
      <c r="C361" s="2" t="s">
        <v>412</v>
      </c>
      <c r="D361" s="3" t="s">
        <v>413</v>
      </c>
    </row>
    <row r="362">
      <c r="A362" s="2">
        <v>112.0</v>
      </c>
      <c r="B362" s="2" t="s">
        <v>414</v>
      </c>
      <c r="C362" s="2" t="s">
        <v>415</v>
      </c>
      <c r="D362" s="3" t="s">
        <v>416</v>
      </c>
    </row>
    <row r="363">
      <c r="A363" s="2">
        <v>113.0</v>
      </c>
      <c r="B363" s="2" t="s">
        <v>417</v>
      </c>
      <c r="C363" s="2" t="s">
        <v>418</v>
      </c>
      <c r="D363" s="3" t="s">
        <v>419</v>
      </c>
    </row>
    <row r="364">
      <c r="A364" s="2">
        <v>114.0</v>
      </c>
      <c r="B364" s="2" t="s">
        <v>420</v>
      </c>
      <c r="C364" s="2" t="s">
        <v>421</v>
      </c>
      <c r="D364" s="3" t="s">
        <v>422</v>
      </c>
    </row>
    <row r="365">
      <c r="A365" s="2">
        <v>115.0</v>
      </c>
      <c r="B365" s="2" t="s">
        <v>423</v>
      </c>
      <c r="C365" s="2" t="s">
        <v>424</v>
      </c>
      <c r="D365" s="3" t="s">
        <v>425</v>
      </c>
    </row>
    <row r="366">
      <c r="A366" s="2">
        <v>116.0</v>
      </c>
      <c r="B366" s="2" t="s">
        <v>426</v>
      </c>
      <c r="C366" s="2" t="s">
        <v>427</v>
      </c>
      <c r="D366" s="3" t="s">
        <v>428</v>
      </c>
    </row>
    <row r="367">
      <c r="A367" s="2">
        <v>117.0</v>
      </c>
      <c r="B367" s="2" t="s">
        <v>429</v>
      </c>
      <c r="C367" s="2" t="s">
        <v>430</v>
      </c>
      <c r="D367" s="3" t="s">
        <v>431</v>
      </c>
      <c r="E367" s="2">
        <v>2014.0</v>
      </c>
    </row>
    <row r="368">
      <c r="A368" s="2">
        <v>118.0</v>
      </c>
      <c r="B368" s="2" t="s">
        <v>432</v>
      </c>
      <c r="C368" s="2" t="s">
        <v>433</v>
      </c>
      <c r="D368" s="3" t="s">
        <v>434</v>
      </c>
      <c r="E368" s="2">
        <v>2013.0</v>
      </c>
    </row>
    <row r="369">
      <c r="A369" s="2">
        <v>119.0</v>
      </c>
      <c r="B369" s="2" t="s">
        <v>435</v>
      </c>
      <c r="C369" s="2" t="s">
        <v>436</v>
      </c>
      <c r="D369" s="3" t="s">
        <v>437</v>
      </c>
    </row>
    <row r="370">
      <c r="A370" s="2">
        <v>120.0</v>
      </c>
      <c r="B370" s="2" t="s">
        <v>438</v>
      </c>
      <c r="C370" s="2" t="s">
        <v>439</v>
      </c>
      <c r="D370" s="3" t="s">
        <v>440</v>
      </c>
    </row>
    <row r="371">
      <c r="A371" s="2">
        <v>121.0</v>
      </c>
      <c r="B371" s="2" t="s">
        <v>441</v>
      </c>
      <c r="C371" s="2" t="s">
        <v>442</v>
      </c>
      <c r="D371" s="3" t="s">
        <v>443</v>
      </c>
    </row>
    <row r="372">
      <c r="A372" s="2">
        <v>122.0</v>
      </c>
      <c r="B372" s="2" t="s">
        <v>444</v>
      </c>
      <c r="C372" s="2" t="s">
        <v>445</v>
      </c>
      <c r="D372" s="3" t="s">
        <v>446</v>
      </c>
    </row>
    <row r="373">
      <c r="A373" s="2">
        <v>123.0</v>
      </c>
      <c r="B373" s="2" t="s">
        <v>447</v>
      </c>
      <c r="C373" s="2" t="s">
        <v>448</v>
      </c>
      <c r="D373" s="3" t="s">
        <v>449</v>
      </c>
    </row>
    <row r="374">
      <c r="A374" s="2">
        <v>124.0</v>
      </c>
      <c r="B374" s="2" t="s">
        <v>450</v>
      </c>
      <c r="C374" s="2" t="s">
        <v>451</v>
      </c>
      <c r="D374" s="3" t="s">
        <v>452</v>
      </c>
    </row>
    <row r="375">
      <c r="A375" s="2">
        <v>125.0</v>
      </c>
      <c r="B375" s="2" t="s">
        <v>453</v>
      </c>
      <c r="C375" s="2" t="s">
        <v>454</v>
      </c>
      <c r="D375" s="3" t="s">
        <v>455</v>
      </c>
    </row>
    <row r="376">
      <c r="A376" s="2">
        <v>126.0</v>
      </c>
      <c r="B376" s="2" t="s">
        <v>456</v>
      </c>
      <c r="C376" s="2" t="s">
        <v>457</v>
      </c>
      <c r="D376" s="3" t="s">
        <v>458</v>
      </c>
    </row>
    <row r="377">
      <c r="A377" s="2">
        <v>127.0</v>
      </c>
      <c r="B377" s="2" t="s">
        <v>459</v>
      </c>
      <c r="C377" s="2" t="s">
        <v>460</v>
      </c>
      <c r="D377" s="3" t="s">
        <v>461</v>
      </c>
    </row>
    <row r="378">
      <c r="A378" s="2">
        <v>128.0</v>
      </c>
      <c r="B378" s="2" t="s">
        <v>462</v>
      </c>
      <c r="C378" s="2" t="s">
        <v>463</v>
      </c>
      <c r="D378" s="3" t="s">
        <v>464</v>
      </c>
    </row>
    <row r="379">
      <c r="A379" s="2">
        <v>129.0</v>
      </c>
      <c r="B379" s="2" t="s">
        <v>465</v>
      </c>
      <c r="C379" s="2" t="s">
        <v>466</v>
      </c>
      <c r="D379" s="3" t="s">
        <v>467</v>
      </c>
    </row>
    <row r="380">
      <c r="A380" s="2">
        <v>130.0</v>
      </c>
      <c r="B380" s="2" t="s">
        <v>468</v>
      </c>
      <c r="C380" s="2" t="s">
        <v>469</v>
      </c>
      <c r="D380" s="3" t="s">
        <v>470</v>
      </c>
    </row>
    <row r="381">
      <c r="A381" s="2">
        <v>131.0</v>
      </c>
      <c r="B381" s="2" t="s">
        <v>471</v>
      </c>
      <c r="C381" s="2" t="s">
        <v>472</v>
      </c>
      <c r="D381" s="3" t="s">
        <v>473</v>
      </c>
    </row>
    <row r="382">
      <c r="A382" s="2">
        <v>132.0</v>
      </c>
      <c r="B382" s="2" t="s">
        <v>474</v>
      </c>
      <c r="C382" s="2" t="s">
        <v>475</v>
      </c>
      <c r="D382" s="3" t="s">
        <v>476</v>
      </c>
    </row>
    <row r="383">
      <c r="A383" s="2">
        <v>133.0</v>
      </c>
      <c r="B383" s="2" t="s">
        <v>477</v>
      </c>
      <c r="C383" s="2" t="s">
        <v>478</v>
      </c>
      <c r="D383" s="3" t="s">
        <v>479</v>
      </c>
    </row>
    <row r="384">
      <c r="A384" s="2">
        <v>134.0</v>
      </c>
      <c r="B384" s="2" t="s">
        <v>480</v>
      </c>
      <c r="C384" s="2" t="s">
        <v>481</v>
      </c>
      <c r="D384" s="3" t="s">
        <v>482</v>
      </c>
    </row>
    <row r="385">
      <c r="A385" s="2">
        <v>135.0</v>
      </c>
      <c r="B385" s="2" t="s">
        <v>483</v>
      </c>
      <c r="C385" s="2" t="s">
        <v>484</v>
      </c>
      <c r="D385" s="3" t="s">
        <v>485</v>
      </c>
    </row>
    <row r="386">
      <c r="A386" s="2">
        <v>136.0</v>
      </c>
      <c r="B386" s="2" t="s">
        <v>486</v>
      </c>
      <c r="C386" s="2" t="s">
        <v>487</v>
      </c>
      <c r="D386" s="3" t="s">
        <v>488</v>
      </c>
    </row>
    <row r="387">
      <c r="A387" s="2">
        <v>137.0</v>
      </c>
      <c r="B387" s="2" t="s">
        <v>489</v>
      </c>
      <c r="C387" s="2" t="s">
        <v>490</v>
      </c>
      <c r="D387" s="3" t="s">
        <v>491</v>
      </c>
    </row>
    <row r="388">
      <c r="A388" s="2">
        <v>138.0</v>
      </c>
      <c r="B388" s="2" t="s">
        <v>492</v>
      </c>
      <c r="C388" s="2" t="s">
        <v>493</v>
      </c>
      <c r="D388" s="3" t="s">
        <v>494</v>
      </c>
    </row>
    <row r="389">
      <c r="A389" s="2">
        <v>139.0</v>
      </c>
      <c r="B389" s="2" t="s">
        <v>495</v>
      </c>
      <c r="C389" s="2" t="s">
        <v>496</v>
      </c>
      <c r="D389" s="3" t="s">
        <v>497</v>
      </c>
    </row>
    <row r="390">
      <c r="A390" s="2">
        <v>140.0</v>
      </c>
      <c r="B390" s="2" t="s">
        <v>498</v>
      </c>
      <c r="C390" s="2" t="s">
        <v>499</v>
      </c>
      <c r="D390" s="3" t="s">
        <v>500</v>
      </c>
    </row>
    <row r="391">
      <c r="A391" s="2">
        <v>141.0</v>
      </c>
      <c r="B391" s="2" t="s">
        <v>501</v>
      </c>
      <c r="C391" s="2" t="s">
        <v>502</v>
      </c>
      <c r="D391" s="3" t="s">
        <v>503</v>
      </c>
    </row>
    <row r="392">
      <c r="A392" s="2">
        <v>142.0</v>
      </c>
      <c r="B392" s="2" t="s">
        <v>504</v>
      </c>
      <c r="C392" s="2" t="s">
        <v>505</v>
      </c>
      <c r="D392" s="3" t="s">
        <v>506</v>
      </c>
    </row>
    <row r="393">
      <c r="A393" s="2">
        <v>143.0</v>
      </c>
      <c r="B393" s="2" t="s">
        <v>507</v>
      </c>
      <c r="C393" s="2" t="s">
        <v>508</v>
      </c>
      <c r="D393" s="3" t="s">
        <v>509</v>
      </c>
    </row>
    <row r="394">
      <c r="A394" s="2">
        <v>144.0</v>
      </c>
      <c r="B394" s="2" t="s">
        <v>510</v>
      </c>
      <c r="C394" s="2" t="s">
        <v>511</v>
      </c>
      <c r="D394" s="3" t="s">
        <v>512</v>
      </c>
    </row>
    <row r="395">
      <c r="A395" s="2">
        <v>145.0</v>
      </c>
      <c r="B395" s="2" t="s">
        <v>513</v>
      </c>
      <c r="C395" s="2" t="s">
        <v>514</v>
      </c>
      <c r="D395" s="3" t="s">
        <v>515</v>
      </c>
      <c r="E395" s="2" t="s">
        <v>516</v>
      </c>
    </row>
    <row r="396">
      <c r="A396" s="2">
        <v>146.0</v>
      </c>
      <c r="B396" s="2" t="s">
        <v>517</v>
      </c>
      <c r="C396" s="2" t="s">
        <v>518</v>
      </c>
      <c r="D396" s="3" t="s">
        <v>519</v>
      </c>
    </row>
    <row r="397">
      <c r="A397" s="2">
        <v>147.0</v>
      </c>
      <c r="B397" s="2" t="s">
        <v>520</v>
      </c>
      <c r="C397" s="2" t="s">
        <v>521</v>
      </c>
      <c r="D397" s="3" t="s">
        <v>522</v>
      </c>
      <c r="E397" s="2" t="s">
        <v>523</v>
      </c>
    </row>
    <row r="398">
      <c r="A398" s="2">
        <v>148.0</v>
      </c>
      <c r="B398" s="2" t="s">
        <v>524</v>
      </c>
      <c r="C398" s="2" t="s">
        <v>525</v>
      </c>
      <c r="D398" s="3" t="s">
        <v>526</v>
      </c>
    </row>
    <row r="399">
      <c r="A399" s="2">
        <v>149.0</v>
      </c>
      <c r="B399" s="2" t="s">
        <v>527</v>
      </c>
      <c r="C399" s="2" t="s">
        <v>528</v>
      </c>
      <c r="D399" s="3" t="s">
        <v>529</v>
      </c>
    </row>
    <row r="400">
      <c r="A400" s="2">
        <v>150.0</v>
      </c>
      <c r="B400" s="2" t="s">
        <v>530</v>
      </c>
      <c r="C400" s="2" t="s">
        <v>531</v>
      </c>
      <c r="D400" s="3" t="s">
        <v>532</v>
      </c>
    </row>
    <row r="401">
      <c r="A401" s="2">
        <v>151.0</v>
      </c>
      <c r="B401" s="2" t="s">
        <v>533</v>
      </c>
      <c r="C401" s="2" t="s">
        <v>534</v>
      </c>
      <c r="D401" s="3" t="s">
        <v>535</v>
      </c>
      <c r="E401" s="2">
        <v>2014.0</v>
      </c>
    </row>
    <row r="402">
      <c r="A402" s="2">
        <v>152.0</v>
      </c>
      <c r="B402" s="2" t="s">
        <v>536</v>
      </c>
      <c r="C402" s="2" t="s">
        <v>537</v>
      </c>
      <c r="D402" s="3" t="s">
        <v>538</v>
      </c>
    </row>
    <row r="403">
      <c r="A403" s="2">
        <v>153.0</v>
      </c>
      <c r="B403" s="2" t="s">
        <v>539</v>
      </c>
      <c r="C403" s="2" t="s">
        <v>540</v>
      </c>
      <c r="D403" s="3" t="s">
        <v>541</v>
      </c>
    </row>
    <row r="404">
      <c r="A404" s="2">
        <v>154.0</v>
      </c>
      <c r="B404" s="2" t="s">
        <v>542</v>
      </c>
      <c r="C404" s="2" t="s">
        <v>543</v>
      </c>
      <c r="D404" s="3" t="s">
        <v>544</v>
      </c>
      <c r="E404" s="2" t="s">
        <v>545</v>
      </c>
    </row>
    <row r="405">
      <c r="A405" s="2">
        <v>155.0</v>
      </c>
      <c r="B405" s="2" t="s">
        <v>546</v>
      </c>
      <c r="C405" s="2" t="s">
        <v>547</v>
      </c>
      <c r="D405" s="3" t="s">
        <v>548</v>
      </c>
    </row>
    <row r="406">
      <c r="A406" s="2">
        <v>156.0</v>
      </c>
      <c r="B406" s="2" t="s">
        <v>549</v>
      </c>
      <c r="C406" s="2" t="s">
        <v>550</v>
      </c>
      <c r="D406" s="3" t="s">
        <v>551</v>
      </c>
      <c r="E406" s="2">
        <v>2009.0</v>
      </c>
    </row>
    <row r="407">
      <c r="A407" s="2">
        <v>157.0</v>
      </c>
      <c r="B407" s="2" t="s">
        <v>552</v>
      </c>
      <c r="C407" s="2" t="s">
        <v>553</v>
      </c>
      <c r="D407" s="3" t="s">
        <v>554</v>
      </c>
    </row>
    <row r="408">
      <c r="A408" s="2">
        <v>158.0</v>
      </c>
      <c r="B408" s="2" t="s">
        <v>555</v>
      </c>
      <c r="C408" s="2" t="s">
        <v>556</v>
      </c>
      <c r="D408" s="3" t="s">
        <v>557</v>
      </c>
    </row>
    <row r="409">
      <c r="A409" s="2">
        <v>159.0</v>
      </c>
      <c r="B409" s="2" t="s">
        <v>558</v>
      </c>
      <c r="C409" s="2" t="s">
        <v>559</v>
      </c>
      <c r="D409" s="2" t="s">
        <v>560</v>
      </c>
    </row>
    <row r="410">
      <c r="A410" s="2">
        <v>160.0</v>
      </c>
      <c r="B410" s="2" t="s">
        <v>561</v>
      </c>
      <c r="C410" s="2" t="s">
        <v>562</v>
      </c>
      <c r="D410" s="2" t="s">
        <v>563</v>
      </c>
    </row>
    <row r="411">
      <c r="A411" s="2">
        <v>161.0</v>
      </c>
      <c r="B411" s="2" t="s">
        <v>564</v>
      </c>
      <c r="C411" s="2" t="s">
        <v>565</v>
      </c>
      <c r="D411" s="2" t="s">
        <v>566</v>
      </c>
    </row>
    <row r="412">
      <c r="A412" s="2">
        <v>162.0</v>
      </c>
      <c r="B412" s="2" t="s">
        <v>567</v>
      </c>
      <c r="C412" s="2" t="s">
        <v>568</v>
      </c>
      <c r="D412" s="2" t="s">
        <v>569</v>
      </c>
    </row>
    <row r="413">
      <c r="A413" s="2">
        <v>163.0</v>
      </c>
      <c r="B413" s="2" t="s">
        <v>570</v>
      </c>
      <c r="C413" s="2" t="s">
        <v>571</v>
      </c>
      <c r="D413" s="2" t="s">
        <v>572</v>
      </c>
      <c r="E413" s="2" t="s">
        <v>573</v>
      </c>
    </row>
    <row r="414">
      <c r="A414" s="2">
        <v>164.0</v>
      </c>
      <c r="B414" s="2" t="s">
        <v>574</v>
      </c>
      <c r="C414" s="2" t="s">
        <v>575</v>
      </c>
      <c r="D414" s="2" t="s">
        <v>576</v>
      </c>
    </row>
    <row r="415">
      <c r="A415" s="2">
        <v>165.0</v>
      </c>
      <c r="B415" s="2" t="s">
        <v>577</v>
      </c>
      <c r="C415" s="2" t="s">
        <v>578</v>
      </c>
      <c r="D415" s="2" t="s">
        <v>579</v>
      </c>
    </row>
    <row r="416">
      <c r="A416" s="2">
        <v>166.0</v>
      </c>
      <c r="B416" s="2" t="s">
        <v>580</v>
      </c>
      <c r="C416" s="2" t="s">
        <v>581</v>
      </c>
      <c r="D416" s="2" t="s">
        <v>582</v>
      </c>
    </row>
    <row r="417">
      <c r="A417" s="2">
        <v>167.0</v>
      </c>
      <c r="B417" s="2" t="s">
        <v>583</v>
      </c>
      <c r="C417" s="2" t="s">
        <v>584</v>
      </c>
      <c r="D417" s="2" t="s">
        <v>585</v>
      </c>
    </row>
    <row r="418">
      <c r="A418" s="2">
        <v>168.0</v>
      </c>
      <c r="B418" s="2" t="s">
        <v>586</v>
      </c>
      <c r="C418" s="2" t="s">
        <v>587</v>
      </c>
      <c r="D418" s="2" t="s">
        <v>588</v>
      </c>
    </row>
    <row r="419">
      <c r="A419" s="2">
        <v>169.0</v>
      </c>
      <c r="B419" s="2" t="s">
        <v>589</v>
      </c>
      <c r="C419" s="2" t="s">
        <v>590</v>
      </c>
      <c r="D419" s="2" t="s">
        <v>591</v>
      </c>
    </row>
    <row r="420">
      <c r="A420" s="2">
        <v>170.0</v>
      </c>
      <c r="B420" s="2" t="s">
        <v>592</v>
      </c>
      <c r="C420" s="2" t="s">
        <v>593</v>
      </c>
      <c r="D420" s="2" t="s">
        <v>594</v>
      </c>
    </row>
    <row r="421">
      <c r="A421" s="2">
        <v>171.0</v>
      </c>
      <c r="B421" s="2" t="s">
        <v>595</v>
      </c>
      <c r="C421" s="2" t="s">
        <v>596</v>
      </c>
      <c r="D421" s="2" t="s">
        <v>597</v>
      </c>
    </row>
    <row r="422">
      <c r="A422" s="2">
        <v>172.0</v>
      </c>
      <c r="B422" s="2" t="s">
        <v>598</v>
      </c>
      <c r="C422" s="2" t="s">
        <v>599</v>
      </c>
      <c r="D422" s="2" t="s">
        <v>600</v>
      </c>
    </row>
    <row r="423">
      <c r="A423" s="2">
        <v>173.0</v>
      </c>
      <c r="B423" s="2" t="s">
        <v>601</v>
      </c>
      <c r="C423" s="2" t="s">
        <v>602</v>
      </c>
      <c r="D423" s="2" t="s">
        <v>603</v>
      </c>
    </row>
    <row r="424">
      <c r="A424" s="2">
        <v>174.0</v>
      </c>
      <c r="B424" s="2" t="s">
        <v>604</v>
      </c>
      <c r="C424" s="2" t="s">
        <v>605</v>
      </c>
      <c r="D424" s="2" t="s">
        <v>606</v>
      </c>
    </row>
    <row r="425">
      <c r="A425" s="2">
        <v>175.0</v>
      </c>
      <c r="B425" s="2" t="s">
        <v>607</v>
      </c>
      <c r="C425" s="2" t="s">
        <v>608</v>
      </c>
      <c r="D425" s="2" t="s">
        <v>609</v>
      </c>
    </row>
    <row r="426">
      <c r="A426" s="2">
        <v>176.0</v>
      </c>
      <c r="B426" s="2" t="s">
        <v>610</v>
      </c>
      <c r="C426" s="2" t="s">
        <v>611</v>
      </c>
      <c r="D426" s="2" t="s">
        <v>612</v>
      </c>
    </row>
    <row r="427">
      <c r="A427" s="2">
        <v>177.0</v>
      </c>
      <c r="B427" s="2" t="s">
        <v>613</v>
      </c>
      <c r="C427" s="2" t="s">
        <v>614</v>
      </c>
      <c r="D427" s="2" t="s">
        <v>615</v>
      </c>
    </row>
    <row r="428">
      <c r="A428" s="2">
        <v>178.0</v>
      </c>
      <c r="B428" s="2" t="s">
        <v>616</v>
      </c>
      <c r="C428" s="2" t="s">
        <v>617</v>
      </c>
      <c r="D428" s="2" t="s">
        <v>618</v>
      </c>
    </row>
    <row r="429">
      <c r="A429" s="2">
        <v>179.0</v>
      </c>
      <c r="B429" s="2" t="s">
        <v>619</v>
      </c>
      <c r="C429" s="2" t="s">
        <v>620</v>
      </c>
      <c r="D429" s="2" t="s">
        <v>621</v>
      </c>
    </row>
    <row r="430">
      <c r="A430" s="2">
        <v>180.0</v>
      </c>
      <c r="B430" s="2" t="s">
        <v>622</v>
      </c>
      <c r="C430" s="2" t="s">
        <v>623</v>
      </c>
      <c r="D430" s="2" t="s">
        <v>624</v>
      </c>
    </row>
    <row r="431">
      <c r="A431" s="2">
        <v>181.0</v>
      </c>
      <c r="B431" s="2" t="s">
        <v>625</v>
      </c>
      <c r="C431" s="2" t="s">
        <v>626</v>
      </c>
      <c r="D431" s="2" t="s">
        <v>627</v>
      </c>
    </row>
    <row r="432">
      <c r="A432" s="2">
        <v>182.0</v>
      </c>
      <c r="B432" s="2" t="s">
        <v>628</v>
      </c>
      <c r="C432" s="2" t="s">
        <v>629</v>
      </c>
      <c r="D432" s="2" t="s">
        <v>630</v>
      </c>
    </row>
    <row r="433">
      <c r="A433" s="2">
        <v>183.0</v>
      </c>
      <c r="B433" s="2" t="s">
        <v>631</v>
      </c>
      <c r="C433" s="2" t="s">
        <v>632</v>
      </c>
      <c r="D433" s="2" t="s">
        <v>633</v>
      </c>
    </row>
    <row r="434">
      <c r="A434" s="2">
        <v>184.0</v>
      </c>
      <c r="B434" s="2" t="s">
        <v>634</v>
      </c>
      <c r="C434" s="2" t="s">
        <v>635</v>
      </c>
      <c r="D434" s="2" t="s">
        <v>636</v>
      </c>
    </row>
    <row r="435">
      <c r="A435" s="2">
        <v>185.0</v>
      </c>
      <c r="B435" s="2" t="s">
        <v>637</v>
      </c>
      <c r="C435" s="2" t="s">
        <v>638</v>
      </c>
      <c r="D435" s="2" t="s">
        <v>639</v>
      </c>
    </row>
    <row r="436">
      <c r="A436" s="2">
        <v>186.0</v>
      </c>
      <c r="B436" s="2" t="s">
        <v>640</v>
      </c>
      <c r="C436" s="2" t="s">
        <v>641</v>
      </c>
      <c r="D436" s="2" t="s">
        <v>642</v>
      </c>
    </row>
    <row r="437">
      <c r="A437" s="2">
        <v>187.0</v>
      </c>
      <c r="B437" s="2" t="s">
        <v>643</v>
      </c>
      <c r="C437" s="2" t="s">
        <v>644</v>
      </c>
      <c r="D437" s="2" t="s">
        <v>645</v>
      </c>
    </row>
    <row r="438">
      <c r="A438" s="2">
        <v>188.0</v>
      </c>
      <c r="B438" s="2" t="s">
        <v>646</v>
      </c>
      <c r="C438" s="2" t="s">
        <v>647</v>
      </c>
      <c r="D438" s="2" t="s">
        <v>648</v>
      </c>
    </row>
    <row r="439">
      <c r="A439" s="2">
        <v>189.0</v>
      </c>
      <c r="B439" s="2" t="s">
        <v>649</v>
      </c>
      <c r="C439" s="2" t="s">
        <v>650</v>
      </c>
      <c r="D439" s="2" t="s">
        <v>651</v>
      </c>
    </row>
    <row r="440">
      <c r="A440" s="2">
        <v>190.0</v>
      </c>
      <c r="B440" s="2" t="s">
        <v>652</v>
      </c>
      <c r="C440" s="2" t="s">
        <v>653</v>
      </c>
      <c r="D440" s="2" t="s">
        <v>654</v>
      </c>
    </row>
    <row r="441">
      <c r="A441" s="2">
        <v>191.0</v>
      </c>
      <c r="B441" s="2" t="s">
        <v>655</v>
      </c>
      <c r="C441" s="2" t="s">
        <v>656</v>
      </c>
      <c r="D441" s="2" t="s">
        <v>657</v>
      </c>
    </row>
    <row r="442">
      <c r="A442" s="2">
        <v>192.0</v>
      </c>
      <c r="B442" s="2" t="s">
        <v>658</v>
      </c>
      <c r="C442" s="2" t="s">
        <v>659</v>
      </c>
      <c r="D442" s="2" t="s">
        <v>660</v>
      </c>
    </row>
    <row r="443">
      <c r="A443" s="2">
        <v>193.0</v>
      </c>
      <c r="B443" s="2" t="s">
        <v>661</v>
      </c>
      <c r="C443" s="2" t="s">
        <v>662</v>
      </c>
      <c r="D443" s="2" t="s">
        <v>663</v>
      </c>
    </row>
    <row r="444">
      <c r="A444" s="2">
        <v>194.0</v>
      </c>
      <c r="B444" s="2" t="s">
        <v>664</v>
      </c>
      <c r="C444" s="2" t="s">
        <v>665</v>
      </c>
      <c r="D444" s="2" t="s">
        <v>666</v>
      </c>
    </row>
    <row r="445">
      <c r="A445" s="2">
        <v>195.0</v>
      </c>
      <c r="B445" s="2" t="s">
        <v>667</v>
      </c>
      <c r="C445" s="2" t="s">
        <v>668</v>
      </c>
      <c r="D445" s="2" t="s">
        <v>669</v>
      </c>
    </row>
    <row r="446">
      <c r="A446" s="2">
        <v>196.0</v>
      </c>
      <c r="B446" s="2" t="s">
        <v>670</v>
      </c>
      <c r="C446" s="2" t="s">
        <v>671</v>
      </c>
      <c r="D446" s="2" t="s">
        <v>672</v>
      </c>
    </row>
    <row r="447">
      <c r="A447" s="2">
        <v>197.0</v>
      </c>
      <c r="B447" s="2" t="s">
        <v>673</v>
      </c>
      <c r="C447" s="2" t="s">
        <v>674</v>
      </c>
      <c r="D447" s="2" t="s">
        <v>675</v>
      </c>
    </row>
    <row r="448">
      <c r="A448" s="2">
        <v>198.0</v>
      </c>
      <c r="B448" s="2" t="s">
        <v>676</v>
      </c>
      <c r="C448" s="2" t="s">
        <v>677</v>
      </c>
      <c r="D448" s="2" t="s">
        <v>678</v>
      </c>
    </row>
    <row r="449">
      <c r="A449" s="2">
        <v>199.0</v>
      </c>
      <c r="B449" s="2" t="s">
        <v>679</v>
      </c>
      <c r="C449" s="2" t="s">
        <v>680</v>
      </c>
      <c r="D449" s="2" t="s">
        <v>681</v>
      </c>
    </row>
    <row r="450">
      <c r="A450" s="2">
        <v>200.0</v>
      </c>
      <c r="B450" s="2" t="s">
        <v>682</v>
      </c>
      <c r="C450" s="2" t="s">
        <v>683</v>
      </c>
      <c r="D450" s="2" t="s">
        <v>684</v>
      </c>
    </row>
    <row r="451">
      <c r="A451" s="2">
        <v>201.0</v>
      </c>
      <c r="B451" s="2" t="s">
        <v>685</v>
      </c>
      <c r="C451" s="2" t="s">
        <v>686</v>
      </c>
      <c r="D451" s="2" t="s">
        <v>687</v>
      </c>
    </row>
    <row r="452">
      <c r="A452" s="2">
        <v>202.0</v>
      </c>
      <c r="B452" s="2" t="s">
        <v>688</v>
      </c>
      <c r="C452" s="2" t="s">
        <v>689</v>
      </c>
      <c r="D452" s="2" t="s">
        <v>690</v>
      </c>
    </row>
    <row r="453">
      <c r="A453" s="2">
        <v>203.0</v>
      </c>
      <c r="B453" s="2" t="s">
        <v>691</v>
      </c>
      <c r="C453" s="2" t="s">
        <v>692</v>
      </c>
      <c r="D453" s="2" t="s">
        <v>693</v>
      </c>
    </row>
    <row r="454">
      <c r="A454" s="2">
        <v>204.0</v>
      </c>
      <c r="B454" s="2" t="s">
        <v>694</v>
      </c>
      <c r="C454" s="2" t="s">
        <v>695</v>
      </c>
      <c r="D454" s="2" t="s">
        <v>696</v>
      </c>
    </row>
    <row r="455">
      <c r="A455" s="2">
        <v>205.0</v>
      </c>
      <c r="B455" s="2" t="s">
        <v>697</v>
      </c>
      <c r="C455" s="2" t="s">
        <v>698</v>
      </c>
      <c r="D455" s="2" t="s">
        <v>699</v>
      </c>
    </row>
    <row r="456">
      <c r="A456" s="2">
        <v>206.0</v>
      </c>
      <c r="B456" s="2" t="s">
        <v>700</v>
      </c>
      <c r="C456" s="2" t="s">
        <v>701</v>
      </c>
      <c r="D456" s="2" t="s">
        <v>702</v>
      </c>
    </row>
    <row r="457">
      <c r="A457" s="2">
        <v>207.0</v>
      </c>
      <c r="B457" s="2" t="s">
        <v>703</v>
      </c>
      <c r="C457" s="2" t="s">
        <v>704</v>
      </c>
      <c r="D457" s="2" t="s">
        <v>705</v>
      </c>
    </row>
    <row r="458">
      <c r="A458" s="2">
        <v>208.0</v>
      </c>
      <c r="B458" s="2" t="s">
        <v>706</v>
      </c>
      <c r="C458" s="2" t="s">
        <v>707</v>
      </c>
      <c r="D458" s="2" t="s">
        <v>708</v>
      </c>
    </row>
    <row r="459">
      <c r="A459" s="2">
        <v>209.0</v>
      </c>
      <c r="B459" s="2" t="s">
        <v>709</v>
      </c>
      <c r="C459" s="2" t="s">
        <v>710</v>
      </c>
      <c r="D459" s="2" t="s">
        <v>711</v>
      </c>
    </row>
    <row r="460">
      <c r="A460" s="2">
        <v>210.0</v>
      </c>
      <c r="B460" s="2" t="s">
        <v>712</v>
      </c>
      <c r="C460" s="2" t="s">
        <v>713</v>
      </c>
      <c r="D460" s="2" t="s">
        <v>714</v>
      </c>
    </row>
    <row r="461">
      <c r="A461" s="2">
        <v>211.0</v>
      </c>
      <c r="B461" s="2" t="s">
        <v>715</v>
      </c>
      <c r="C461" s="2" t="s">
        <v>716</v>
      </c>
      <c r="D461" s="2" t="s">
        <v>717</v>
      </c>
    </row>
    <row r="462">
      <c r="A462" s="2">
        <v>212.0</v>
      </c>
      <c r="B462" s="2" t="s">
        <v>718</v>
      </c>
      <c r="C462" s="2" t="s">
        <v>719</v>
      </c>
      <c r="D462" s="2" t="s">
        <v>720</v>
      </c>
    </row>
    <row r="463">
      <c r="A463" s="2">
        <v>213.0</v>
      </c>
      <c r="B463" s="2" t="s">
        <v>721</v>
      </c>
      <c r="C463" s="2" t="s">
        <v>722</v>
      </c>
      <c r="D463" s="2" t="s">
        <v>723</v>
      </c>
    </row>
    <row r="464">
      <c r="A464" s="2">
        <v>214.0</v>
      </c>
      <c r="B464" s="2" t="s">
        <v>724</v>
      </c>
      <c r="C464" s="2" t="s">
        <v>725</v>
      </c>
      <c r="D464" s="2" t="s">
        <v>726</v>
      </c>
    </row>
    <row r="465">
      <c r="A465" s="2">
        <v>215.0</v>
      </c>
      <c r="B465" s="2" t="s">
        <v>727</v>
      </c>
      <c r="C465" s="2" t="s">
        <v>728</v>
      </c>
      <c r="D465" s="2" t="s">
        <v>729</v>
      </c>
      <c r="E465" s="2">
        <v>2013.0</v>
      </c>
    </row>
    <row r="466">
      <c r="A466" s="2">
        <v>216.0</v>
      </c>
      <c r="B466" s="2" t="s">
        <v>730</v>
      </c>
      <c r="C466" s="2" t="s">
        <v>731</v>
      </c>
      <c r="D466" s="2" t="s">
        <v>732</v>
      </c>
    </row>
    <row r="467">
      <c r="A467" s="2">
        <v>217.0</v>
      </c>
      <c r="B467" s="2" t="s">
        <v>733</v>
      </c>
      <c r="C467" s="2" t="s">
        <v>734</v>
      </c>
      <c r="D467" s="2" t="s">
        <v>735</v>
      </c>
    </row>
    <row r="468">
      <c r="A468" s="2">
        <v>218.0</v>
      </c>
      <c r="B468" s="2" t="s">
        <v>736</v>
      </c>
      <c r="C468" s="2" t="s">
        <v>737</v>
      </c>
      <c r="D468" s="2" t="s">
        <v>738</v>
      </c>
    </row>
    <row r="469">
      <c r="A469" s="2">
        <v>219.0</v>
      </c>
      <c r="B469" s="2" t="s">
        <v>739</v>
      </c>
      <c r="C469" s="2" t="s">
        <v>740</v>
      </c>
      <c r="D469" s="2" t="s">
        <v>741</v>
      </c>
    </row>
    <row r="470">
      <c r="A470" s="2">
        <v>220.0</v>
      </c>
      <c r="B470" s="2" t="s">
        <v>742</v>
      </c>
      <c r="C470" s="2" t="s">
        <v>743</v>
      </c>
      <c r="D470" s="2" t="s">
        <v>744</v>
      </c>
    </row>
    <row r="471">
      <c r="A471" s="2">
        <v>221.0</v>
      </c>
      <c r="B471" s="2" t="s">
        <v>745</v>
      </c>
      <c r="C471" s="2" t="s">
        <v>746</v>
      </c>
      <c r="D471" s="2" t="s">
        <v>747</v>
      </c>
    </row>
    <row r="472">
      <c r="A472" s="2">
        <v>222.0</v>
      </c>
      <c r="B472" s="2" t="s">
        <v>748</v>
      </c>
      <c r="C472" s="2" t="s">
        <v>749</v>
      </c>
      <c r="D472" s="2" t="s">
        <v>750</v>
      </c>
    </row>
    <row r="473">
      <c r="A473" s="2">
        <v>223.0</v>
      </c>
      <c r="B473" s="2" t="s">
        <v>549</v>
      </c>
      <c r="C473" s="2" t="s">
        <v>550</v>
      </c>
      <c r="D473" s="2" t="s">
        <v>551</v>
      </c>
      <c r="E473" s="2">
        <v>2009.0</v>
      </c>
    </row>
    <row r="474">
      <c r="A474" s="2">
        <v>224.0</v>
      </c>
      <c r="B474" s="2" t="s">
        <v>751</v>
      </c>
      <c r="C474" s="2" t="s">
        <v>752</v>
      </c>
      <c r="D474" s="2" t="s">
        <v>753</v>
      </c>
    </row>
    <row r="475">
      <c r="A475" s="2">
        <v>225.0</v>
      </c>
      <c r="B475" s="2" t="s">
        <v>754</v>
      </c>
      <c r="C475" s="2" t="s">
        <v>755</v>
      </c>
      <c r="D475" s="2" t="s">
        <v>756</v>
      </c>
    </row>
    <row r="476">
      <c r="A476" s="2">
        <v>226.0</v>
      </c>
      <c r="B476" s="2" t="s">
        <v>757</v>
      </c>
      <c r="C476" s="2" t="s">
        <v>758</v>
      </c>
      <c r="D476" s="2" t="s">
        <v>759</v>
      </c>
    </row>
    <row r="477">
      <c r="A477" s="2">
        <v>227.0</v>
      </c>
      <c r="B477" s="2" t="s">
        <v>760</v>
      </c>
      <c r="C477" s="2" t="s">
        <v>761</v>
      </c>
      <c r="D477" s="2" t="s">
        <v>762</v>
      </c>
    </row>
    <row r="478">
      <c r="A478" s="2">
        <v>228.0</v>
      </c>
      <c r="B478" s="2" t="s">
        <v>763</v>
      </c>
      <c r="C478" s="2" t="s">
        <v>764</v>
      </c>
      <c r="D478" s="2" t="s">
        <v>765</v>
      </c>
    </row>
    <row r="479">
      <c r="A479" s="2">
        <v>229.0</v>
      </c>
      <c r="B479" s="2" t="s">
        <v>766</v>
      </c>
      <c r="C479" s="2" t="s">
        <v>767</v>
      </c>
      <c r="D479" s="2" t="s">
        <v>768</v>
      </c>
    </row>
    <row r="480">
      <c r="A480" s="2">
        <v>230.0</v>
      </c>
      <c r="B480" s="2" t="s">
        <v>769</v>
      </c>
      <c r="C480" s="2" t="s">
        <v>770</v>
      </c>
      <c r="D480" s="2" t="s">
        <v>771</v>
      </c>
    </row>
    <row r="481">
      <c r="A481" s="2">
        <v>231.0</v>
      </c>
      <c r="B481" s="2" t="s">
        <v>772</v>
      </c>
      <c r="C481" s="2" t="s">
        <v>773</v>
      </c>
      <c r="D481" s="2" t="s">
        <v>774</v>
      </c>
    </row>
    <row r="482">
      <c r="A482" s="2">
        <v>232.0</v>
      </c>
      <c r="B482" s="2" t="s">
        <v>775</v>
      </c>
      <c r="C482" s="2" t="s">
        <v>776</v>
      </c>
      <c r="D482" s="2" t="s">
        <v>777</v>
      </c>
    </row>
    <row r="483">
      <c r="A483" s="2">
        <v>233.0</v>
      </c>
      <c r="B483" s="2" t="s">
        <v>778</v>
      </c>
      <c r="C483" s="2" t="s">
        <v>779</v>
      </c>
      <c r="D483" s="2" t="s">
        <v>780</v>
      </c>
    </row>
    <row r="484">
      <c r="A484" s="2">
        <v>234.0</v>
      </c>
      <c r="B484" s="2" t="s">
        <v>781</v>
      </c>
      <c r="C484" s="2" t="s">
        <v>782</v>
      </c>
      <c r="D484" s="2">
        <v>969.0</v>
      </c>
    </row>
    <row r="485">
      <c r="A485" s="2">
        <v>235.0</v>
      </c>
      <c r="B485" s="2" t="s">
        <v>783</v>
      </c>
      <c r="C485" s="2" t="s">
        <v>427</v>
      </c>
      <c r="D485" s="2" t="s">
        <v>784</v>
      </c>
    </row>
    <row r="486">
      <c r="A486" s="2">
        <v>236.0</v>
      </c>
      <c r="B486" s="2" t="s">
        <v>785</v>
      </c>
      <c r="C486" s="2" t="s">
        <v>786</v>
      </c>
      <c r="D486" s="2" t="s">
        <v>787</v>
      </c>
      <c r="E486" s="2" t="s">
        <v>788</v>
      </c>
    </row>
    <row r="487">
      <c r="A487" s="2">
        <v>237.0</v>
      </c>
      <c r="B487" s="2" t="s">
        <v>789</v>
      </c>
      <c r="C487" s="2" t="s">
        <v>790</v>
      </c>
      <c r="D487" s="2">
        <v>714.0</v>
      </c>
    </row>
    <row r="488">
      <c r="A488" s="2">
        <v>238.0</v>
      </c>
      <c r="B488" s="2" t="s">
        <v>791</v>
      </c>
      <c r="C488" s="2" t="s">
        <v>792</v>
      </c>
      <c r="D488" s="2">
        <v>616.0</v>
      </c>
    </row>
    <row r="489">
      <c r="A489" s="2">
        <v>239.0</v>
      </c>
      <c r="B489" s="2" t="s">
        <v>793</v>
      </c>
      <c r="C489" s="2" t="s">
        <v>794</v>
      </c>
      <c r="D489" s="2">
        <v>426.0</v>
      </c>
    </row>
    <row r="490">
      <c r="A490" s="2">
        <v>240.0</v>
      </c>
      <c r="B490" s="2" t="s">
        <v>795</v>
      </c>
      <c r="C490" s="2" t="s">
        <v>796</v>
      </c>
      <c r="D490" s="2" t="s">
        <v>797</v>
      </c>
      <c r="E490" s="2">
        <v>2012.0</v>
      </c>
    </row>
    <row r="491">
      <c r="A491" s="2">
        <v>241.0</v>
      </c>
      <c r="B491" s="2" t="s">
        <v>798</v>
      </c>
      <c r="C491" s="2" t="s">
        <v>799</v>
      </c>
      <c r="D491" s="2">
        <v>120.0</v>
      </c>
    </row>
    <row r="492">
      <c r="A492" s="2">
        <v>242.0</v>
      </c>
      <c r="B492" s="2" t="s">
        <v>800</v>
      </c>
      <c r="C492" s="2" t="s">
        <v>801</v>
      </c>
      <c r="D492" s="2">
        <v>45.0</v>
      </c>
    </row>
    <row r="493">
      <c r="A493" s="2">
        <v>243.0</v>
      </c>
      <c r="B493" s="2" t="s">
        <v>802</v>
      </c>
      <c r="C493" s="2" t="s">
        <v>803</v>
      </c>
      <c r="D493" s="2">
        <v>18.0</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0"/>
  </cols>
  <sheetData>
    <row r="1">
      <c r="A1" s="1"/>
      <c r="B1" s="1">
        <v>2016.0</v>
      </c>
      <c r="C1" s="1" t="s">
        <v>804</v>
      </c>
      <c r="D1" s="1">
        <v>2011.0</v>
      </c>
      <c r="E1" s="1" t="s">
        <v>804</v>
      </c>
    </row>
    <row r="2">
      <c r="A2" s="1" t="s">
        <v>805</v>
      </c>
      <c r="B2" s="1" t="s">
        <v>806</v>
      </c>
      <c r="C2" s="1" t="s">
        <v>807</v>
      </c>
      <c r="D2" s="1" t="s">
        <v>808</v>
      </c>
      <c r="E2" s="1">
        <v>100.0</v>
      </c>
    </row>
    <row r="3">
      <c r="A3" s="1" t="s">
        <v>809</v>
      </c>
      <c r="B3" s="1" t="s">
        <v>810</v>
      </c>
      <c r="C3" s="1" t="s">
        <v>811</v>
      </c>
      <c r="D3" s="1" t="s">
        <v>812</v>
      </c>
      <c r="E3" s="1" t="s">
        <v>813</v>
      </c>
    </row>
    <row r="4">
      <c r="A4" s="1" t="s">
        <v>814</v>
      </c>
      <c r="B4" s="1" t="s">
        <v>815</v>
      </c>
      <c r="C4" s="1" t="s">
        <v>816</v>
      </c>
      <c r="D4" s="1" t="s">
        <v>817</v>
      </c>
      <c r="E4" s="1" t="s">
        <v>818</v>
      </c>
    </row>
    <row r="5">
      <c r="A5" s="10" t="s">
        <v>819</v>
      </c>
      <c r="B5" s="1" t="s">
        <v>820</v>
      </c>
      <c r="C5" s="1" t="s">
        <v>821</v>
      </c>
      <c r="D5" s="1" t="s">
        <v>822</v>
      </c>
      <c r="E5" s="1" t="s">
        <v>823</v>
      </c>
    </row>
    <row r="6">
      <c r="A6" s="1" t="s">
        <v>824</v>
      </c>
      <c r="B6" s="1" t="s">
        <v>825</v>
      </c>
      <c r="C6" s="1" t="s">
        <v>826</v>
      </c>
      <c r="D6" s="1" t="s">
        <v>827</v>
      </c>
      <c r="E6" s="1" t="s">
        <v>828</v>
      </c>
    </row>
    <row r="7">
      <c r="A7" s="1" t="s">
        <v>829</v>
      </c>
      <c r="B7" s="1" t="s">
        <v>830</v>
      </c>
      <c r="C7" s="1" t="s">
        <v>831</v>
      </c>
      <c r="D7" s="1" t="s">
        <v>832</v>
      </c>
      <c r="E7" s="1" t="s">
        <v>833</v>
      </c>
    </row>
    <row r="8">
      <c r="A8" s="1" t="s">
        <v>834</v>
      </c>
      <c r="B8" s="1" t="s">
        <v>835</v>
      </c>
      <c r="C8" s="1" t="s">
        <v>836</v>
      </c>
      <c r="D8" s="1" t="s">
        <v>837</v>
      </c>
      <c r="E8" s="1" t="s">
        <v>838</v>
      </c>
    </row>
    <row r="18">
      <c r="A18" s="2" t="str">
        <f>IFERROR(__xludf.DUMMYFUNCTION("IMPORTHTML(""http://www.insee.fr/fr/statistiques/2011101?geo=DEP-33"",""table"")"),"Type de ménages")</f>
        <v>Type de ménages</v>
      </c>
      <c r="B18" s="2" t="str">
        <f>IFERROR(__xludf.DUMMYFUNCTION("""COMPUTED_VALUE"""),"Nombre de ménages")</f>
        <v>Nombre de ménages</v>
      </c>
      <c r="C18" s="2"/>
      <c r="D18" s="2"/>
      <c r="E18" s="2"/>
      <c r="F18" s="2"/>
      <c r="G18" s="2"/>
      <c r="H18" s="2" t="str">
        <f>IFERROR(__xludf.DUMMYFUNCTION("""COMPUTED_VALUE"""),"Population des ménages")</f>
        <v>Population des ménages</v>
      </c>
      <c r="I18" s="2"/>
      <c r="J18" s="2"/>
    </row>
    <row r="19">
      <c r="A19" s="2"/>
      <c r="B19" s="2">
        <f>IFERROR(__xludf.DUMMYFUNCTION("""COMPUTED_VALUE"""),2011.0)</f>
        <v>2011</v>
      </c>
      <c r="C19" s="2" t="str">
        <f>IFERROR(__xludf.DUMMYFUNCTION("""COMPUTED_VALUE"""),"%")</f>
        <v>%</v>
      </c>
      <c r="D19" s="2">
        <f>IFERROR(__xludf.DUMMYFUNCTION("""COMPUTED_VALUE"""),2016.0)</f>
        <v>2016</v>
      </c>
      <c r="E19" s="2" t="str">
        <f>IFERROR(__xludf.DUMMYFUNCTION("""COMPUTED_VALUE"""),"%")</f>
        <v>%</v>
      </c>
      <c r="F19" s="2">
        <f>IFERROR(__xludf.DUMMYFUNCTION("""COMPUTED_VALUE"""),2022.0)</f>
        <v>2022</v>
      </c>
      <c r="G19" s="2" t="str">
        <f>IFERROR(__xludf.DUMMYFUNCTION("""COMPUTED_VALUE"""),"%")</f>
        <v>%</v>
      </c>
      <c r="H19" s="2">
        <f>IFERROR(__xludf.DUMMYFUNCTION("""COMPUTED_VALUE"""),2011.0)</f>
        <v>2011</v>
      </c>
      <c r="I19" s="2">
        <f>IFERROR(__xludf.DUMMYFUNCTION("""COMPUTED_VALUE"""),2016.0)</f>
        <v>2016</v>
      </c>
      <c r="J19" s="2">
        <f>IFERROR(__xludf.DUMMYFUNCTION("""COMPUTED_VALUE"""),2022.0)</f>
        <v>2022</v>
      </c>
    </row>
    <row r="20">
      <c r="A20" s="2" t="str">
        <f>IFERROR(__xludf.DUMMYFUNCTION("""COMPUTED_VALUE"""),"Ensemble")</f>
        <v>Ensemble</v>
      </c>
      <c r="B20" s="2" t="str">
        <f>IFERROR(__xludf.DUMMYFUNCTION("""COMPUTED_VALUE"""),"657 189")</f>
        <v>657 189</v>
      </c>
      <c r="C20" s="2" t="str">
        <f>IFERROR(__xludf.DUMMYFUNCTION("""COMPUTED_VALUE"""),"100,0")</f>
        <v>100,0</v>
      </c>
      <c r="D20" s="2" t="str">
        <f>IFERROR(__xludf.DUMMYFUNCTION("""COMPUTED_VALUE"""),"715 710")</f>
        <v>715 710</v>
      </c>
      <c r="E20" s="2" t="str">
        <f>IFERROR(__xludf.DUMMYFUNCTION("""COMPUTED_VALUE"""),"100,0")</f>
        <v>100,0</v>
      </c>
      <c r="F20" s="2" t="str">
        <f>IFERROR(__xludf.DUMMYFUNCTION("""COMPUTED_VALUE"""),"788 832")</f>
        <v>788 832</v>
      </c>
      <c r="G20" s="2" t="str">
        <f>IFERROR(__xludf.DUMMYFUNCTION("""COMPUTED_VALUE"""),"100,0")</f>
        <v>100,0</v>
      </c>
      <c r="H20" s="2" t="str">
        <f>IFERROR(__xludf.DUMMYFUNCTION("""COMPUTED_VALUE"""),"1 433 566")</f>
        <v>1 433 566</v>
      </c>
      <c r="I20" s="2" t="str">
        <f>IFERROR(__xludf.DUMMYFUNCTION("""COMPUTED_VALUE"""),"1 536 942")</f>
        <v>1 536 942</v>
      </c>
      <c r="J20" s="2" t="str">
        <f>IFERROR(__xludf.DUMMYFUNCTION("""COMPUTED_VALUE"""),"1 646 913")</f>
        <v>1 646 913</v>
      </c>
    </row>
    <row r="21">
      <c r="A21" s="2" t="str">
        <f>IFERROR(__xludf.DUMMYFUNCTION("""COMPUTED_VALUE"""),"Ménages d'une personne")</f>
        <v>Ménages d'une personne</v>
      </c>
      <c r="B21" s="2" t="str">
        <f>IFERROR(__xludf.DUMMYFUNCTION("""COMPUTED_VALUE"""),"233 147")</f>
        <v>233 147</v>
      </c>
      <c r="C21" s="2" t="str">
        <f>IFERROR(__xludf.DUMMYFUNCTION("""COMPUTED_VALUE"""),"35,5")</f>
        <v>35,5</v>
      </c>
      <c r="D21" s="2" t="str">
        <f>IFERROR(__xludf.DUMMYFUNCTION("""COMPUTED_VALUE"""),"264 491")</f>
        <v>264 491</v>
      </c>
      <c r="E21" s="2" t="str">
        <f>IFERROR(__xludf.DUMMYFUNCTION("""COMPUTED_VALUE"""),"37,0")</f>
        <v>37,0</v>
      </c>
      <c r="F21" s="2" t="str">
        <f>IFERROR(__xludf.DUMMYFUNCTION("""COMPUTED_VALUE"""),"311 668")</f>
        <v>311 668</v>
      </c>
      <c r="G21" s="2" t="str">
        <f>IFERROR(__xludf.DUMMYFUNCTION("""COMPUTED_VALUE"""),"39,5")</f>
        <v>39,5</v>
      </c>
      <c r="H21" s="2" t="str">
        <f>IFERROR(__xludf.DUMMYFUNCTION("""COMPUTED_VALUE"""),"233 147")</f>
        <v>233 147</v>
      </c>
      <c r="I21" s="2" t="str">
        <f>IFERROR(__xludf.DUMMYFUNCTION("""COMPUTED_VALUE"""),"264 491")</f>
        <v>264 491</v>
      </c>
      <c r="J21" s="2" t="str">
        <f>IFERROR(__xludf.DUMMYFUNCTION("""COMPUTED_VALUE"""),"311 668")</f>
        <v>311 668</v>
      </c>
    </row>
    <row r="22">
      <c r="A22" s="2" t="str">
        <f>IFERROR(__xludf.DUMMYFUNCTION("""COMPUTED_VALUE"""),"Hommes seuls")</f>
        <v>Hommes seuls</v>
      </c>
      <c r="B22" s="2" t="str">
        <f>IFERROR(__xludf.DUMMYFUNCTION("""COMPUTED_VALUE"""),"96 305")</f>
        <v>96 305</v>
      </c>
      <c r="C22" s="2" t="str">
        <f>IFERROR(__xludf.DUMMYFUNCTION("""COMPUTED_VALUE"""),"14,7")</f>
        <v>14,7</v>
      </c>
      <c r="D22" s="2" t="str">
        <f>IFERROR(__xludf.DUMMYFUNCTION("""COMPUTED_VALUE"""),"111 169")</f>
        <v>111 169</v>
      </c>
      <c r="E22" s="2" t="str">
        <f>IFERROR(__xludf.DUMMYFUNCTION("""COMPUTED_VALUE"""),"15,5")</f>
        <v>15,5</v>
      </c>
      <c r="F22" s="2" t="str">
        <f>IFERROR(__xludf.DUMMYFUNCTION("""COMPUTED_VALUE"""),"133 768")</f>
        <v>133 768</v>
      </c>
      <c r="G22" s="2" t="str">
        <f>IFERROR(__xludf.DUMMYFUNCTION("""COMPUTED_VALUE"""),"17,0")</f>
        <v>17,0</v>
      </c>
      <c r="H22" s="2" t="str">
        <f>IFERROR(__xludf.DUMMYFUNCTION("""COMPUTED_VALUE"""),"96 305")</f>
        <v>96 305</v>
      </c>
      <c r="I22" s="2" t="str">
        <f>IFERROR(__xludf.DUMMYFUNCTION("""COMPUTED_VALUE"""),"111 169")</f>
        <v>111 169</v>
      </c>
      <c r="J22" s="2" t="str">
        <f>IFERROR(__xludf.DUMMYFUNCTION("""COMPUTED_VALUE"""),"133 768")</f>
        <v>133 768</v>
      </c>
    </row>
    <row r="23">
      <c r="A23" s="2" t="str">
        <f>IFERROR(__xludf.DUMMYFUNCTION("""COMPUTED_VALUE"""),"Femmes seules")</f>
        <v>Femmes seules</v>
      </c>
      <c r="B23" s="2" t="str">
        <f>IFERROR(__xludf.DUMMYFUNCTION("""COMPUTED_VALUE"""),"136 843")</f>
        <v>136 843</v>
      </c>
      <c r="C23" s="2" t="str">
        <f>IFERROR(__xludf.DUMMYFUNCTION("""COMPUTED_VALUE"""),"20,8")</f>
        <v>20,8</v>
      </c>
      <c r="D23" s="2" t="str">
        <f>IFERROR(__xludf.DUMMYFUNCTION("""COMPUTED_VALUE"""),"153 322")</f>
        <v>153 322</v>
      </c>
      <c r="E23" s="2" t="str">
        <f>IFERROR(__xludf.DUMMYFUNCTION("""COMPUTED_VALUE"""),"21,4")</f>
        <v>21,4</v>
      </c>
      <c r="F23" s="2" t="str">
        <f>IFERROR(__xludf.DUMMYFUNCTION("""COMPUTED_VALUE"""),"177 900")</f>
        <v>177 900</v>
      </c>
      <c r="G23" s="2" t="str">
        <f>IFERROR(__xludf.DUMMYFUNCTION("""COMPUTED_VALUE"""),"22,6")</f>
        <v>22,6</v>
      </c>
      <c r="H23" s="2" t="str">
        <f>IFERROR(__xludf.DUMMYFUNCTION("""COMPUTED_VALUE"""),"136 843")</f>
        <v>136 843</v>
      </c>
      <c r="I23" s="2" t="str">
        <f>IFERROR(__xludf.DUMMYFUNCTION("""COMPUTED_VALUE"""),"153 322")</f>
        <v>153 322</v>
      </c>
      <c r="J23" s="2" t="str">
        <f>IFERROR(__xludf.DUMMYFUNCTION("""COMPUTED_VALUE"""),"177 900")</f>
        <v>177 900</v>
      </c>
    </row>
    <row r="24">
      <c r="A24" s="2" t="str">
        <f>IFERROR(__xludf.DUMMYFUNCTION("""COMPUTED_VALUE"""),"Autres ménages sans famille")</f>
        <v>Autres ménages sans famille</v>
      </c>
      <c r="B24" s="2" t="str">
        <f>IFERROR(__xludf.DUMMYFUNCTION("""COMPUTED_VALUE"""),"20 799")</f>
        <v>20 799</v>
      </c>
      <c r="C24" s="2" t="str">
        <f>IFERROR(__xludf.DUMMYFUNCTION("""COMPUTED_VALUE"""),"3,2")</f>
        <v>3,2</v>
      </c>
      <c r="D24" s="2" t="str">
        <f>IFERROR(__xludf.DUMMYFUNCTION("""COMPUTED_VALUE"""),"20 181")</f>
        <v>20 181</v>
      </c>
      <c r="E24" s="2" t="str">
        <f>IFERROR(__xludf.DUMMYFUNCTION("""COMPUTED_VALUE"""),"2,8")</f>
        <v>2,8</v>
      </c>
      <c r="F24" s="2" t="str">
        <f>IFERROR(__xludf.DUMMYFUNCTION("""COMPUTED_VALUE"""),"16 681")</f>
        <v>16 681</v>
      </c>
      <c r="G24" s="2" t="str">
        <f>IFERROR(__xludf.DUMMYFUNCTION("""COMPUTED_VALUE"""),"2,1")</f>
        <v>2,1</v>
      </c>
      <c r="H24" s="2" t="str">
        <f>IFERROR(__xludf.DUMMYFUNCTION("""COMPUTED_VALUE"""),"47 489")</f>
        <v>47 489</v>
      </c>
      <c r="I24" s="2" t="str">
        <f>IFERROR(__xludf.DUMMYFUNCTION("""COMPUTED_VALUE"""),"46 458")</f>
        <v>46 458</v>
      </c>
      <c r="J24" s="2" t="str">
        <f>IFERROR(__xludf.DUMMYFUNCTION("""COMPUTED_VALUE"""),"36 943")</f>
        <v>36 943</v>
      </c>
    </row>
    <row r="25">
      <c r="A25" s="2" t="str">
        <f>IFERROR(__xludf.DUMMYFUNCTION("""COMPUTED_VALUE"""),"Ménages avec famille(s) dont la famille principale est :")</f>
        <v>Ménages avec famille(s) dont la famille principale est :</v>
      </c>
      <c r="B25" s="2" t="str">
        <f>IFERROR(__xludf.DUMMYFUNCTION("""COMPUTED_VALUE"""),"403 242")</f>
        <v>403 242</v>
      </c>
      <c r="C25" s="2" t="str">
        <f>IFERROR(__xludf.DUMMYFUNCTION("""COMPUTED_VALUE"""),"61,4")</f>
        <v>61,4</v>
      </c>
      <c r="D25" s="2" t="str">
        <f>IFERROR(__xludf.DUMMYFUNCTION("""COMPUTED_VALUE"""),"431 038")</f>
        <v>431 038</v>
      </c>
      <c r="E25" s="2" t="str">
        <f>IFERROR(__xludf.DUMMYFUNCTION("""COMPUTED_VALUE"""),"60,2")</f>
        <v>60,2</v>
      </c>
      <c r="F25" s="2" t="str">
        <f>IFERROR(__xludf.DUMMYFUNCTION("""COMPUTED_VALUE"""),"460 484")</f>
        <v>460 484</v>
      </c>
      <c r="G25" s="2" t="str">
        <f>IFERROR(__xludf.DUMMYFUNCTION("""COMPUTED_VALUE"""),"58,4")</f>
        <v>58,4</v>
      </c>
      <c r="H25" s="2" t="str">
        <f>IFERROR(__xludf.DUMMYFUNCTION("""COMPUTED_VALUE"""),"1 152 930")</f>
        <v>1 152 930</v>
      </c>
      <c r="I25" s="2" t="str">
        <f>IFERROR(__xludf.DUMMYFUNCTION("""COMPUTED_VALUE"""),"1 225 993")</f>
        <v>1 225 993</v>
      </c>
      <c r="J25" s="2" t="str">
        <f>IFERROR(__xludf.DUMMYFUNCTION("""COMPUTED_VALUE"""),"1 298 302")</f>
        <v>1 298 302</v>
      </c>
    </row>
    <row r="26">
      <c r="A26" s="2" t="str">
        <f>IFERROR(__xludf.DUMMYFUNCTION("""COMPUTED_VALUE"""),"Un couple sans enfant")</f>
        <v>Un couple sans enfant</v>
      </c>
      <c r="B26" s="2" t="str">
        <f>IFERROR(__xludf.DUMMYFUNCTION("""COMPUTED_VALUE"""),"176 774")</f>
        <v>176 774</v>
      </c>
      <c r="C26" s="2" t="str">
        <f>IFERROR(__xludf.DUMMYFUNCTION("""COMPUTED_VALUE"""),"26,9")</f>
        <v>26,9</v>
      </c>
      <c r="D26" s="2" t="str">
        <f>IFERROR(__xludf.DUMMYFUNCTION("""COMPUTED_VALUE"""),"186 454")</f>
        <v>186 454</v>
      </c>
      <c r="E26" s="2" t="str">
        <f>IFERROR(__xludf.DUMMYFUNCTION("""COMPUTED_VALUE"""),"26,1")</f>
        <v>26,1</v>
      </c>
      <c r="F26" s="2" t="str">
        <f>IFERROR(__xludf.DUMMYFUNCTION("""COMPUTED_VALUE"""),"201 193")</f>
        <v>201 193</v>
      </c>
      <c r="G26" s="2" t="str">
        <f>IFERROR(__xludf.DUMMYFUNCTION("""COMPUTED_VALUE"""),"25,5")</f>
        <v>25,5</v>
      </c>
      <c r="H26" s="2" t="str">
        <f>IFERROR(__xludf.DUMMYFUNCTION("""COMPUTED_VALUE"""),"363 792")</f>
        <v>363 792</v>
      </c>
      <c r="I26" s="2" t="str">
        <f>IFERROR(__xludf.DUMMYFUNCTION("""COMPUTED_VALUE"""),"381 847")</f>
        <v>381 847</v>
      </c>
      <c r="J26" s="2" t="str">
        <f>IFERROR(__xludf.DUMMYFUNCTION("""COMPUTED_VALUE"""),"410 690")</f>
        <v>410 690</v>
      </c>
    </row>
    <row r="27">
      <c r="A27" s="2" t="str">
        <f>IFERROR(__xludf.DUMMYFUNCTION("""COMPUTED_VALUE"""),"Un couple avec enfant(s)")</f>
        <v>Un couple avec enfant(s)</v>
      </c>
      <c r="B27" s="2" t="str">
        <f>IFERROR(__xludf.DUMMYFUNCTION("""COMPUTED_VALUE"""),"169 188")</f>
        <v>169 188</v>
      </c>
      <c r="C27" s="2" t="str">
        <f>IFERROR(__xludf.DUMMYFUNCTION("""COMPUTED_VALUE"""),"25,7")</f>
        <v>25,7</v>
      </c>
      <c r="D27" s="2" t="str">
        <f>IFERROR(__xludf.DUMMYFUNCTION("""COMPUTED_VALUE"""),"178 213")</f>
        <v>178 213</v>
      </c>
      <c r="E27" s="2" t="str">
        <f>IFERROR(__xludf.DUMMYFUNCTION("""COMPUTED_VALUE"""),"24,9")</f>
        <v>24,9</v>
      </c>
      <c r="F27" s="2" t="str">
        <f>IFERROR(__xludf.DUMMYFUNCTION("""COMPUTED_VALUE"""),"184 422")</f>
        <v>184 422</v>
      </c>
      <c r="G27" s="2" t="str">
        <f>IFERROR(__xludf.DUMMYFUNCTION("""COMPUTED_VALUE"""),"23,4")</f>
        <v>23,4</v>
      </c>
      <c r="H27" s="2" t="str">
        <f>IFERROR(__xludf.DUMMYFUNCTION("""COMPUTED_VALUE"""),"642 350")</f>
        <v>642 350</v>
      </c>
      <c r="I27" s="2" t="str">
        <f>IFERROR(__xludf.DUMMYFUNCTION("""COMPUTED_VALUE"""),"675 459")</f>
        <v>675 459</v>
      </c>
      <c r="J27" s="2" t="str">
        <f>IFERROR(__xludf.DUMMYFUNCTION("""COMPUTED_VALUE"""),"697 408")</f>
        <v>697 408</v>
      </c>
    </row>
    <row r="28">
      <c r="A28" s="2" t="str">
        <f>IFERROR(__xludf.DUMMYFUNCTION("""COMPUTED_VALUE"""),"Une famille monoparentale")</f>
        <v>Une famille monoparentale</v>
      </c>
      <c r="B28" s="2" t="str">
        <f>IFERROR(__xludf.DUMMYFUNCTION("""COMPUTED_VALUE"""),"57 281")</f>
        <v>57 281</v>
      </c>
      <c r="C28" s="2" t="str">
        <f>IFERROR(__xludf.DUMMYFUNCTION("""COMPUTED_VALUE"""),"8,7")</f>
        <v>8,7</v>
      </c>
      <c r="D28" s="2" t="str">
        <f>IFERROR(__xludf.DUMMYFUNCTION("""COMPUTED_VALUE"""),"66 371")</f>
        <v>66 371</v>
      </c>
      <c r="E28" s="2" t="str">
        <f>IFERROR(__xludf.DUMMYFUNCTION("""COMPUTED_VALUE"""),"9,3")</f>
        <v>9,3</v>
      </c>
      <c r="F28" s="2" t="str">
        <f>IFERROR(__xludf.DUMMYFUNCTION("""COMPUTED_VALUE"""),"74 869")</f>
        <v>74 869</v>
      </c>
      <c r="G28" s="2" t="str">
        <f>IFERROR(__xludf.DUMMYFUNCTION("""COMPUTED_VALUE"""),"9,5")</f>
        <v>9,5</v>
      </c>
      <c r="H28" s="2" t="str">
        <f>IFERROR(__xludf.DUMMYFUNCTION("""COMPUTED_VALUE"""),"146 788")</f>
        <v>146 788</v>
      </c>
      <c r="I28" s="2" t="str">
        <f>IFERROR(__xludf.DUMMYFUNCTION("""COMPUTED_VALUE"""),"168 686")</f>
        <v>168 686</v>
      </c>
      <c r="J28" s="2" t="str">
        <f>IFERROR(__xludf.DUMMYFUNCTION("""COMPUTED_VALUE"""),"190 204")</f>
        <v>190 204</v>
      </c>
    </row>
    <row r="35">
      <c r="A35" s="2" t="str">
        <f>IFERROR(__xludf.DUMMYFUNCTION("IMPORTHTML(""http://www.insee.fr/fr/statistiques/2011101?geo=DEP-33"",""table"")"),"Type de ménages")</f>
        <v>Type de ménages</v>
      </c>
      <c r="B35" s="2" t="str">
        <f>IFERROR(__xludf.DUMMYFUNCTION("""COMPUTED_VALUE"""),"Nombre de ménages")</f>
        <v>Nombre de ménages</v>
      </c>
      <c r="C35" s="2"/>
      <c r="D35" s="2"/>
      <c r="E35" s="2"/>
      <c r="F35" s="2"/>
      <c r="G35" s="2"/>
      <c r="H35" s="2" t="str">
        <f>IFERROR(__xludf.DUMMYFUNCTION("""COMPUTED_VALUE"""),"Population des ménages")</f>
        <v>Population des ménages</v>
      </c>
      <c r="I35" s="2"/>
      <c r="J35" s="2"/>
    </row>
    <row r="36">
      <c r="A36" s="2"/>
      <c r="B36" s="2">
        <f>IFERROR(__xludf.DUMMYFUNCTION("""COMPUTED_VALUE"""),2011.0)</f>
        <v>2011</v>
      </c>
      <c r="C36" s="2" t="str">
        <f>IFERROR(__xludf.DUMMYFUNCTION("""COMPUTED_VALUE"""),"%")</f>
        <v>%</v>
      </c>
      <c r="D36" s="2">
        <f>IFERROR(__xludf.DUMMYFUNCTION("""COMPUTED_VALUE"""),2016.0)</f>
        <v>2016</v>
      </c>
      <c r="E36" s="2" t="str">
        <f>IFERROR(__xludf.DUMMYFUNCTION("""COMPUTED_VALUE"""),"%")</f>
        <v>%</v>
      </c>
      <c r="F36" s="2">
        <f>IFERROR(__xludf.DUMMYFUNCTION("""COMPUTED_VALUE"""),2022.0)</f>
        <v>2022</v>
      </c>
      <c r="G36" s="2" t="str">
        <f>IFERROR(__xludf.DUMMYFUNCTION("""COMPUTED_VALUE"""),"%")</f>
        <v>%</v>
      </c>
      <c r="H36" s="2">
        <f>IFERROR(__xludf.DUMMYFUNCTION("""COMPUTED_VALUE"""),2011.0)</f>
        <v>2011</v>
      </c>
      <c r="I36" s="2">
        <f>IFERROR(__xludf.DUMMYFUNCTION("""COMPUTED_VALUE"""),2016.0)</f>
        <v>2016</v>
      </c>
      <c r="J36" s="2">
        <f>IFERROR(__xludf.DUMMYFUNCTION("""COMPUTED_VALUE"""),2022.0)</f>
        <v>2022</v>
      </c>
    </row>
    <row r="37">
      <c r="A37" s="2" t="str">
        <f>IFERROR(__xludf.DUMMYFUNCTION("""COMPUTED_VALUE"""),"Ensemble")</f>
        <v>Ensemble</v>
      </c>
      <c r="B37" s="2" t="str">
        <f>IFERROR(__xludf.DUMMYFUNCTION("""COMPUTED_VALUE"""),"657 189")</f>
        <v>657 189</v>
      </c>
      <c r="C37" s="2" t="str">
        <f>IFERROR(__xludf.DUMMYFUNCTION("""COMPUTED_VALUE"""),"100,0")</f>
        <v>100,0</v>
      </c>
      <c r="D37" s="2" t="str">
        <f>IFERROR(__xludf.DUMMYFUNCTION("""COMPUTED_VALUE"""),"715 710")</f>
        <v>715 710</v>
      </c>
      <c r="E37" s="2" t="str">
        <f>IFERROR(__xludf.DUMMYFUNCTION("""COMPUTED_VALUE"""),"100,0")</f>
        <v>100,0</v>
      </c>
      <c r="F37" s="2" t="str">
        <f>IFERROR(__xludf.DUMMYFUNCTION("""COMPUTED_VALUE"""),"788 832")</f>
        <v>788 832</v>
      </c>
      <c r="G37" s="2" t="str">
        <f>IFERROR(__xludf.DUMMYFUNCTION("""COMPUTED_VALUE"""),"100,0")</f>
        <v>100,0</v>
      </c>
      <c r="H37" s="2" t="str">
        <f>IFERROR(__xludf.DUMMYFUNCTION("""COMPUTED_VALUE"""),"1 433 566")</f>
        <v>1 433 566</v>
      </c>
      <c r="I37" s="2" t="str">
        <f>IFERROR(__xludf.DUMMYFUNCTION("""COMPUTED_VALUE"""),"1 536 942")</f>
        <v>1 536 942</v>
      </c>
      <c r="J37" s="2" t="str">
        <f>IFERROR(__xludf.DUMMYFUNCTION("""COMPUTED_VALUE"""),"1 646 913")</f>
        <v>1 646 913</v>
      </c>
    </row>
    <row r="38">
      <c r="A38" s="2" t="str">
        <f>IFERROR(__xludf.DUMMYFUNCTION("""COMPUTED_VALUE"""),"Ménages d'une personne")</f>
        <v>Ménages d'une personne</v>
      </c>
      <c r="B38" s="2" t="str">
        <f>IFERROR(__xludf.DUMMYFUNCTION("""COMPUTED_VALUE"""),"233 147")</f>
        <v>233 147</v>
      </c>
      <c r="C38" s="2" t="str">
        <f>IFERROR(__xludf.DUMMYFUNCTION("""COMPUTED_VALUE"""),"35,5")</f>
        <v>35,5</v>
      </c>
      <c r="D38" s="2" t="str">
        <f>IFERROR(__xludf.DUMMYFUNCTION("""COMPUTED_VALUE"""),"264 491")</f>
        <v>264 491</v>
      </c>
      <c r="E38" s="2" t="str">
        <f>IFERROR(__xludf.DUMMYFUNCTION("""COMPUTED_VALUE"""),"37,0")</f>
        <v>37,0</v>
      </c>
      <c r="F38" s="2" t="str">
        <f>IFERROR(__xludf.DUMMYFUNCTION("""COMPUTED_VALUE"""),"311 668")</f>
        <v>311 668</v>
      </c>
      <c r="G38" s="2" t="str">
        <f>IFERROR(__xludf.DUMMYFUNCTION("""COMPUTED_VALUE"""),"39,5")</f>
        <v>39,5</v>
      </c>
      <c r="H38" s="2" t="str">
        <f>IFERROR(__xludf.DUMMYFUNCTION("""COMPUTED_VALUE"""),"233 147")</f>
        <v>233 147</v>
      </c>
      <c r="I38" s="2" t="str">
        <f>IFERROR(__xludf.DUMMYFUNCTION("""COMPUTED_VALUE"""),"264 491")</f>
        <v>264 491</v>
      </c>
      <c r="J38" s="2" t="str">
        <f>IFERROR(__xludf.DUMMYFUNCTION("""COMPUTED_VALUE"""),"311 668")</f>
        <v>311 668</v>
      </c>
    </row>
    <row r="39">
      <c r="A39" s="2" t="str">
        <f>IFERROR(__xludf.DUMMYFUNCTION("""COMPUTED_VALUE"""),"Hommes seuls")</f>
        <v>Hommes seuls</v>
      </c>
      <c r="B39" s="2" t="str">
        <f>IFERROR(__xludf.DUMMYFUNCTION("""COMPUTED_VALUE"""),"96 305")</f>
        <v>96 305</v>
      </c>
      <c r="C39" s="2" t="str">
        <f>IFERROR(__xludf.DUMMYFUNCTION("""COMPUTED_VALUE"""),"14,7")</f>
        <v>14,7</v>
      </c>
      <c r="D39" s="2" t="str">
        <f>IFERROR(__xludf.DUMMYFUNCTION("""COMPUTED_VALUE"""),"111 169")</f>
        <v>111 169</v>
      </c>
      <c r="E39" s="2" t="str">
        <f>IFERROR(__xludf.DUMMYFUNCTION("""COMPUTED_VALUE"""),"15,5")</f>
        <v>15,5</v>
      </c>
      <c r="F39" s="2" t="str">
        <f>IFERROR(__xludf.DUMMYFUNCTION("""COMPUTED_VALUE"""),"133 768")</f>
        <v>133 768</v>
      </c>
      <c r="G39" s="2" t="str">
        <f>IFERROR(__xludf.DUMMYFUNCTION("""COMPUTED_VALUE"""),"17,0")</f>
        <v>17,0</v>
      </c>
      <c r="H39" s="2" t="str">
        <f>IFERROR(__xludf.DUMMYFUNCTION("""COMPUTED_VALUE"""),"96 305")</f>
        <v>96 305</v>
      </c>
      <c r="I39" s="2" t="str">
        <f>IFERROR(__xludf.DUMMYFUNCTION("""COMPUTED_VALUE"""),"111 169")</f>
        <v>111 169</v>
      </c>
      <c r="J39" s="2" t="str">
        <f>IFERROR(__xludf.DUMMYFUNCTION("""COMPUTED_VALUE"""),"133 768")</f>
        <v>133 768</v>
      </c>
    </row>
    <row r="40">
      <c r="A40" s="2" t="str">
        <f>IFERROR(__xludf.DUMMYFUNCTION("""COMPUTED_VALUE"""),"Femmes seules")</f>
        <v>Femmes seules</v>
      </c>
      <c r="B40" s="2" t="str">
        <f>IFERROR(__xludf.DUMMYFUNCTION("""COMPUTED_VALUE"""),"136 843")</f>
        <v>136 843</v>
      </c>
      <c r="C40" s="2" t="str">
        <f>IFERROR(__xludf.DUMMYFUNCTION("""COMPUTED_VALUE"""),"20,8")</f>
        <v>20,8</v>
      </c>
      <c r="D40" s="2" t="str">
        <f>IFERROR(__xludf.DUMMYFUNCTION("""COMPUTED_VALUE"""),"153 322")</f>
        <v>153 322</v>
      </c>
      <c r="E40" s="2" t="str">
        <f>IFERROR(__xludf.DUMMYFUNCTION("""COMPUTED_VALUE"""),"21,4")</f>
        <v>21,4</v>
      </c>
      <c r="F40" s="2" t="str">
        <f>IFERROR(__xludf.DUMMYFUNCTION("""COMPUTED_VALUE"""),"177 900")</f>
        <v>177 900</v>
      </c>
      <c r="G40" s="2" t="str">
        <f>IFERROR(__xludf.DUMMYFUNCTION("""COMPUTED_VALUE"""),"22,6")</f>
        <v>22,6</v>
      </c>
      <c r="H40" s="2" t="str">
        <f>IFERROR(__xludf.DUMMYFUNCTION("""COMPUTED_VALUE"""),"136 843")</f>
        <v>136 843</v>
      </c>
      <c r="I40" s="2" t="str">
        <f>IFERROR(__xludf.DUMMYFUNCTION("""COMPUTED_VALUE"""),"153 322")</f>
        <v>153 322</v>
      </c>
      <c r="J40" s="2" t="str">
        <f>IFERROR(__xludf.DUMMYFUNCTION("""COMPUTED_VALUE"""),"177 900")</f>
        <v>177 900</v>
      </c>
    </row>
    <row r="41">
      <c r="A41" s="2" t="str">
        <f>IFERROR(__xludf.DUMMYFUNCTION("""COMPUTED_VALUE"""),"Autres ménages sans famille")</f>
        <v>Autres ménages sans famille</v>
      </c>
      <c r="B41" s="2" t="str">
        <f>IFERROR(__xludf.DUMMYFUNCTION("""COMPUTED_VALUE"""),"20 799")</f>
        <v>20 799</v>
      </c>
      <c r="C41" s="2" t="str">
        <f>IFERROR(__xludf.DUMMYFUNCTION("""COMPUTED_VALUE"""),"3,2")</f>
        <v>3,2</v>
      </c>
      <c r="D41" s="2" t="str">
        <f>IFERROR(__xludf.DUMMYFUNCTION("""COMPUTED_VALUE"""),"20 181")</f>
        <v>20 181</v>
      </c>
      <c r="E41" s="2" t="str">
        <f>IFERROR(__xludf.DUMMYFUNCTION("""COMPUTED_VALUE"""),"2,8")</f>
        <v>2,8</v>
      </c>
      <c r="F41" s="2" t="str">
        <f>IFERROR(__xludf.DUMMYFUNCTION("""COMPUTED_VALUE"""),"16 681")</f>
        <v>16 681</v>
      </c>
      <c r="G41" s="2" t="str">
        <f>IFERROR(__xludf.DUMMYFUNCTION("""COMPUTED_VALUE"""),"2,1")</f>
        <v>2,1</v>
      </c>
      <c r="H41" s="2" t="str">
        <f>IFERROR(__xludf.DUMMYFUNCTION("""COMPUTED_VALUE"""),"47 489")</f>
        <v>47 489</v>
      </c>
      <c r="I41" s="2" t="str">
        <f>IFERROR(__xludf.DUMMYFUNCTION("""COMPUTED_VALUE"""),"46 458")</f>
        <v>46 458</v>
      </c>
      <c r="J41" s="2" t="str">
        <f>IFERROR(__xludf.DUMMYFUNCTION("""COMPUTED_VALUE"""),"36 943")</f>
        <v>36 943</v>
      </c>
    </row>
    <row r="42">
      <c r="A42" s="2" t="str">
        <f>IFERROR(__xludf.DUMMYFUNCTION("""COMPUTED_VALUE"""),"Ménages avec famille(s) dont la famille principale est :")</f>
        <v>Ménages avec famille(s) dont la famille principale est :</v>
      </c>
      <c r="B42" s="2" t="str">
        <f>IFERROR(__xludf.DUMMYFUNCTION("""COMPUTED_VALUE"""),"403 242")</f>
        <v>403 242</v>
      </c>
      <c r="C42" s="2" t="str">
        <f>IFERROR(__xludf.DUMMYFUNCTION("""COMPUTED_VALUE"""),"61,4")</f>
        <v>61,4</v>
      </c>
      <c r="D42" s="2" t="str">
        <f>IFERROR(__xludf.DUMMYFUNCTION("""COMPUTED_VALUE"""),"431 038")</f>
        <v>431 038</v>
      </c>
      <c r="E42" s="2" t="str">
        <f>IFERROR(__xludf.DUMMYFUNCTION("""COMPUTED_VALUE"""),"60,2")</f>
        <v>60,2</v>
      </c>
      <c r="F42" s="2" t="str">
        <f>IFERROR(__xludf.DUMMYFUNCTION("""COMPUTED_VALUE"""),"460 484")</f>
        <v>460 484</v>
      </c>
      <c r="G42" s="2" t="str">
        <f>IFERROR(__xludf.DUMMYFUNCTION("""COMPUTED_VALUE"""),"58,4")</f>
        <v>58,4</v>
      </c>
      <c r="H42" s="2" t="str">
        <f>IFERROR(__xludf.DUMMYFUNCTION("""COMPUTED_VALUE"""),"1 152 930")</f>
        <v>1 152 930</v>
      </c>
      <c r="I42" s="2" t="str">
        <f>IFERROR(__xludf.DUMMYFUNCTION("""COMPUTED_VALUE"""),"1 225 993")</f>
        <v>1 225 993</v>
      </c>
      <c r="J42" s="2" t="str">
        <f>IFERROR(__xludf.DUMMYFUNCTION("""COMPUTED_VALUE"""),"1 298 302")</f>
        <v>1 298 302</v>
      </c>
    </row>
    <row r="43">
      <c r="A43" s="2" t="str">
        <f>IFERROR(__xludf.DUMMYFUNCTION("""COMPUTED_VALUE"""),"Un couple sans enfant")</f>
        <v>Un couple sans enfant</v>
      </c>
      <c r="B43" s="2" t="str">
        <f>IFERROR(__xludf.DUMMYFUNCTION("""COMPUTED_VALUE"""),"176 774")</f>
        <v>176 774</v>
      </c>
      <c r="C43" s="2" t="str">
        <f>IFERROR(__xludf.DUMMYFUNCTION("""COMPUTED_VALUE"""),"26,9")</f>
        <v>26,9</v>
      </c>
      <c r="D43" s="2" t="str">
        <f>IFERROR(__xludf.DUMMYFUNCTION("""COMPUTED_VALUE"""),"186 454")</f>
        <v>186 454</v>
      </c>
      <c r="E43" s="2" t="str">
        <f>IFERROR(__xludf.DUMMYFUNCTION("""COMPUTED_VALUE"""),"26,1")</f>
        <v>26,1</v>
      </c>
      <c r="F43" s="2" t="str">
        <f>IFERROR(__xludf.DUMMYFUNCTION("""COMPUTED_VALUE"""),"201 193")</f>
        <v>201 193</v>
      </c>
      <c r="G43" s="2" t="str">
        <f>IFERROR(__xludf.DUMMYFUNCTION("""COMPUTED_VALUE"""),"25,5")</f>
        <v>25,5</v>
      </c>
      <c r="H43" s="2" t="str">
        <f>IFERROR(__xludf.DUMMYFUNCTION("""COMPUTED_VALUE"""),"363 792")</f>
        <v>363 792</v>
      </c>
      <c r="I43" s="2" t="str">
        <f>IFERROR(__xludf.DUMMYFUNCTION("""COMPUTED_VALUE"""),"381 847")</f>
        <v>381 847</v>
      </c>
      <c r="J43" s="2" t="str">
        <f>IFERROR(__xludf.DUMMYFUNCTION("""COMPUTED_VALUE"""),"410 690")</f>
        <v>410 690</v>
      </c>
    </row>
    <row r="44">
      <c r="A44" s="2" t="str">
        <f>IFERROR(__xludf.DUMMYFUNCTION("""COMPUTED_VALUE"""),"Un couple avec enfant(s)")</f>
        <v>Un couple avec enfant(s)</v>
      </c>
      <c r="B44" s="2" t="str">
        <f>IFERROR(__xludf.DUMMYFUNCTION("""COMPUTED_VALUE"""),"169 188")</f>
        <v>169 188</v>
      </c>
      <c r="C44" s="2" t="str">
        <f>IFERROR(__xludf.DUMMYFUNCTION("""COMPUTED_VALUE"""),"25,7")</f>
        <v>25,7</v>
      </c>
      <c r="D44" s="2" t="str">
        <f>IFERROR(__xludf.DUMMYFUNCTION("""COMPUTED_VALUE"""),"178 213")</f>
        <v>178 213</v>
      </c>
      <c r="E44" s="2" t="str">
        <f>IFERROR(__xludf.DUMMYFUNCTION("""COMPUTED_VALUE"""),"24,9")</f>
        <v>24,9</v>
      </c>
      <c r="F44" s="2" t="str">
        <f>IFERROR(__xludf.DUMMYFUNCTION("""COMPUTED_VALUE"""),"184 422")</f>
        <v>184 422</v>
      </c>
      <c r="G44" s="2" t="str">
        <f>IFERROR(__xludf.DUMMYFUNCTION("""COMPUTED_VALUE"""),"23,4")</f>
        <v>23,4</v>
      </c>
      <c r="H44" s="2" t="str">
        <f>IFERROR(__xludf.DUMMYFUNCTION("""COMPUTED_VALUE"""),"642 350")</f>
        <v>642 350</v>
      </c>
      <c r="I44" s="2" t="str">
        <f>IFERROR(__xludf.DUMMYFUNCTION("""COMPUTED_VALUE"""),"675 459")</f>
        <v>675 459</v>
      </c>
      <c r="J44" s="2" t="str">
        <f>IFERROR(__xludf.DUMMYFUNCTION("""COMPUTED_VALUE"""),"697 408")</f>
        <v>697 408</v>
      </c>
    </row>
    <row r="45">
      <c r="A45" s="2" t="str">
        <f>IFERROR(__xludf.DUMMYFUNCTION("""COMPUTED_VALUE"""),"Une famille monoparentale")</f>
        <v>Une famille monoparentale</v>
      </c>
      <c r="B45" s="2" t="str">
        <f>IFERROR(__xludf.DUMMYFUNCTION("""COMPUTED_VALUE"""),"57 281")</f>
        <v>57 281</v>
      </c>
      <c r="C45" s="2" t="str">
        <f>IFERROR(__xludf.DUMMYFUNCTION("""COMPUTED_VALUE"""),"8,7")</f>
        <v>8,7</v>
      </c>
      <c r="D45" s="2" t="str">
        <f>IFERROR(__xludf.DUMMYFUNCTION("""COMPUTED_VALUE"""),"66 371")</f>
        <v>66 371</v>
      </c>
      <c r="E45" s="2" t="str">
        <f>IFERROR(__xludf.DUMMYFUNCTION("""COMPUTED_VALUE"""),"9,3")</f>
        <v>9,3</v>
      </c>
      <c r="F45" s="2" t="str">
        <f>IFERROR(__xludf.DUMMYFUNCTION("""COMPUTED_VALUE"""),"74 869")</f>
        <v>74 869</v>
      </c>
      <c r="G45" s="2" t="str">
        <f>IFERROR(__xludf.DUMMYFUNCTION("""COMPUTED_VALUE"""),"9,5")</f>
        <v>9,5</v>
      </c>
      <c r="H45" s="2" t="str">
        <f>IFERROR(__xludf.DUMMYFUNCTION("""COMPUTED_VALUE"""),"146 788")</f>
        <v>146 788</v>
      </c>
      <c r="I45" s="2" t="str">
        <f>IFERROR(__xludf.DUMMYFUNCTION("""COMPUTED_VALUE"""),"168 686")</f>
        <v>168 686</v>
      </c>
      <c r="J45" s="2" t="str">
        <f>IFERROR(__xludf.DUMMYFUNCTION("""COMPUTED_VALUE"""),"190 204")</f>
        <v>190 204</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839</v>
      </c>
      <c r="B1" s="1">
        <v>1.0</v>
      </c>
      <c r="C1" s="2" t="str">
        <f t="shared" ref="C1:C7" si="1">B1&amp;"-"&amp;A1</f>
        <v>1-lundi</v>
      </c>
    </row>
    <row r="2">
      <c r="A2" s="1" t="s">
        <v>840</v>
      </c>
      <c r="B2" s="1">
        <v>2.0</v>
      </c>
      <c r="C2" s="2" t="str">
        <f t="shared" si="1"/>
        <v>2-mardi</v>
      </c>
    </row>
    <row r="3">
      <c r="A3" s="1" t="s">
        <v>841</v>
      </c>
      <c r="B3" s="1">
        <v>3.0</v>
      </c>
      <c r="C3" s="2" t="str">
        <f t="shared" si="1"/>
        <v>3-mercredi</v>
      </c>
      <c r="F3" s="1" t="s">
        <v>842</v>
      </c>
    </row>
    <row r="4">
      <c r="A4" s="1" t="s">
        <v>843</v>
      </c>
      <c r="B4" s="1">
        <v>4.0</v>
      </c>
      <c r="C4" s="2" t="str">
        <f t="shared" si="1"/>
        <v>4-jeudi</v>
      </c>
      <c r="F4" s="1" t="s">
        <v>844</v>
      </c>
    </row>
    <row r="5">
      <c r="A5" s="1" t="s">
        <v>845</v>
      </c>
      <c r="B5" s="1">
        <v>5.0</v>
      </c>
      <c r="C5" s="2" t="str">
        <f t="shared" si="1"/>
        <v>5-vendredi</v>
      </c>
      <c r="F5" s="1" t="s">
        <v>846</v>
      </c>
      <c r="I5" s="1" t="s">
        <v>847</v>
      </c>
    </row>
    <row r="6">
      <c r="A6" s="1" t="s">
        <v>848</v>
      </c>
      <c r="B6" s="1">
        <v>6.0</v>
      </c>
      <c r="C6" s="2" t="str">
        <f t="shared" si="1"/>
        <v>6-samedi</v>
      </c>
      <c r="F6" s="1" t="s">
        <v>849</v>
      </c>
    </row>
    <row r="7">
      <c r="A7" s="1" t="s">
        <v>850</v>
      </c>
      <c r="B7" s="1">
        <v>7.0</v>
      </c>
      <c r="C7" s="2" t="str">
        <f t="shared" si="1"/>
        <v>7-dimanche</v>
      </c>
      <c r="E7" s="1" t="s">
        <v>851</v>
      </c>
      <c r="I7" s="1" t="s">
        <v>852</v>
      </c>
    </row>
    <row r="8">
      <c r="E8" s="1" t="s">
        <v>853</v>
      </c>
      <c r="F8" s="1" t="s">
        <v>854</v>
      </c>
      <c r="I8" s="1" t="s">
        <v>855</v>
      </c>
    </row>
    <row r="9">
      <c r="E9" s="1" t="s">
        <v>856</v>
      </c>
      <c r="I9" s="1" t="s">
        <v>857</v>
      </c>
    </row>
    <row r="10">
      <c r="A10" s="1">
        <v>10.0</v>
      </c>
      <c r="B10" s="1">
        <v>1.0</v>
      </c>
      <c r="E10" s="1" t="s">
        <v>858</v>
      </c>
      <c r="I10" s="1" t="s">
        <v>859</v>
      </c>
    </row>
    <row r="11">
      <c r="A11" s="1">
        <v>20.0</v>
      </c>
      <c r="B11" s="1">
        <v>2.0</v>
      </c>
      <c r="E11" s="1" t="s">
        <v>860</v>
      </c>
    </row>
    <row r="12">
      <c r="A12" s="1">
        <v>30.0</v>
      </c>
      <c r="B12" s="1">
        <v>3.0</v>
      </c>
      <c r="E12" s="1" t="s">
        <v>861</v>
      </c>
    </row>
    <row r="13">
      <c r="A13" s="1">
        <v>40.0</v>
      </c>
      <c r="B13" s="1">
        <v>4.0</v>
      </c>
      <c r="E13" s="1"/>
      <c r="G13" s="1"/>
    </row>
    <row r="14">
      <c r="A14" s="1">
        <v>50.0</v>
      </c>
      <c r="B14" s="1">
        <v>5.0</v>
      </c>
      <c r="E14" s="1" t="s">
        <v>862</v>
      </c>
    </row>
    <row r="15">
      <c r="E15" s="1" t="s">
        <v>863</v>
      </c>
      <c r="H15" s="1" t="s">
        <v>864</v>
      </c>
    </row>
    <row r="16">
      <c r="E16" s="1" t="s">
        <v>865</v>
      </c>
    </row>
    <row r="17">
      <c r="A17" s="2" t="str">
        <f>IFERROR(__xludf.DUMMYFUNCTION("IMPORTHTML(""https://fr.wikipedia.org/wiki/Olympique_de_Marseille"",""table"",31)"),"#REF!")</f>
        <v>#REF!</v>
      </c>
      <c r="B17" s="2"/>
      <c r="C17" s="2"/>
      <c r="D17" s="2"/>
      <c r="E17" s="2"/>
      <c r="F17" s="2"/>
      <c r="G17" s="2"/>
      <c r="H17" s="2"/>
    </row>
    <row r="18">
      <c r="A18" s="2"/>
      <c r="B18" s="2"/>
      <c r="C18" s="2"/>
      <c r="D18" s="2"/>
      <c r="E18" s="2"/>
      <c r="F18" s="2"/>
      <c r="G18" s="2"/>
      <c r="H18" s="2"/>
    </row>
    <row r="19">
      <c r="A19" s="2"/>
      <c r="B19" s="2"/>
      <c r="C19" s="2"/>
      <c r="D19" s="2"/>
      <c r="E19" s="2"/>
      <c r="F19" s="2"/>
      <c r="G19" s="1" t="s">
        <v>866</v>
      </c>
    </row>
    <row r="27">
      <c r="A27" s="1"/>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tr">
        <f>IFERROR(__xludf.DUMMYFUNCTION("IMPORTHTML(""https://fr.wikipedia.org/wiki/Liste_des_capitales_du_monde_par_population"", ""table"",)"),"Rang")</f>
        <v>Rang</v>
      </c>
      <c r="B1" s="2" t="str">
        <f>IFERROR(__xludf.DUMMYFUNCTION("""COMPUTED_VALUE"""),"Continent")</f>
        <v>Continent</v>
      </c>
      <c r="C1" s="2" t="str">
        <f>IFERROR(__xludf.DUMMYFUNCTION("""COMPUTED_VALUE"""),"Pays/Territoire")</f>
        <v>Pays/Territoire</v>
      </c>
      <c r="D1" s="2" t="str">
        <f>IFERROR(__xludf.DUMMYFUNCTION("""COMPUTED_VALUE"""),"Capitale")</f>
        <v>Capitale</v>
      </c>
      <c r="E1" s="2" t="str">
        <f>IFERROR(__xludf.DUMMYFUNCTION("""COMPUTED_VALUE"""),"Population")</f>
        <v>Population</v>
      </c>
      <c r="F1" s="2" t="str">
        <f>IFERROR(__xludf.DUMMYFUNCTION("""COMPUTED_VALUE"""),"Année")</f>
        <v>Année</v>
      </c>
      <c r="G1" s="2" t="str">
        <f>IFERROR(__xludf.DUMMYFUNCTION("""COMPUTED_VALUE"""),"Source")</f>
        <v>Source</v>
      </c>
    </row>
    <row r="2">
      <c r="A2" s="2">
        <f>IFERROR(__xludf.DUMMYFUNCTION("""COMPUTED_VALUE"""),1.0)</f>
        <v>1</v>
      </c>
      <c r="B2" s="2" t="str">
        <f>IFERROR(__xludf.DUMMYFUNCTION("""COMPUTED_VALUE"""),"Asie")</f>
        <v>Asie</v>
      </c>
      <c r="C2" s="2" t="str">
        <f>IFERROR(__xludf.DUMMYFUNCTION("""COMPUTED_VALUE"""),"Chine")</f>
        <v>Chine</v>
      </c>
      <c r="D2" s="2" t="str">
        <f>IFERROR(__xludf.DUMMYFUNCTION("""COMPUTED_VALUE"""),"*Pékin*")</f>
        <v>*Pékin*</v>
      </c>
      <c r="E2" s="2" t="str">
        <f>IFERROR(__xludf.DUMMYFUNCTION("""COMPUTED_VALUE"""),"21 893 095")</f>
        <v>21 893 095</v>
      </c>
      <c r="F2" s="2">
        <f>IFERROR(__xludf.DUMMYFUNCTION("""COMPUTED_VALUE"""),2020.0)</f>
        <v>2020</v>
      </c>
      <c r="G2" s="1" t="str">
        <f>IFERROR(__xludf.DUMMYFUNCTION("""COMPUTED_VALUE"""),"[1]")</f>
        <v>[1]</v>
      </c>
    </row>
    <row r="3">
      <c r="A3" s="2">
        <f>IFERROR(__xludf.DUMMYFUNCTION("""COMPUTED_VALUE"""),2.0)</f>
        <v>2</v>
      </c>
      <c r="B3" s="2" t="str">
        <f>IFERROR(__xludf.DUMMYFUNCTION("""COMPUTED_VALUE"""),"Asie")</f>
        <v>Asie</v>
      </c>
      <c r="C3" s="2" t="str">
        <f>IFERROR(__xludf.DUMMYFUNCTION("""COMPUTED_VALUE"""),"Inde")</f>
        <v>Inde</v>
      </c>
      <c r="D3" s="2" t="str">
        <f>IFERROR(__xludf.DUMMYFUNCTION("""COMPUTED_VALUE"""),"*New Delhi*")</f>
        <v>*New Delhi*</v>
      </c>
      <c r="E3" s="2" t="str">
        <f>IFERROR(__xludf.DUMMYFUNCTION("""COMPUTED_VALUE"""),"16 787 983")</f>
        <v>16 787 983</v>
      </c>
      <c r="F3" s="2">
        <f>IFERROR(__xludf.DUMMYFUNCTION("""COMPUTED_VALUE"""),2011.0)</f>
        <v>2011</v>
      </c>
      <c r="G3" s="2" t="str">
        <f>IFERROR(__xludf.DUMMYFUNCTION("""COMPUTED_VALUE"""),"[2]")</f>
        <v>[2]</v>
      </c>
    </row>
    <row r="4">
      <c r="A4" s="2">
        <f>IFERROR(__xludf.DUMMYFUNCTION("""COMPUTED_VALUE"""),3.0)</f>
        <v>3</v>
      </c>
      <c r="B4" s="2" t="str">
        <f>IFERROR(__xludf.DUMMYFUNCTION("""COMPUTED_VALUE"""),"Asie")</f>
        <v>Asie</v>
      </c>
      <c r="C4" s="2" t="str">
        <f>IFERROR(__xludf.DUMMYFUNCTION("""COMPUTED_VALUE"""),"Japon")</f>
        <v>Japon</v>
      </c>
      <c r="D4" s="2" t="str">
        <f>IFERROR(__xludf.DUMMYFUNCTION("""COMPUTED_VALUE"""),"*Tokyo*")</f>
        <v>*Tokyo*</v>
      </c>
      <c r="E4" s="2" t="str">
        <f>IFERROR(__xludf.DUMMYFUNCTION("""COMPUTED_VALUE"""),"13 953 972")</f>
        <v>13 953 972</v>
      </c>
      <c r="F4" s="2">
        <f>IFERROR(__xludf.DUMMYFUNCTION("""COMPUTED_VALUE"""),2019.0)</f>
        <v>2019</v>
      </c>
      <c r="G4" s="2" t="str">
        <f>IFERROR(__xludf.DUMMYFUNCTION("""COMPUTED_VALUE"""),"[3]")</f>
        <v>[3]</v>
      </c>
    </row>
    <row r="5">
      <c r="A5" s="2">
        <f>IFERROR(__xludf.DUMMYFUNCTION("""COMPUTED_VALUE"""),4.0)</f>
        <v>4</v>
      </c>
      <c r="B5" s="2" t="str">
        <f>IFERROR(__xludf.DUMMYFUNCTION("""COMPUTED_VALUE"""),"Europe")</f>
        <v>Europe</v>
      </c>
      <c r="C5" s="2" t="str">
        <f>IFERROR(__xludf.DUMMYFUNCTION("""COMPUTED_VALUE"""),"Russie")</f>
        <v>Russie</v>
      </c>
      <c r="D5" s="2" t="str">
        <f>IFERROR(__xludf.DUMMYFUNCTION("""COMPUTED_VALUE"""),"*Moscou*")</f>
        <v>*Moscou*</v>
      </c>
      <c r="E5" s="2" t="str">
        <f>IFERROR(__xludf.DUMMYFUNCTION("""COMPUTED_VALUE"""),"13 104 112")</f>
        <v>13 104 112</v>
      </c>
      <c r="F5" s="2">
        <f>IFERROR(__xludf.DUMMYFUNCTION("""COMPUTED_VALUE"""),2021.0)</f>
        <v>2021</v>
      </c>
      <c r="G5" s="2" t="str">
        <f>IFERROR(__xludf.DUMMYFUNCTION("""COMPUTED_VALUE"""),"[4]")</f>
        <v>[4]</v>
      </c>
    </row>
    <row r="6">
      <c r="A6" s="2">
        <f>IFERROR(__xludf.DUMMYFUNCTION("""COMPUTED_VALUE"""),5.0)</f>
        <v>5</v>
      </c>
      <c r="B6" s="2" t="str">
        <f>IFERROR(__xludf.DUMMYFUNCTION("""COMPUTED_VALUE"""),"Asie")</f>
        <v>Asie</v>
      </c>
      <c r="C6" s="2" t="str">
        <f>IFERROR(__xludf.DUMMYFUNCTION("""COMPUTED_VALUE"""),"Indonésie")</f>
        <v>Indonésie</v>
      </c>
      <c r="D6" s="2" t="str">
        <f>IFERROR(__xludf.DUMMYFUNCTION("""COMPUTED_VALUE"""),"*Jakarta*")</f>
        <v>*Jakarta*</v>
      </c>
      <c r="E6" s="2" t="str">
        <f>IFERROR(__xludf.DUMMYFUNCTION("""COMPUTED_VALUE"""),"10 639 000")</f>
        <v>10 639 000</v>
      </c>
      <c r="F6" s="2">
        <f>IFERROR(__xludf.DUMMYFUNCTION("""COMPUTED_VALUE"""),2020.0)</f>
        <v>2020</v>
      </c>
      <c r="G6" s="2" t="str">
        <f>IFERROR(__xludf.DUMMYFUNCTION("""COMPUTED_VALUE"""),"[5]")</f>
        <v>[5]</v>
      </c>
    </row>
    <row r="7">
      <c r="A7" s="2">
        <f>IFERROR(__xludf.DUMMYFUNCTION("""COMPUTED_VALUE"""),6.0)</f>
        <v>6</v>
      </c>
      <c r="B7" s="2" t="str">
        <f>IFERROR(__xludf.DUMMYFUNCTION("""COMPUTED_VALUE"""),"Amérique")</f>
        <v>Amérique</v>
      </c>
      <c r="C7" s="2" t="str">
        <f>IFERROR(__xludf.DUMMYFUNCTION("""COMPUTED_VALUE"""),"Pérou")</f>
        <v>Pérou</v>
      </c>
      <c r="D7" s="2" t="str">
        <f>IFERROR(__xludf.DUMMYFUNCTION("""COMPUTED_VALUE"""),"*Lima*")</f>
        <v>*Lima*</v>
      </c>
      <c r="E7" s="2" t="str">
        <f>IFERROR(__xludf.DUMMYFUNCTION("""COMPUTED_VALUE"""),"10 628 470")</f>
        <v>10 628 470</v>
      </c>
      <c r="F7" s="2">
        <f>IFERROR(__xludf.DUMMYFUNCTION("""COMPUTED_VALUE"""),2020.0)</f>
        <v>2020</v>
      </c>
      <c r="G7" s="2" t="str">
        <f>IFERROR(__xludf.DUMMYFUNCTION("""COMPUTED_VALUE"""),"[6]")</f>
        <v>[6]</v>
      </c>
    </row>
    <row r="8">
      <c r="A8" s="2">
        <f>IFERROR(__xludf.DUMMYFUNCTION("""COMPUTED_VALUE"""),7.0)</f>
        <v>7</v>
      </c>
      <c r="B8" s="2" t="str">
        <f>IFERROR(__xludf.DUMMYFUNCTION("""COMPUTED_VALUE"""),"Asie")</f>
        <v>Asie</v>
      </c>
      <c r="C8" s="2" t="str">
        <f>IFERROR(__xludf.DUMMYFUNCTION("""COMPUTED_VALUE"""),"Corée du Sud")</f>
        <v>Corée du Sud</v>
      </c>
      <c r="D8" s="2" t="str">
        <f>IFERROR(__xludf.DUMMYFUNCTION("""COMPUTED_VALUE"""),"*Séoul*")</f>
        <v>*Séoul*</v>
      </c>
      <c r="E8" s="2" t="str">
        <f>IFERROR(__xludf.DUMMYFUNCTION("""COMPUTED_VALUE"""),"9 985 652")</f>
        <v>9 985 652</v>
      </c>
      <c r="F8" s="2">
        <f>IFERROR(__xludf.DUMMYFUNCTION("""COMPUTED_VALUE"""),2020.0)</f>
        <v>2020</v>
      </c>
      <c r="G8" s="2" t="str">
        <f>IFERROR(__xludf.DUMMYFUNCTION("""COMPUTED_VALUE"""),"[7]")</f>
        <v>[7]</v>
      </c>
    </row>
    <row r="9">
      <c r="A9" s="2">
        <f>IFERROR(__xludf.DUMMYFUNCTION("""COMPUTED_VALUE"""),8.0)</f>
        <v>8</v>
      </c>
      <c r="B9" s="2" t="str">
        <f>IFERROR(__xludf.DUMMYFUNCTION("""COMPUTED_VALUE"""),"Europe")</f>
        <v>Europe</v>
      </c>
      <c r="C9" s="2" t="str">
        <f>IFERROR(__xludf.DUMMYFUNCTION("""COMPUTED_VALUE"""),"Royaume-Uni")</f>
        <v>Royaume-Uni</v>
      </c>
      <c r="D9" s="2" t="str">
        <f>IFERROR(__xludf.DUMMYFUNCTION("""COMPUTED_VALUE"""),"*Londres*")</f>
        <v>*Londres*</v>
      </c>
      <c r="E9" s="2" t="str">
        <f>IFERROR(__xludf.DUMMYFUNCTION("""COMPUTED_VALUE"""),"9 721 000")</f>
        <v>9 721 000</v>
      </c>
      <c r="F9" s="2">
        <f>IFERROR(__xludf.DUMMYFUNCTION("""COMPUTED_VALUE"""),2020.0)</f>
        <v>2020</v>
      </c>
      <c r="G9" s="2" t="str">
        <f>IFERROR(__xludf.DUMMYFUNCTION("""COMPUTED_VALUE"""),"[8]")</f>
        <v>[8]</v>
      </c>
    </row>
    <row r="10">
      <c r="A10" s="2">
        <f>IFERROR(__xludf.DUMMYFUNCTION("""COMPUTED_VALUE"""),9.0)</f>
        <v>9</v>
      </c>
      <c r="B10" s="2" t="str">
        <f>IFERROR(__xludf.DUMMYFUNCTION("""COMPUTED_VALUE"""),"Afrique")</f>
        <v>Afrique</v>
      </c>
      <c r="C10" s="2" t="str">
        <f>IFERROR(__xludf.DUMMYFUNCTION("""COMPUTED_VALUE"""),"Égypte")</f>
        <v>Égypte</v>
      </c>
      <c r="D10" s="2" t="str">
        <f>IFERROR(__xludf.DUMMYFUNCTION("""COMPUTED_VALUE"""),"*Le Caire*")</f>
        <v>*Le Caire*</v>
      </c>
      <c r="E10" s="2" t="str">
        <f>IFERROR(__xludf.DUMMYFUNCTION("""COMPUTED_VALUE"""),"10 248 385")</f>
        <v>10 248 385</v>
      </c>
      <c r="F10" s="2">
        <f>IFERROR(__xludf.DUMMYFUNCTION("""COMPUTED_VALUE"""),2023.0)</f>
        <v>2023</v>
      </c>
      <c r="G10" s="2"/>
    </row>
    <row r="11">
      <c r="A11" s="2">
        <f>IFERROR(__xludf.DUMMYFUNCTION("""COMPUTED_VALUE"""),10.0)</f>
        <v>10</v>
      </c>
      <c r="B11" s="2" t="str">
        <f>IFERROR(__xludf.DUMMYFUNCTION("""COMPUTED_VALUE"""),"Amérique")</f>
        <v>Amérique</v>
      </c>
      <c r="C11" s="2" t="str">
        <f>IFERROR(__xludf.DUMMYFUNCTION("""COMPUTED_VALUE"""),"Mexique")</f>
        <v>Mexique</v>
      </c>
      <c r="D11" s="2" t="str">
        <f>IFERROR(__xludf.DUMMYFUNCTION("""COMPUTED_VALUE"""),"*Mexico*")</f>
        <v>*Mexico*</v>
      </c>
      <c r="E11" s="2" t="str">
        <f>IFERROR(__xludf.DUMMYFUNCTION("""COMPUTED_VALUE"""),"9 209 944")</f>
        <v>9 209 944</v>
      </c>
      <c r="F11" s="2">
        <f>IFERROR(__xludf.DUMMYFUNCTION("""COMPUTED_VALUE"""),2020.0)</f>
        <v>2020</v>
      </c>
      <c r="G11" s="2" t="str">
        <f>IFERROR(__xludf.DUMMYFUNCTION("""COMPUTED_VALUE"""),"[9]")</f>
        <v>[9]</v>
      </c>
    </row>
    <row r="12">
      <c r="A12" s="2">
        <f>IFERROR(__xludf.DUMMYFUNCTION("""COMPUTED_VALUE"""),11.0)</f>
        <v>11</v>
      </c>
      <c r="B12" s="2" t="str">
        <f>IFERROR(__xludf.DUMMYFUNCTION("""COMPUTED_VALUE"""),"Asie")</f>
        <v>Asie</v>
      </c>
      <c r="C12" s="2" t="str">
        <f>IFERROR(__xludf.DUMMYFUNCTION("""COMPUTED_VALUE"""),"Bangladesh")</f>
        <v>Bangladesh</v>
      </c>
      <c r="D12" s="2" t="str">
        <f>IFERROR(__xludf.DUMMYFUNCTION("""COMPUTED_VALUE"""),"*Dacca*")</f>
        <v>*Dacca*</v>
      </c>
      <c r="E12" s="2" t="str">
        <f>IFERROR(__xludf.DUMMYFUNCTION("""COMPUTED_VALUE"""),"8 906 000")</f>
        <v>8 906 000</v>
      </c>
      <c r="F12" s="2">
        <f>IFERROR(__xludf.DUMMYFUNCTION("""COMPUTED_VALUE"""),2011.0)</f>
        <v>2011</v>
      </c>
      <c r="G12" s="2" t="str">
        <f>IFERROR(__xludf.DUMMYFUNCTION("""COMPUTED_VALUE"""),"[10]")</f>
        <v>[10]</v>
      </c>
    </row>
    <row r="13">
      <c r="A13" s="2">
        <f>IFERROR(__xludf.DUMMYFUNCTION("""COMPUTED_VALUE"""),12.0)</f>
        <v>12</v>
      </c>
      <c r="B13" s="2" t="str">
        <f>IFERROR(__xludf.DUMMYFUNCTION("""COMPUTED_VALUE"""),"Asie")</f>
        <v>Asie</v>
      </c>
      <c r="C13" s="2" t="str">
        <f>IFERROR(__xludf.DUMMYFUNCTION("""COMPUTED_VALUE"""),"Iran")</f>
        <v>Iran</v>
      </c>
      <c r="D13" s="2" t="str">
        <f>IFERROR(__xludf.DUMMYFUNCTION("""COMPUTED_VALUE"""),"*Téhéran*")</f>
        <v>*Téhéran*</v>
      </c>
      <c r="E13" s="2" t="str">
        <f>IFERROR(__xludf.DUMMYFUNCTION("""COMPUTED_VALUE"""),"8 693 706")</f>
        <v>8 693 706</v>
      </c>
      <c r="F13" s="2">
        <f>IFERROR(__xludf.DUMMYFUNCTION("""COMPUTED_VALUE"""),2016.0)</f>
        <v>2016</v>
      </c>
      <c r="G13" s="2"/>
    </row>
    <row r="14">
      <c r="A14" s="2">
        <f>IFERROR(__xludf.DUMMYFUNCTION("""COMPUTED_VALUE"""),13.0)</f>
        <v>13</v>
      </c>
      <c r="B14" s="2" t="str">
        <f>IFERROR(__xludf.DUMMYFUNCTION("""COMPUTED_VALUE"""),"Asie")</f>
        <v>Asie</v>
      </c>
      <c r="C14" s="2" t="str">
        <f>IFERROR(__xludf.DUMMYFUNCTION("""COMPUTED_VALUE"""),"Thaïlande")</f>
        <v>Thaïlande</v>
      </c>
      <c r="D14" s="2" t="str">
        <f>IFERROR(__xludf.DUMMYFUNCTION("""COMPUTED_VALUE"""),"*Bangkok*")</f>
        <v>*Bangkok*</v>
      </c>
      <c r="E14" s="2" t="str">
        <f>IFERROR(__xludf.DUMMYFUNCTION("""COMPUTED_VALUE"""),"8 249 117")</f>
        <v>8 249 117</v>
      </c>
      <c r="F14" s="2">
        <f>IFERROR(__xludf.DUMMYFUNCTION("""COMPUTED_VALUE"""),2010.0)</f>
        <v>2010</v>
      </c>
      <c r="G14" s="2" t="str">
        <f>IFERROR(__xludf.DUMMYFUNCTION("""COMPUTED_VALUE"""),"[11]")</f>
        <v>[11]</v>
      </c>
    </row>
    <row r="15">
      <c r="A15" s="2">
        <f>IFERROR(__xludf.DUMMYFUNCTION("""COMPUTED_VALUE"""),14.0)</f>
        <v>14</v>
      </c>
      <c r="B15" s="2" t="str">
        <f>IFERROR(__xludf.DUMMYFUNCTION("""COMPUTED_VALUE"""),"Amérique")</f>
        <v>Amérique</v>
      </c>
      <c r="C15" s="2" t="str">
        <f>IFERROR(__xludf.DUMMYFUNCTION("""COMPUTED_VALUE"""),"Colombie")</f>
        <v>Colombie</v>
      </c>
      <c r="D15" s="2" t="str">
        <f>IFERROR(__xludf.DUMMYFUNCTION("""COMPUTED_VALUE"""),"*Bogota*")</f>
        <v>*Bogota*</v>
      </c>
      <c r="E15" s="2" t="str">
        <f>IFERROR(__xludf.DUMMYFUNCTION("""COMPUTED_VALUE"""),"7 613 303")</f>
        <v>7 613 303</v>
      </c>
      <c r="F15" s="2">
        <f>IFERROR(__xludf.DUMMYFUNCTION("""COMPUTED_VALUE"""),2011.0)</f>
        <v>2011</v>
      </c>
      <c r="G15" s="2" t="str">
        <f>IFERROR(__xludf.DUMMYFUNCTION("""COMPUTED_VALUE"""),"[12]")</f>
        <v>[12]</v>
      </c>
    </row>
    <row r="16">
      <c r="A16" s="2">
        <f>IFERROR(__xludf.DUMMYFUNCTION("""COMPUTED_VALUE"""),15.0)</f>
        <v>15</v>
      </c>
      <c r="B16" s="2" t="str">
        <f>IFERROR(__xludf.DUMMYFUNCTION("""COMPUTED_VALUE"""),"Asie")</f>
        <v>Asie</v>
      </c>
      <c r="C16" s="2" t="str">
        <f>IFERROR(__xludf.DUMMYFUNCTION("""COMPUTED_VALUE"""),"Iraq")</f>
        <v>Iraq</v>
      </c>
      <c r="D16" s="2" t="str">
        <f>IFERROR(__xludf.DUMMYFUNCTION("""COMPUTED_VALUE"""),"*Bagdad*")</f>
        <v>*Bagdad*</v>
      </c>
      <c r="E16" s="2" t="str">
        <f>IFERROR(__xludf.DUMMYFUNCTION("""COMPUTED_VALUE"""),"8 126 755")</f>
        <v>8 126 755</v>
      </c>
      <c r="F16" s="2">
        <f>IFERROR(__xludf.DUMMYFUNCTION("""COMPUTED_VALUE"""),2018.0)</f>
        <v>2018</v>
      </c>
      <c r="G16" s="2" t="str">
        <f>IFERROR(__xludf.DUMMYFUNCTION("""COMPUTED_VALUE"""),"[13]")</f>
        <v>[13]</v>
      </c>
    </row>
    <row r="17">
      <c r="A17" s="2">
        <f>IFERROR(__xludf.DUMMYFUNCTION("""COMPUTED_VALUE"""),16.0)</f>
        <v>16</v>
      </c>
      <c r="B17" s="2" t="str">
        <f>IFERROR(__xludf.DUMMYFUNCTION("""COMPUTED_VALUE"""),"Asie")</f>
        <v>Asie</v>
      </c>
      <c r="C17" s="2" t="str">
        <f>IFERROR(__xludf.DUMMYFUNCTION("""COMPUTED_VALUE"""),"Singapour")</f>
        <v>Singapour</v>
      </c>
      <c r="D17" s="2" t="str">
        <f>IFERROR(__xludf.DUMMYFUNCTION("""COMPUTED_VALUE"""),"*Singapour*")</f>
        <v>*Singapour*</v>
      </c>
      <c r="E17" s="2" t="str">
        <f>IFERROR(__xludf.DUMMYFUNCTION("""COMPUTED_VALUE"""),"5 685 000")</f>
        <v>5 685 000</v>
      </c>
      <c r="F17" s="2">
        <f>IFERROR(__xludf.DUMMYFUNCTION("""COMPUTED_VALUE"""),2020.0)</f>
        <v>2020</v>
      </c>
      <c r="G17" s="2" t="str">
        <f>IFERROR(__xludf.DUMMYFUNCTION("""COMPUTED_VALUE"""),"[14]")</f>
        <v>[14]</v>
      </c>
    </row>
    <row r="18">
      <c r="A18" s="2">
        <f>IFERROR(__xludf.DUMMYFUNCTION("""COMPUTED_VALUE"""),17.0)</f>
        <v>17</v>
      </c>
      <c r="B18" s="2" t="str">
        <f>IFERROR(__xludf.DUMMYFUNCTION("""COMPUTED_VALUE"""),"Asie")</f>
        <v>Asie</v>
      </c>
      <c r="C18" s="2" t="str">
        <f>IFERROR(__xludf.DUMMYFUNCTION("""COMPUTED_VALUE"""),"Turquie")</f>
        <v>Turquie</v>
      </c>
      <c r="D18" s="2" t="str">
        <f>IFERROR(__xludf.DUMMYFUNCTION("""COMPUTED_VALUE"""),"*Ankara*")</f>
        <v>*Ankara*</v>
      </c>
      <c r="E18" s="2" t="str">
        <f>IFERROR(__xludf.DUMMYFUNCTION("""COMPUTED_VALUE"""),"5 504 000")</f>
        <v>5 504 000</v>
      </c>
      <c r="F18" s="2">
        <f>IFERROR(__xludf.DUMMYFUNCTION("""COMPUTED_VALUE"""),2019.0)</f>
        <v>2019</v>
      </c>
      <c r="G18" s="2"/>
    </row>
    <row r="19">
      <c r="A19" s="2">
        <f>IFERROR(__xludf.DUMMYFUNCTION("""COMPUTED_VALUE"""),18.0)</f>
        <v>18</v>
      </c>
      <c r="B19" s="2" t="str">
        <f>IFERROR(__xludf.DUMMYFUNCTION("""COMPUTED_VALUE"""),"Amérique")</f>
        <v>Amérique</v>
      </c>
      <c r="C19" s="2" t="str">
        <f>IFERROR(__xludf.DUMMYFUNCTION("""COMPUTED_VALUE"""),"Chili")</f>
        <v>Chili</v>
      </c>
      <c r="D19" s="2" t="str">
        <f>IFERROR(__xludf.DUMMYFUNCTION("""COMPUTED_VALUE"""),"*Santiago*")</f>
        <v>*Santiago*</v>
      </c>
      <c r="E19" s="2" t="str">
        <f>IFERROR(__xludf.DUMMYFUNCTION("""COMPUTED_VALUE"""),"5 084 038")</f>
        <v>5 084 038</v>
      </c>
      <c r="F19" s="2">
        <f>IFERROR(__xludf.DUMMYFUNCTION("""COMPUTED_VALUE"""),2012.0)</f>
        <v>2012</v>
      </c>
      <c r="G19" s="2" t="str">
        <f>IFERROR(__xludf.DUMMYFUNCTION("""COMPUTED_VALUE"""),"[15]")</f>
        <v>[15]</v>
      </c>
    </row>
    <row r="20">
      <c r="A20" s="2">
        <f>IFERROR(__xludf.DUMMYFUNCTION("""COMPUTED_VALUE"""),19.0)</f>
        <v>19</v>
      </c>
      <c r="B20" s="2" t="str">
        <f>IFERROR(__xludf.DUMMYFUNCTION("""COMPUTED_VALUE"""),"Asie")</f>
        <v>Asie</v>
      </c>
      <c r="C20" s="2" t="str">
        <f>IFERROR(__xludf.DUMMYFUNCTION("""COMPUTED_VALUE"""),"Arabie saoudite")</f>
        <v>Arabie saoudite</v>
      </c>
      <c r="D20" s="2" t="str">
        <f>IFERROR(__xludf.DUMMYFUNCTION("""COMPUTED_VALUE"""),"*Riyad*")</f>
        <v>*Riyad*</v>
      </c>
      <c r="E20" s="2" t="str">
        <f>IFERROR(__xludf.DUMMYFUNCTION("""COMPUTED_VALUE"""),"4 878 723")</f>
        <v>4 878 723</v>
      </c>
      <c r="F20" s="2">
        <f>IFERROR(__xludf.DUMMYFUNCTION("""COMPUTED_VALUE"""),2009.0)</f>
        <v>2009</v>
      </c>
      <c r="G20" s="2" t="str">
        <f>IFERROR(__xludf.DUMMYFUNCTION("""COMPUTED_VALUE"""),"[16]")</f>
        <v>[16]</v>
      </c>
    </row>
    <row r="21">
      <c r="A21" s="2">
        <f>IFERROR(__xludf.DUMMYFUNCTION("""COMPUTED_VALUE"""),20.0)</f>
        <v>20</v>
      </c>
      <c r="B21" s="2" t="str">
        <f>IFERROR(__xludf.DUMMYFUNCTION("""COMPUTED_VALUE"""),"Asie")</f>
        <v>Asie</v>
      </c>
      <c r="C21" s="2" t="str">
        <f>IFERROR(__xludf.DUMMYFUNCTION("""COMPUTED_VALUE"""),"Afghanistan")</f>
        <v>Afghanistan</v>
      </c>
      <c r="D21" s="2" t="str">
        <f>IFERROR(__xludf.DUMMYFUNCTION("""COMPUTED_VALUE"""),"*Kaboul*")</f>
        <v>*Kaboul*</v>
      </c>
      <c r="E21" s="2" t="str">
        <f>IFERROR(__xludf.DUMMYFUNCTION("""COMPUTED_VALUE"""),"4 435 000")</f>
        <v>4 435 000</v>
      </c>
      <c r="F21" s="2">
        <f>IFERROR(__xludf.DUMMYFUNCTION("""COMPUTED_VALUE"""),2020.0)</f>
        <v>2020</v>
      </c>
      <c r="G21" s="2"/>
    </row>
    <row r="22">
      <c r="A22" s="2">
        <f>IFERROR(__xludf.DUMMYFUNCTION("""COMPUTED_VALUE"""),21.0)</f>
        <v>21</v>
      </c>
      <c r="B22" s="2" t="str">
        <f>IFERROR(__xludf.DUMMYFUNCTION("""COMPUTED_VALUE"""),"Afrique")</f>
        <v>Afrique</v>
      </c>
      <c r="C22" s="2" t="str">
        <f>IFERROR(__xludf.DUMMYFUNCTION("""COMPUTED_VALUE"""),"Kenya")</f>
        <v>Kenya</v>
      </c>
      <c r="D22" s="2" t="str">
        <f>IFERROR(__xludf.DUMMYFUNCTION("""COMPUTED_VALUE"""),"*Nairobi*")</f>
        <v>*Nairobi*</v>
      </c>
      <c r="E22" s="2" t="str">
        <f>IFERROR(__xludf.DUMMYFUNCTION("""COMPUTED_VALUE"""),"4 397 000")</f>
        <v>4 397 000</v>
      </c>
      <c r="F22" s="2">
        <f>IFERROR(__xludf.DUMMYFUNCTION("""COMPUTED_VALUE"""),2019.0)</f>
        <v>2019</v>
      </c>
      <c r="G22" s="2"/>
    </row>
    <row r="23">
      <c r="A23" s="2">
        <f>IFERROR(__xludf.DUMMYFUNCTION("""COMPUTED_VALUE"""),22.0)</f>
        <v>22</v>
      </c>
      <c r="B23" s="2" t="str">
        <f>IFERROR(__xludf.DUMMYFUNCTION("""COMPUTED_VALUE"""),"Afrique")</f>
        <v>Afrique</v>
      </c>
      <c r="C23" s="2" t="str">
        <f>IFERROR(__xludf.DUMMYFUNCTION("""COMPUTED_VALUE"""),"Algérie")</f>
        <v>Algérie</v>
      </c>
      <c r="D23" s="2" t="str">
        <f>IFERROR(__xludf.DUMMYFUNCTION("""COMPUTED_VALUE"""),"*Alger*")</f>
        <v>*Alger*</v>
      </c>
      <c r="E23" s="2" t="str">
        <f>IFERROR(__xludf.DUMMYFUNCTION("""COMPUTED_VALUE"""),"3 916 000")</f>
        <v>3 916 000</v>
      </c>
      <c r="F23" s="2">
        <f>IFERROR(__xludf.DUMMYFUNCTION("""COMPUTED_VALUE"""),2011.0)</f>
        <v>2011</v>
      </c>
      <c r="G23" s="2"/>
    </row>
    <row r="24">
      <c r="A24" s="2">
        <f>IFERROR(__xludf.DUMMYFUNCTION("""COMPUTED_VALUE"""),23.0)</f>
        <v>23</v>
      </c>
      <c r="B24" s="2" t="str">
        <f>IFERROR(__xludf.DUMMYFUNCTION("""COMPUTED_VALUE"""),"Europe")</f>
        <v>Europe</v>
      </c>
      <c r="C24" s="2" t="str">
        <f>IFERROR(__xludf.DUMMYFUNCTION("""COMPUTED_VALUE"""),"Allemagne")</f>
        <v>Allemagne</v>
      </c>
      <c r="D24" s="2" t="str">
        <f>IFERROR(__xludf.DUMMYFUNCTION("""COMPUTED_VALUE"""),"*Berlin*")</f>
        <v>*Berlin*</v>
      </c>
      <c r="E24" s="2" t="str">
        <f>IFERROR(__xludf.DUMMYFUNCTION("""COMPUTED_VALUE"""),"3 669 000")</f>
        <v>3 669 000</v>
      </c>
      <c r="F24" s="2">
        <f>IFERROR(__xludf.DUMMYFUNCTION("""COMPUTED_VALUE"""),2020.0)</f>
        <v>2020</v>
      </c>
      <c r="G24" s="2" t="str">
        <f>IFERROR(__xludf.DUMMYFUNCTION("""COMPUTED_VALUE"""),"[17]")</f>
        <v>[17]</v>
      </c>
    </row>
    <row r="25">
      <c r="A25" s="2">
        <f>IFERROR(__xludf.DUMMYFUNCTION("""COMPUTED_VALUE"""),24.0)</f>
        <v>24</v>
      </c>
      <c r="B25" s="2" t="str">
        <f>IFERROR(__xludf.DUMMYFUNCTION("""COMPUTED_VALUE"""),"Asie")</f>
        <v>Asie</v>
      </c>
      <c r="C25" s="2" t="str">
        <f>IFERROR(__xludf.DUMMYFUNCTION("""COMPUTED_VALUE"""),"Viêt Nam")</f>
        <v>Viêt Nam</v>
      </c>
      <c r="D25" s="2" t="str">
        <f>IFERROR(__xludf.DUMMYFUNCTION("""COMPUTED_VALUE"""),"*Hanoï*")</f>
        <v>*Hanoï*</v>
      </c>
      <c r="E25" s="2" t="str">
        <f>IFERROR(__xludf.DUMMYFUNCTION("""COMPUTED_VALUE"""),"8 435 700")</f>
        <v>8 435 700</v>
      </c>
      <c r="F25" s="2">
        <f>IFERROR(__xludf.DUMMYFUNCTION("""COMPUTED_VALUE"""),2022.0)</f>
        <v>2022</v>
      </c>
      <c r="G25" s="2" t="str">
        <f>IFERROR(__xludf.DUMMYFUNCTION("""COMPUTED_VALUE"""),"[18]")</f>
        <v>[18]</v>
      </c>
    </row>
    <row r="26">
      <c r="A26" s="2">
        <f>IFERROR(__xludf.DUMMYFUNCTION("""COMPUTED_VALUE"""),25.0)</f>
        <v>25</v>
      </c>
      <c r="B26" s="2" t="str">
        <f>IFERROR(__xludf.DUMMYFUNCTION("""COMPUTED_VALUE"""),"Afrique")</f>
        <v>Afrique</v>
      </c>
      <c r="C26" s="2" t="str">
        <f>IFERROR(__xludf.DUMMYFUNCTION("""COMPUTED_VALUE"""),"Madagascar")</f>
        <v>Madagascar</v>
      </c>
      <c r="D26" s="2" t="str">
        <f>IFERROR(__xludf.DUMMYFUNCTION("""COMPUTED_VALUE"""),"*Antananarivo*")</f>
        <v>*Antananarivo*</v>
      </c>
      <c r="E26" s="2" t="str">
        <f>IFERROR(__xludf.DUMMYFUNCTION("""COMPUTED_VALUE"""),"3 369 000")</f>
        <v>3 369 000</v>
      </c>
      <c r="F26" s="2">
        <f>IFERROR(__xludf.DUMMYFUNCTION("""COMPUTED_VALUE"""),2020.0)</f>
        <v>2020</v>
      </c>
      <c r="G26" s="2" t="str">
        <f>IFERROR(__xludf.DUMMYFUNCTION("""COMPUTED_VALUE"""),"[19]")</f>
        <v>[19]</v>
      </c>
    </row>
    <row r="27">
      <c r="A27" s="2">
        <f>IFERROR(__xludf.DUMMYFUNCTION("""COMPUTED_VALUE"""),26.0)</f>
        <v>26</v>
      </c>
      <c r="B27" s="2" t="str">
        <f>IFERROR(__xludf.DUMMYFUNCTION("""COMPUTED_VALUE"""),"Europe")</f>
        <v>Europe</v>
      </c>
      <c r="C27" s="2" t="str">
        <f>IFERROR(__xludf.DUMMYFUNCTION("""COMPUTED_VALUE"""),"Espagne")</f>
        <v>Espagne</v>
      </c>
      <c r="D27" s="2" t="str">
        <f>IFERROR(__xludf.DUMMYFUNCTION("""COMPUTED_VALUE"""),"*Madrid*")</f>
        <v>*Madrid*</v>
      </c>
      <c r="E27" s="2" t="str">
        <f>IFERROR(__xludf.DUMMYFUNCTION("""COMPUTED_VALUE"""),"3 334 720")</f>
        <v>3 334 720</v>
      </c>
      <c r="F27" s="2">
        <f>IFERROR(__xludf.DUMMYFUNCTION("""COMPUTED_VALUE"""),2020.0)</f>
        <v>2020</v>
      </c>
      <c r="G27" s="2" t="str">
        <f>IFERROR(__xludf.DUMMYFUNCTION("""COMPUTED_VALUE"""),"[20]")</f>
        <v>[20]</v>
      </c>
    </row>
    <row r="28">
      <c r="A28" s="2">
        <f>IFERROR(__xludf.DUMMYFUNCTION("""COMPUTED_VALUE"""),27.0)</f>
        <v>27</v>
      </c>
      <c r="B28" s="2" t="str">
        <f>IFERROR(__xludf.DUMMYFUNCTION("""COMPUTED_VALUE"""),"Afrique")</f>
        <v>Afrique</v>
      </c>
      <c r="C28" s="2" t="str">
        <f>IFERROR(__xludf.DUMMYFUNCTION("""COMPUTED_VALUE"""),"Éthiopie")</f>
        <v>Éthiopie</v>
      </c>
      <c r="D28" s="2" t="str">
        <f>IFERROR(__xludf.DUMMYFUNCTION("""COMPUTED_VALUE"""),"*Addis-Abeba*")</f>
        <v>*Addis-Abeba*</v>
      </c>
      <c r="E28" s="2" t="str">
        <f>IFERROR(__xludf.DUMMYFUNCTION("""COMPUTED_VALUE"""),"3 103 999")</f>
        <v>3 103 999</v>
      </c>
      <c r="F28" s="2">
        <f>IFERROR(__xludf.DUMMYFUNCTION("""COMPUTED_VALUE"""),2013.0)</f>
        <v>2013</v>
      </c>
      <c r="G28" s="2" t="str">
        <f>IFERROR(__xludf.DUMMYFUNCTION("""COMPUTED_VALUE"""),"[21]")</f>
        <v>[21]</v>
      </c>
    </row>
    <row r="29">
      <c r="A29" s="2">
        <f>IFERROR(__xludf.DUMMYFUNCTION("""COMPUTED_VALUE"""),28.0)</f>
        <v>28</v>
      </c>
      <c r="B29" s="2" t="str">
        <f>IFERROR(__xludf.DUMMYFUNCTION("""COMPUTED_VALUE"""),"Amérique")</f>
        <v>Amérique</v>
      </c>
      <c r="C29" s="2" t="str">
        <f>IFERROR(__xludf.DUMMYFUNCTION("""COMPUTED_VALUE"""),"Argentine")</f>
        <v>Argentine</v>
      </c>
      <c r="D29" s="2" t="str">
        <f>IFERROR(__xludf.DUMMYFUNCTION("""COMPUTED_VALUE"""),"*Buenos Aires*")</f>
        <v>*Buenos Aires*</v>
      </c>
      <c r="E29" s="2" t="str">
        <f>IFERROR(__xludf.DUMMYFUNCTION("""COMPUTED_VALUE"""),"2 891 082")</f>
        <v>2 891 082</v>
      </c>
      <c r="F29" s="2">
        <f>IFERROR(__xludf.DUMMYFUNCTION("""COMPUTED_VALUE"""),2010.0)</f>
        <v>2010</v>
      </c>
      <c r="G29" s="2" t="str">
        <f>IFERROR(__xludf.DUMMYFUNCTION("""COMPUTED_VALUE"""),"[22]")</f>
        <v>[22]</v>
      </c>
    </row>
    <row r="30">
      <c r="A30" s="2">
        <f>IFERROR(__xludf.DUMMYFUNCTION("""COMPUTED_VALUE"""),29.0)</f>
        <v>29</v>
      </c>
      <c r="B30" s="2" t="str">
        <f>IFERROR(__xludf.DUMMYFUNCTION("""COMPUTED_VALUE"""),"Asie")</f>
        <v>Asie</v>
      </c>
      <c r="C30" s="2" t="str">
        <f>IFERROR(__xludf.DUMMYFUNCTION("""COMPUTED_VALUE"""),"Corée du Nord")</f>
        <v>Corée du Nord</v>
      </c>
      <c r="D30" s="2" t="str">
        <f>IFERROR(__xludf.DUMMYFUNCTION("""COMPUTED_VALUE"""),"*Pyongyang*")</f>
        <v>*Pyongyang*</v>
      </c>
      <c r="E30" s="2" t="str">
        <f>IFERROR(__xludf.DUMMYFUNCTION("""COMPUTED_VALUE"""),"2 870 000")</f>
        <v>2 870 000</v>
      </c>
      <c r="F30" s="2">
        <f>IFERROR(__xludf.DUMMYFUNCTION("""COMPUTED_VALUE"""),2016.0)</f>
        <v>2016</v>
      </c>
      <c r="G30" s="2"/>
    </row>
    <row r="31">
      <c r="A31" s="2">
        <f>IFERROR(__xludf.DUMMYFUNCTION("""COMPUTED_VALUE"""),30.0)</f>
        <v>30</v>
      </c>
      <c r="B31" s="2" t="str">
        <f>IFERROR(__xludf.DUMMYFUNCTION("""COMPUTED_VALUE"""),"Europe")</f>
        <v>Europe</v>
      </c>
      <c r="C31" s="2" t="str">
        <f>IFERROR(__xludf.DUMMYFUNCTION("""COMPUTED_VALUE"""),"Ukraine")</f>
        <v>Ukraine</v>
      </c>
      <c r="D31" s="2" t="str">
        <f>IFERROR(__xludf.DUMMYFUNCTION("""COMPUTED_VALUE"""),"*Kiev*")</f>
        <v>*Kiev*</v>
      </c>
      <c r="E31" s="2" t="str">
        <f>IFERROR(__xludf.DUMMYFUNCTION("""COMPUTED_VALUE"""),"2 919 831")</f>
        <v>2 919 831</v>
      </c>
      <c r="F31" s="2">
        <f>IFERROR(__xludf.DUMMYFUNCTION("""COMPUTED_VALUE"""),2021.0)</f>
        <v>2021</v>
      </c>
      <c r="G31" s="2" t="str">
        <f>IFERROR(__xludf.DUMMYFUNCTION("""COMPUTED_VALUE"""),"[23]")</f>
        <v>[23]</v>
      </c>
    </row>
    <row r="32">
      <c r="A32" s="2">
        <f>IFERROR(__xludf.DUMMYFUNCTION("""COMPUTED_VALUE"""),31.0)</f>
        <v>31</v>
      </c>
      <c r="B32" s="2" t="str">
        <f>IFERROR(__xludf.DUMMYFUNCTION("""COMPUTED_VALUE"""),"Europe")</f>
        <v>Europe</v>
      </c>
      <c r="C32" s="2" t="str">
        <f>IFERROR(__xludf.DUMMYFUNCTION("""COMPUTED_VALUE"""),"Italie")</f>
        <v>Italie</v>
      </c>
      <c r="D32" s="2" t="str">
        <f>IFERROR(__xludf.DUMMYFUNCTION("""COMPUTED_VALUE"""),"*Rome*")</f>
        <v>*Rome*</v>
      </c>
      <c r="E32" s="2" t="str">
        <f>IFERROR(__xludf.DUMMYFUNCTION("""COMPUTED_VALUE"""),"2 808 293")</f>
        <v>2 808 293</v>
      </c>
      <c r="F32" s="2">
        <f>IFERROR(__xludf.DUMMYFUNCTION("""COMPUTED_VALUE"""),2020.0)</f>
        <v>2020</v>
      </c>
      <c r="G32" s="2" t="str">
        <f>IFERROR(__xludf.DUMMYFUNCTION("""COMPUTED_VALUE"""),"[24]")</f>
        <v>[24]</v>
      </c>
    </row>
    <row r="33">
      <c r="A33" s="2">
        <f>IFERROR(__xludf.DUMMYFUNCTION("""COMPUTED_VALUE"""),32.0)</f>
        <v>32</v>
      </c>
      <c r="B33" s="2" t="str">
        <f>IFERROR(__xludf.DUMMYFUNCTION("""COMPUTED_VALUE"""),"Amérique")</f>
        <v>Amérique</v>
      </c>
      <c r="C33" s="2" t="str">
        <f>IFERROR(__xludf.DUMMYFUNCTION("""COMPUTED_VALUE"""),"Brésil")</f>
        <v>Brésil</v>
      </c>
      <c r="D33" s="2" t="str">
        <f>IFERROR(__xludf.DUMMYFUNCTION("""COMPUTED_VALUE"""),"*Brasília*")</f>
        <v>*Brasília*</v>
      </c>
      <c r="E33" s="2" t="str">
        <f>IFERROR(__xludf.DUMMYFUNCTION("""COMPUTED_VALUE"""),"2 648 532")</f>
        <v>2 648 532</v>
      </c>
      <c r="F33" s="2">
        <f>IFERROR(__xludf.DUMMYFUNCTION("""COMPUTED_VALUE"""),2012.0)</f>
        <v>2012</v>
      </c>
      <c r="G33" s="2" t="str">
        <f>IFERROR(__xludf.DUMMYFUNCTION("""COMPUTED_VALUE"""),"[25]")</f>
        <v>[25]</v>
      </c>
    </row>
    <row r="34">
      <c r="A34" s="2">
        <f>IFERROR(__xludf.DUMMYFUNCTION("""COMPUTED_VALUE"""),33.0)</f>
        <v>33</v>
      </c>
      <c r="B34" s="2" t="str">
        <f>IFERROR(__xludf.DUMMYFUNCTION("""COMPUTED_VALUE"""),"Asie")</f>
        <v>Asie</v>
      </c>
      <c r="C34" s="2" t="str">
        <f>IFERROR(__xludf.DUMMYFUNCTION("""COMPUTED_VALUE"""),"Taïwan")</f>
        <v>Taïwan</v>
      </c>
      <c r="D34" s="2" t="str">
        <f>IFERROR(__xludf.DUMMYFUNCTION("""COMPUTED_VALUE"""),"*Taipei*")</f>
        <v>*Taipei*</v>
      </c>
      <c r="E34" s="2" t="str">
        <f>IFERROR(__xludf.DUMMYFUNCTION("""COMPUTED_VALUE"""),"2 646 000")</f>
        <v>2 646 000</v>
      </c>
      <c r="F34" s="2">
        <f>IFERROR(__xludf.DUMMYFUNCTION("""COMPUTED_VALUE"""),2019.0)</f>
        <v>2019</v>
      </c>
      <c r="G34" s="2"/>
    </row>
    <row r="35">
      <c r="A35" s="2">
        <f>IFERROR(__xludf.DUMMYFUNCTION("""COMPUTED_VALUE"""),34.0)</f>
        <v>34</v>
      </c>
      <c r="B35" s="2" t="str">
        <f>IFERROR(__xludf.DUMMYFUNCTION("""COMPUTED_VALUE"""),"Afrique")</f>
        <v>Afrique</v>
      </c>
      <c r="C35" s="2" t="str">
        <f>IFERROR(__xludf.DUMMYFUNCTION("""COMPUTED_VALUE"""),"Angola")</f>
        <v>Angola</v>
      </c>
      <c r="D35" s="2" t="str">
        <f>IFERROR(__xludf.DUMMYFUNCTION("""COMPUTED_VALUE"""),"*Luanda*")</f>
        <v>*Luanda*</v>
      </c>
      <c r="E35" s="2" t="str">
        <f>IFERROR(__xludf.DUMMYFUNCTION("""COMPUTED_VALUE"""),"2 572 000")</f>
        <v>2 572 000</v>
      </c>
      <c r="F35" s="2">
        <f>IFERROR(__xludf.DUMMYFUNCTION("""COMPUTED_VALUE"""),2020.0)</f>
        <v>2020</v>
      </c>
      <c r="G35" s="2"/>
    </row>
    <row r="36">
      <c r="A36" s="2">
        <f>IFERROR(__xludf.DUMMYFUNCTION("""COMPUTED_VALUE"""),35.0)</f>
        <v>35</v>
      </c>
      <c r="B36" s="2" t="str">
        <f>IFERROR(__xludf.DUMMYFUNCTION("""COMPUTED_VALUE"""),"Asie")</f>
        <v>Asie</v>
      </c>
      <c r="C36" s="2" t="str">
        <f>IFERROR(__xludf.DUMMYFUNCTION("""COMPUTED_VALUE"""),"Yémen")</f>
        <v>Yémen</v>
      </c>
      <c r="D36" s="2" t="str">
        <f>IFERROR(__xludf.DUMMYFUNCTION("""COMPUTED_VALUE"""),"*Sanaa*")</f>
        <v>*Sanaa*</v>
      </c>
      <c r="E36" s="2" t="str">
        <f>IFERROR(__xludf.DUMMYFUNCTION("""COMPUTED_VALUE"""),"2 545 000")</f>
        <v>2 545 000</v>
      </c>
      <c r="F36" s="2">
        <f>IFERROR(__xludf.DUMMYFUNCTION("""COMPUTED_VALUE"""),2017.0)</f>
        <v>2017</v>
      </c>
      <c r="G36" s="2"/>
    </row>
    <row r="37">
      <c r="A37" s="2">
        <f>IFERROR(__xludf.DUMMYFUNCTION("""COMPUTED_VALUE"""),36.0)</f>
        <v>36</v>
      </c>
      <c r="B37" s="2" t="str">
        <f>IFERROR(__xludf.DUMMYFUNCTION("""COMPUTED_VALUE"""),"Asie")</f>
        <v>Asie</v>
      </c>
      <c r="C37" s="2" t="str">
        <f>IFERROR(__xludf.DUMMYFUNCTION("""COMPUTED_VALUE"""),"Ouzbékistan")</f>
        <v>Ouzbékistan</v>
      </c>
      <c r="D37" s="2" t="str">
        <f>IFERROR(__xludf.DUMMYFUNCTION("""COMPUTED_VALUE"""),"*Tachkent*")</f>
        <v>*Tachkent*</v>
      </c>
      <c r="E37" s="2" t="str">
        <f>IFERROR(__xludf.DUMMYFUNCTION("""COMPUTED_VALUE"""),"2 956 384")</f>
        <v>2 956 384</v>
      </c>
      <c r="F37" s="2">
        <f>IFERROR(__xludf.DUMMYFUNCTION("""COMPUTED_VALUE"""),2023.0)</f>
        <v>2023</v>
      </c>
      <c r="G37" s="2"/>
    </row>
    <row r="38">
      <c r="A38" s="2">
        <f>IFERROR(__xludf.DUMMYFUNCTION("""COMPUTED_VALUE"""),37.0)</f>
        <v>37</v>
      </c>
      <c r="B38" s="2" t="str">
        <f>IFERROR(__xludf.DUMMYFUNCTION("""COMPUTED_VALUE"""),"Afrique")</f>
        <v>Afrique</v>
      </c>
      <c r="C38" s="2" t="str">
        <f>IFERROR(__xludf.DUMMYFUNCTION("""COMPUTED_VALUE"""),"République démocratique du Congo")</f>
        <v>République démocratique du Congo</v>
      </c>
      <c r="D38" s="2" t="str">
        <f>IFERROR(__xludf.DUMMYFUNCTION("""COMPUTED_VALUE"""),"*Kinshasa*")</f>
        <v>*Kinshasa*</v>
      </c>
      <c r="E38" s="2" t="str">
        <f>IFERROR(__xludf.DUMMYFUNCTION("""COMPUTED_VALUE"""),"2 204 773")</f>
        <v>2 204 773</v>
      </c>
      <c r="F38" s="2">
        <f>IFERROR(__xludf.DUMMYFUNCTION("""COMPUTED_VALUE"""),2020.0)</f>
        <v>2020</v>
      </c>
      <c r="G38" s="2" t="str">
        <f>IFERROR(__xludf.DUMMYFUNCTION("""COMPUTED_VALUE"""),"[26]")</f>
        <v>[26]</v>
      </c>
    </row>
    <row r="39">
      <c r="A39" s="2">
        <f>IFERROR(__xludf.DUMMYFUNCTION("""COMPUTED_VALUE"""),38.0)</f>
        <v>38</v>
      </c>
      <c r="B39" s="2" t="str">
        <f>IFERROR(__xludf.DUMMYFUNCTION("""COMPUTED_VALUE"""),"Asie")</f>
        <v>Asie</v>
      </c>
      <c r="C39" s="2" t="str">
        <f>IFERROR(__xludf.DUMMYFUNCTION("""COMPUTED_VALUE"""),"Azerbaïdjan")</f>
        <v>Azerbaïdjan</v>
      </c>
      <c r="D39" s="2" t="str">
        <f>IFERROR(__xludf.DUMMYFUNCTION("""COMPUTED_VALUE"""),"*Bakou*")</f>
        <v>*Bakou*</v>
      </c>
      <c r="E39" s="2" t="str">
        <f>IFERROR(__xludf.DUMMYFUNCTION("""COMPUTED_VALUE"""),"2 204 200")</f>
        <v>2 204 200</v>
      </c>
      <c r="F39" s="2">
        <f>IFERROR(__xludf.DUMMYFUNCTION("""COMPUTED_VALUE"""),2015.0)</f>
        <v>2015</v>
      </c>
      <c r="G39" s="2" t="str">
        <f>IFERROR(__xludf.DUMMYFUNCTION("""COMPUTED_VALUE"""),"[27]")</f>
        <v>[27]</v>
      </c>
    </row>
    <row r="40">
      <c r="A40" s="2">
        <f>IFERROR(__xludf.DUMMYFUNCTION("""COMPUTED_VALUE"""),39.0)</f>
        <v>39</v>
      </c>
      <c r="B40" s="2" t="str">
        <f>IFERROR(__xludf.DUMMYFUNCTION("""COMPUTED_VALUE"""),"Asie")</f>
        <v>Asie</v>
      </c>
      <c r="C40" s="2" t="str">
        <f>IFERROR(__xludf.DUMMYFUNCTION("""COMPUTED_VALUE"""),"Jordanie")</f>
        <v>Jordanie</v>
      </c>
      <c r="D40" s="2" t="str">
        <f>IFERROR(__xludf.DUMMYFUNCTION("""COMPUTED_VALUE"""),"*Amman*")</f>
        <v>*Amman*</v>
      </c>
      <c r="E40" s="2" t="str">
        <f>IFERROR(__xludf.DUMMYFUNCTION("""COMPUTED_VALUE"""),"2 182 000")</f>
        <v>2 182 000</v>
      </c>
      <c r="F40" s="2">
        <f>IFERROR(__xludf.DUMMYFUNCTION("""COMPUTED_VALUE"""),2021.0)</f>
        <v>2021</v>
      </c>
      <c r="G40" s="2"/>
    </row>
    <row r="41">
      <c r="A41" s="2">
        <f>IFERROR(__xludf.DUMMYFUNCTION("""COMPUTED_VALUE"""),40.0)</f>
        <v>40</v>
      </c>
      <c r="B41" s="2" t="str">
        <f>IFERROR(__xludf.DUMMYFUNCTION("""COMPUTED_VALUE"""),"Amérique")</f>
        <v>Amérique</v>
      </c>
      <c r="C41" s="2" t="str">
        <f>IFERROR(__xludf.DUMMYFUNCTION("""COMPUTED_VALUE"""),"Cuba")</f>
        <v>Cuba</v>
      </c>
      <c r="D41" s="2" t="str">
        <f>IFERROR(__xludf.DUMMYFUNCTION("""COMPUTED_VALUE"""),"*La Havane*")</f>
        <v>*La Havane*</v>
      </c>
      <c r="E41" s="2" t="str">
        <f>IFERROR(__xludf.DUMMYFUNCTION("""COMPUTED_VALUE"""),"2 135 498")</f>
        <v>2 135 498</v>
      </c>
      <c r="F41" s="2">
        <f>IFERROR(__xludf.DUMMYFUNCTION("""COMPUTED_VALUE"""),2010.0)</f>
        <v>2010</v>
      </c>
      <c r="G41" s="2" t="str">
        <f>IFERROR(__xludf.DUMMYFUNCTION("""COMPUTED_VALUE"""),"[28]")</f>
        <v>[28]</v>
      </c>
    </row>
    <row r="42">
      <c r="A42" s="2">
        <f>IFERROR(__xludf.DUMMYFUNCTION("""COMPUTED_VALUE"""),41.0)</f>
        <v>41</v>
      </c>
      <c r="B42" s="2" t="str">
        <f>IFERROR(__xludf.DUMMYFUNCTION("""COMPUTED_VALUE"""),"Europe")</f>
        <v>Europe</v>
      </c>
      <c r="C42" s="2" t="str">
        <f>IFERROR(__xludf.DUMMYFUNCTION("""COMPUTED_VALUE"""),"France")</f>
        <v>France</v>
      </c>
      <c r="D42" s="2" t="str">
        <f>IFERROR(__xludf.DUMMYFUNCTION("""COMPUTED_VALUE"""),"*Paris*")</f>
        <v>*Paris*</v>
      </c>
      <c r="E42" s="2" t="str">
        <f>IFERROR(__xludf.DUMMYFUNCTION("""COMPUTED_VALUE"""),"2 113 705")</f>
        <v>2 113 705</v>
      </c>
      <c r="F42" s="2">
        <f>IFERROR(__xludf.DUMMYFUNCTION("""COMPUTED_VALUE"""),2022.0)</f>
        <v>2022</v>
      </c>
      <c r="G42" s="2" t="str">
        <f>IFERROR(__xludf.DUMMYFUNCTION("""COMPUTED_VALUE"""),"[29]")</f>
        <v>[29]</v>
      </c>
    </row>
    <row r="43">
      <c r="A43" s="2">
        <f>IFERROR(__xludf.DUMMYFUNCTION("""COMPUTED_VALUE"""),42.0)</f>
        <v>42</v>
      </c>
      <c r="B43" s="2" t="str">
        <f>IFERROR(__xludf.DUMMYFUNCTION("""COMPUTED_VALUE"""),"Asie")</f>
        <v>Asie</v>
      </c>
      <c r="C43" s="2" t="str">
        <f>IFERROR(__xludf.DUMMYFUNCTION("""COMPUTED_VALUE"""),"Cambodge")</f>
        <v>Cambodge</v>
      </c>
      <c r="D43" s="2" t="str">
        <f>IFERROR(__xludf.DUMMYFUNCTION("""COMPUTED_VALUE"""),"*Phnom Penh*")</f>
        <v>*Phnom Penh*</v>
      </c>
      <c r="E43" s="2" t="str">
        <f>IFERROR(__xludf.DUMMYFUNCTION("""COMPUTED_VALUE"""),"2 282 000")</f>
        <v>2 282 000</v>
      </c>
      <c r="F43" s="2">
        <f>IFERROR(__xludf.DUMMYFUNCTION("""COMPUTED_VALUE"""),2019.0)</f>
        <v>2019</v>
      </c>
      <c r="G43" s="2"/>
    </row>
    <row r="44">
      <c r="A44" s="2">
        <f>IFERROR(__xludf.DUMMYFUNCTION("""COMPUTED_VALUE"""),43.0)</f>
        <v>43</v>
      </c>
      <c r="B44" s="2" t="str">
        <f>IFERROR(__xludf.DUMMYFUNCTION("""COMPUTED_VALUE"""),"Amérique")</f>
        <v>Amérique</v>
      </c>
      <c r="C44" s="2" t="str">
        <f>IFERROR(__xludf.DUMMYFUNCTION("""COMPUTED_VALUE"""),"Venezuela")</f>
        <v>Venezuela</v>
      </c>
      <c r="D44" s="2" t="str">
        <f>IFERROR(__xludf.DUMMYFUNCTION("""COMPUTED_VALUE"""),"*Caracas*")</f>
        <v>*Caracas*</v>
      </c>
      <c r="E44" s="2" t="str">
        <f>IFERROR(__xludf.DUMMYFUNCTION("""COMPUTED_VALUE"""),"2 087 700")</f>
        <v>2 087 700</v>
      </c>
      <c r="F44" s="2">
        <f>IFERROR(__xludf.DUMMYFUNCTION("""COMPUTED_VALUE"""),2019.0)</f>
        <v>2019</v>
      </c>
      <c r="G44" s="2"/>
    </row>
    <row r="45">
      <c r="A45" s="2">
        <f>IFERROR(__xludf.DUMMYFUNCTION("""COMPUTED_VALUE"""),44.0)</f>
        <v>44</v>
      </c>
      <c r="B45" s="2" t="str">
        <f>IFERROR(__xludf.DUMMYFUNCTION("""COMPUTED_VALUE"""),"Asie")</f>
        <v>Asie</v>
      </c>
      <c r="C45" s="2" t="str">
        <f>IFERROR(__xludf.DUMMYFUNCTION("""COMPUTED_VALUE"""),"Syrie")</f>
        <v>Syrie</v>
      </c>
      <c r="D45" s="2" t="str">
        <f>IFERROR(__xludf.DUMMYFUNCTION("""COMPUTED_VALUE"""),"*Damas*")</f>
        <v>*Damas*</v>
      </c>
      <c r="E45" s="2" t="str">
        <f>IFERROR(__xludf.DUMMYFUNCTION("""COMPUTED_VALUE"""),"2 079 000")</f>
        <v>2 079 000</v>
      </c>
      <c r="F45" s="2">
        <f>IFERROR(__xludf.DUMMYFUNCTION("""COMPUTED_VALUE"""),2019.0)</f>
        <v>2019</v>
      </c>
      <c r="G45" s="2"/>
    </row>
    <row r="46">
      <c r="A46" s="2">
        <f>IFERROR(__xludf.DUMMYFUNCTION("""COMPUTED_VALUE"""),45.0)</f>
        <v>45</v>
      </c>
      <c r="B46" s="2" t="str">
        <f>IFERROR(__xludf.DUMMYFUNCTION("""COMPUTED_VALUE"""),"Amérique")</f>
        <v>Amérique</v>
      </c>
      <c r="C46" s="2" t="str">
        <f>IFERROR(__xludf.DUMMYFUNCTION("""COMPUTED_VALUE"""),"Équateur")</f>
        <v>Équateur</v>
      </c>
      <c r="D46" s="2" t="str">
        <f>IFERROR(__xludf.DUMMYFUNCTION("""COMPUTED_VALUE"""),"*Quito*")</f>
        <v>*Quito*</v>
      </c>
      <c r="E46" s="2" t="str">
        <f>IFERROR(__xludf.DUMMYFUNCTION("""COMPUTED_VALUE"""),"2 011 000")</f>
        <v>2 011 000</v>
      </c>
      <c r="F46" s="2">
        <f>IFERROR(__xludf.DUMMYFUNCTION("""COMPUTED_VALUE"""),2020.0)</f>
        <v>2020</v>
      </c>
      <c r="G46" s="2"/>
    </row>
    <row r="47">
      <c r="A47" s="2">
        <f>IFERROR(__xludf.DUMMYFUNCTION("""COMPUTED_VALUE"""),46.0)</f>
        <v>46</v>
      </c>
      <c r="B47" s="2" t="str">
        <f>IFERROR(__xludf.DUMMYFUNCTION("""COMPUTED_VALUE"""),"Europe")</f>
        <v>Europe</v>
      </c>
      <c r="C47" s="2" t="str">
        <f>IFERROR(__xludf.DUMMYFUNCTION("""COMPUTED_VALUE"""),"Biélorussie")</f>
        <v>Biélorussie</v>
      </c>
      <c r="D47" s="2" t="str">
        <f>IFERROR(__xludf.DUMMYFUNCTION("""COMPUTED_VALUE"""),"*Minsk*")</f>
        <v>*Minsk*</v>
      </c>
      <c r="E47" s="2" t="str">
        <f>IFERROR(__xludf.DUMMYFUNCTION("""COMPUTED_VALUE"""),"1 975 000")</f>
        <v>1 975 000</v>
      </c>
      <c r="F47" s="2">
        <f>IFERROR(__xludf.DUMMYFUNCTION("""COMPUTED_VALUE"""),2017.0)</f>
        <v>2017</v>
      </c>
      <c r="G47" s="2"/>
    </row>
    <row r="48">
      <c r="A48" s="2">
        <f>IFERROR(__xludf.DUMMYFUNCTION("""COMPUTED_VALUE"""),47.0)</f>
        <v>47</v>
      </c>
      <c r="B48" s="2" t="str">
        <f>IFERROR(__xludf.DUMMYFUNCTION("""COMPUTED_VALUE"""),"Europe")</f>
        <v>Europe</v>
      </c>
      <c r="C48" s="2" t="str">
        <f>IFERROR(__xludf.DUMMYFUNCTION("""COMPUTED_VALUE"""),"Roumanie")</f>
        <v>Roumanie</v>
      </c>
      <c r="D48" s="2" t="str">
        <f>IFERROR(__xludf.DUMMYFUNCTION("""COMPUTED_VALUE"""),"*Bucarest*")</f>
        <v>*Bucarest*</v>
      </c>
      <c r="E48" s="2" t="str">
        <f>IFERROR(__xludf.DUMMYFUNCTION("""COMPUTED_VALUE"""),"1 716 961")</f>
        <v>1 716 961</v>
      </c>
      <c r="F48" s="2">
        <f>IFERROR(__xludf.DUMMYFUNCTION("""COMPUTED_VALUE"""),2021.0)</f>
        <v>2021</v>
      </c>
      <c r="G48" s="2" t="str">
        <f>IFERROR(__xludf.DUMMYFUNCTION("""COMPUTED_VALUE"""),"[30]")</f>
        <v>[30]</v>
      </c>
    </row>
    <row r="49">
      <c r="A49" s="2">
        <f>IFERROR(__xludf.DUMMYFUNCTION("""COMPUTED_VALUE"""),48.0)</f>
        <v>48</v>
      </c>
      <c r="B49" s="2" t="str">
        <f>IFERROR(__xludf.DUMMYFUNCTION("""COMPUTED_VALUE"""),"Afrique")</f>
        <v>Afrique</v>
      </c>
      <c r="C49" s="2" t="str">
        <f>IFERROR(__xludf.DUMMYFUNCTION("""COMPUTED_VALUE"""),"Maroc")</f>
        <v>Maroc</v>
      </c>
      <c r="D49" s="2" t="str">
        <f>IFERROR(__xludf.DUMMYFUNCTION("""COMPUTED_VALUE"""),"*Rabat*")</f>
        <v>*Rabat*</v>
      </c>
      <c r="E49" s="2" t="str">
        <f>IFERROR(__xludf.DUMMYFUNCTION("""COMPUTED_VALUE"""),"515 619")</f>
        <v>515 619</v>
      </c>
      <c r="F49" s="2">
        <f>IFERROR(__xludf.DUMMYFUNCTION("""COMPUTED_VALUE"""),2024.0)</f>
        <v>2024</v>
      </c>
      <c r="G49" s="2"/>
    </row>
    <row r="50">
      <c r="A50" s="2">
        <f>IFERROR(__xludf.DUMMYFUNCTION("""COMPUTED_VALUE"""),49.0)</f>
        <v>49</v>
      </c>
      <c r="B50" s="2" t="str">
        <f>IFERROR(__xludf.DUMMYFUNCTION("""COMPUTED_VALUE"""),"Europe")</f>
        <v>Europe</v>
      </c>
      <c r="C50" s="2" t="str">
        <f>IFERROR(__xludf.DUMMYFUNCTION("""COMPUTED_VALUE"""),"Autriche")</f>
        <v>Autriche</v>
      </c>
      <c r="D50" s="2" t="str">
        <f>IFERROR(__xludf.DUMMYFUNCTION("""COMPUTED_VALUE"""),"*Vienne*")</f>
        <v>*Vienne*</v>
      </c>
      <c r="E50" s="2" t="str">
        <f>IFERROR(__xludf.DUMMYFUNCTION("""COMPUTED_VALUE"""),"1 749 673")</f>
        <v>1 749 673</v>
      </c>
      <c r="F50" s="2">
        <f>IFERROR(__xludf.DUMMYFUNCTION("""COMPUTED_VALUE"""),2013.0)</f>
        <v>2013</v>
      </c>
      <c r="G50" s="2" t="str">
        <f>IFERROR(__xludf.DUMMYFUNCTION("""COMPUTED_VALUE"""),"[31]")</f>
        <v>[31]</v>
      </c>
    </row>
    <row r="51">
      <c r="A51" s="2">
        <f>IFERROR(__xludf.DUMMYFUNCTION("""COMPUTED_VALUE"""),50.0)</f>
        <v>50</v>
      </c>
      <c r="B51" s="2" t="str">
        <f>IFERROR(__xludf.DUMMYFUNCTION("""COMPUTED_VALUE"""),"Europe")</f>
        <v>Europe</v>
      </c>
      <c r="C51" s="2" t="str">
        <f>IFERROR(__xludf.DUMMYFUNCTION("""COMPUTED_VALUE"""),"Hongrie")</f>
        <v>Hongrie</v>
      </c>
      <c r="D51" s="2" t="str">
        <f>IFERROR(__xludf.DUMMYFUNCTION("""COMPUTED_VALUE"""),"*Budapest*")</f>
        <v>*Budapest*</v>
      </c>
      <c r="E51" s="2" t="str">
        <f>IFERROR(__xludf.DUMMYFUNCTION("""COMPUTED_VALUE"""),"1 729 040")</f>
        <v>1 729 040</v>
      </c>
      <c r="F51" s="2">
        <f>IFERROR(__xludf.DUMMYFUNCTION("""COMPUTED_VALUE"""),2011.0)</f>
        <v>2011</v>
      </c>
      <c r="G51" s="2" t="str">
        <f>IFERROR(__xludf.DUMMYFUNCTION("""COMPUTED_VALUE"""),"[32]")</f>
        <v>[32]</v>
      </c>
    </row>
    <row r="52">
      <c r="A52" s="2">
        <f>IFERROR(__xludf.DUMMYFUNCTION("""COMPUTED_VALUE"""),51.0)</f>
        <v>51</v>
      </c>
      <c r="B52" s="2" t="str">
        <f>IFERROR(__xludf.DUMMYFUNCTION("""COMPUTED_VALUE"""),"Europe")</f>
        <v>Europe</v>
      </c>
      <c r="C52" s="2" t="str">
        <f>IFERROR(__xludf.DUMMYFUNCTION("""COMPUTED_VALUE"""),"Pologne")</f>
        <v>Pologne</v>
      </c>
      <c r="D52" s="2" t="str">
        <f>IFERROR(__xludf.DUMMYFUNCTION("""COMPUTED_VALUE"""),"*Varsovie*")</f>
        <v>*Varsovie*</v>
      </c>
      <c r="E52" s="2" t="str">
        <f>IFERROR(__xludf.DUMMYFUNCTION("""COMPUTED_VALUE"""),"1 711 324")</f>
        <v>1 711 324</v>
      </c>
      <c r="F52" s="2">
        <f>IFERROR(__xludf.DUMMYFUNCTION("""COMPUTED_VALUE"""),2012.0)</f>
        <v>2012</v>
      </c>
      <c r="G52" s="2" t="str">
        <f>IFERROR(__xludf.DUMMYFUNCTION("""COMPUTED_VALUE"""),"[33]")</f>
        <v>[33]</v>
      </c>
    </row>
    <row r="53">
      <c r="A53" s="2">
        <f>IFERROR(__xludf.DUMMYFUNCTION("""COMPUTED_VALUE"""),52.0)</f>
        <v>52</v>
      </c>
      <c r="B53" s="2" t="str">
        <f>IFERROR(__xludf.DUMMYFUNCTION("""COMPUTED_VALUE"""),"Asie")</f>
        <v>Asie</v>
      </c>
      <c r="C53" s="2" t="str">
        <f>IFERROR(__xludf.DUMMYFUNCTION("""COMPUTED_VALUE"""),"Philippines")</f>
        <v>Philippines</v>
      </c>
      <c r="D53" s="2" t="str">
        <f>IFERROR(__xludf.DUMMYFUNCTION("""COMPUTED_VALUE"""),"*Manille*")</f>
        <v>*Manille*</v>
      </c>
      <c r="E53" s="2" t="str">
        <f>IFERROR(__xludf.DUMMYFUNCTION("""COMPUTED_VALUE"""),"1 652 171")</f>
        <v>1 652 171</v>
      </c>
      <c r="F53" s="2">
        <f>IFERROR(__xludf.DUMMYFUNCTION("""COMPUTED_VALUE"""),2010.0)</f>
        <v>2010</v>
      </c>
      <c r="G53" s="2" t="str">
        <f>IFERROR(__xludf.DUMMYFUNCTION("""COMPUTED_VALUE"""),"[34]")</f>
        <v>[34]</v>
      </c>
    </row>
    <row r="54">
      <c r="A54" s="2">
        <f>IFERROR(__xludf.DUMMYFUNCTION("""COMPUTED_VALUE"""),53.0)</f>
        <v>53</v>
      </c>
      <c r="B54" s="2" t="str">
        <f>IFERROR(__xludf.DUMMYFUNCTION("""COMPUTED_VALUE"""),"Afrique")</f>
        <v>Afrique</v>
      </c>
      <c r="C54" s="2" t="str">
        <f>IFERROR(__xludf.DUMMYFUNCTION("""COMPUTED_VALUE"""),"Ouganda")</f>
        <v>Ouganda</v>
      </c>
      <c r="D54" s="2" t="str">
        <f>IFERROR(__xludf.DUMMYFUNCTION("""COMPUTED_VALUE"""),"*Kampala*")</f>
        <v>*Kampala*</v>
      </c>
      <c r="E54" s="2" t="str">
        <f>IFERROR(__xludf.DUMMYFUNCTION("""COMPUTED_VALUE"""),"1 680 600")</f>
        <v>1 680 600</v>
      </c>
      <c r="F54" s="2">
        <f>IFERROR(__xludf.DUMMYFUNCTION("""COMPUTED_VALUE"""),2019.0)</f>
        <v>2019</v>
      </c>
      <c r="G54" s="2" t="str">
        <f>IFERROR(__xludf.DUMMYFUNCTION("""COMPUTED_VALUE"""),"[35]")</f>
        <v>[35]</v>
      </c>
    </row>
    <row r="55">
      <c r="A55" s="2">
        <f>IFERROR(__xludf.DUMMYFUNCTION("""COMPUTED_VALUE"""),54.0)</f>
        <v>54</v>
      </c>
      <c r="B55" s="2" t="str">
        <f>IFERROR(__xludf.DUMMYFUNCTION("""COMPUTED_VALUE"""),"Afrique")</f>
        <v>Afrique</v>
      </c>
      <c r="C55" s="2" t="str">
        <f>IFERROR(__xludf.DUMMYFUNCTION("""COMPUTED_VALUE"""),"Ghana")</f>
        <v>Ghana</v>
      </c>
      <c r="D55" s="2" t="str">
        <f>IFERROR(__xludf.DUMMYFUNCTION("""COMPUTED_VALUE"""),"*Accra*")</f>
        <v>*Accra*</v>
      </c>
      <c r="E55" s="2" t="str">
        <f>IFERROR(__xludf.DUMMYFUNCTION("""COMPUTED_VALUE"""),"1 640 507")</f>
        <v>1 640 507</v>
      </c>
      <c r="F55" s="2"/>
      <c r="G55" s="2"/>
    </row>
    <row r="56">
      <c r="A56" s="2">
        <f>IFERROR(__xludf.DUMMYFUNCTION("""COMPUTED_VALUE"""),55.0)</f>
        <v>55</v>
      </c>
      <c r="B56" s="2" t="str">
        <f>IFERROR(__xludf.DUMMYFUNCTION("""COMPUTED_VALUE"""),"Afrique")</f>
        <v>Afrique</v>
      </c>
      <c r="C56" s="2" t="str">
        <f>IFERROR(__xludf.DUMMYFUNCTION("""COMPUTED_VALUE"""),"Cameroun")</f>
        <v>Cameroun</v>
      </c>
      <c r="D56" s="2" t="str">
        <f>IFERROR(__xludf.DUMMYFUNCTION("""COMPUTED_VALUE"""),"*Yaoundé*")</f>
        <v>*Yaoundé*</v>
      </c>
      <c r="E56" s="2" t="str">
        <f>IFERROR(__xludf.DUMMYFUNCTION("""COMPUTED_VALUE"""),"1 616 000")</f>
        <v>1 616 000</v>
      </c>
      <c r="F56" s="2">
        <f>IFERROR(__xludf.DUMMYFUNCTION("""COMPUTED_VALUE"""),2013.0)</f>
        <v>2013</v>
      </c>
      <c r="G56" s="2" t="str">
        <f>IFERROR(__xludf.DUMMYFUNCTION("""COMPUTED_VALUE"""),"[36]")</f>
        <v>[36]</v>
      </c>
    </row>
    <row r="57">
      <c r="A57" s="2">
        <f>IFERROR(__xludf.DUMMYFUNCTION("""COMPUTED_VALUE"""),56.0)</f>
        <v>56</v>
      </c>
      <c r="B57" s="2" t="str">
        <f>IFERROR(__xludf.DUMMYFUNCTION("""COMPUTED_VALUE"""),"Afrique")</f>
        <v>Afrique</v>
      </c>
      <c r="C57" s="2" t="str">
        <f>IFERROR(__xludf.DUMMYFUNCTION("""COMPUTED_VALUE"""),"Zimbabwe")</f>
        <v>Zimbabwe</v>
      </c>
      <c r="D57" s="2" t="str">
        <f>IFERROR(__xludf.DUMMYFUNCTION("""COMPUTED_VALUE"""),"*Harare*")</f>
        <v>*Harare*</v>
      </c>
      <c r="E57" s="2" t="str">
        <f>IFERROR(__xludf.DUMMYFUNCTION("""COMPUTED_VALUE"""),"1 491 754")</f>
        <v>1 491 754</v>
      </c>
      <c r="F57" s="2">
        <f>IFERROR(__xludf.DUMMYFUNCTION("""COMPUTED_VALUE"""),2022.0)</f>
        <v>2022</v>
      </c>
      <c r="G57" s="2"/>
    </row>
    <row r="58">
      <c r="A58" s="2">
        <f>IFERROR(__xludf.DUMMYFUNCTION("""COMPUTED_VALUE"""),57.0)</f>
        <v>57</v>
      </c>
      <c r="B58" s="2" t="str">
        <f>IFERROR(__xludf.DUMMYFUNCTION("""COMPUTED_VALUE"""),"Asie")</f>
        <v>Asie</v>
      </c>
      <c r="C58" s="2" t="str">
        <f>IFERROR(__xludf.DUMMYFUNCTION("""COMPUTED_VALUE"""),"Qatar")</f>
        <v>Qatar</v>
      </c>
      <c r="D58" s="2" t="str">
        <f>IFERROR(__xludf.DUMMYFUNCTION("""COMPUTED_VALUE"""),"*Doha*")</f>
        <v>*Doha*</v>
      </c>
      <c r="E58" s="2" t="str">
        <f>IFERROR(__xludf.DUMMYFUNCTION("""COMPUTED_VALUE"""),"2 382 000")</f>
        <v>2 382 000</v>
      </c>
      <c r="F58" s="2">
        <f>IFERROR(__xludf.DUMMYFUNCTION("""COMPUTED_VALUE"""),2018.0)</f>
        <v>2018</v>
      </c>
      <c r="G58" s="2"/>
    </row>
    <row r="59">
      <c r="A59" s="2">
        <f>IFERROR(__xludf.DUMMYFUNCTION("""COMPUTED_VALUE"""),58.0)</f>
        <v>58</v>
      </c>
      <c r="B59" s="2" t="str">
        <f>IFERROR(__xludf.DUMMYFUNCTION("""COMPUTED_VALUE"""),"Afrique")</f>
        <v>Afrique</v>
      </c>
      <c r="C59" s="2" t="str">
        <f>IFERROR(__xludf.DUMMYFUNCTION("""COMPUTED_VALUE"""),"Guinée")</f>
        <v>Guinée</v>
      </c>
      <c r="D59" s="2" t="str">
        <f>IFERROR(__xludf.DUMMYFUNCTION("""COMPUTED_VALUE"""),"*Conakry*")</f>
        <v>*Conakry*</v>
      </c>
      <c r="E59" s="2" t="str">
        <f>IFERROR(__xludf.DUMMYFUNCTION("""COMPUTED_VALUE"""),"1 660 000")</f>
        <v>1 660 000</v>
      </c>
      <c r="F59" s="2">
        <f>IFERROR(__xludf.DUMMYFUNCTION("""COMPUTED_VALUE"""),2014.0)</f>
        <v>2014</v>
      </c>
      <c r="G59" s="2"/>
    </row>
    <row r="60">
      <c r="A60" s="2">
        <f>IFERROR(__xludf.DUMMYFUNCTION("""COMPUTED_VALUE"""),59.0)</f>
        <v>59</v>
      </c>
      <c r="B60" s="2" t="str">
        <f>IFERROR(__xludf.DUMMYFUNCTION("""COMPUTED_VALUE"""),"Afrique")</f>
        <v>Afrique</v>
      </c>
      <c r="C60" s="2" t="str">
        <f>IFERROR(__xludf.DUMMYFUNCTION("""COMPUTED_VALUE"""),"Soudan")</f>
        <v>Soudan</v>
      </c>
      <c r="D60" s="2" t="str">
        <f>IFERROR(__xludf.DUMMYFUNCTION("""COMPUTED_VALUE"""),"*Khartoum*")</f>
        <v>*Khartoum*</v>
      </c>
      <c r="E60" s="2" t="str">
        <f>IFERROR(__xludf.DUMMYFUNCTION("""COMPUTED_VALUE"""),"639 598")</f>
        <v>639 598</v>
      </c>
      <c r="F60" s="2">
        <f>IFERROR(__xludf.DUMMYFUNCTION("""COMPUTED_VALUE"""),2014.0)</f>
        <v>2014</v>
      </c>
      <c r="G60" s="2"/>
    </row>
    <row r="61">
      <c r="A61" s="2">
        <f>IFERROR(__xludf.DUMMYFUNCTION("""COMPUTED_VALUE"""),60.0)</f>
        <v>60</v>
      </c>
      <c r="B61" s="2" t="str">
        <f>IFERROR(__xludf.DUMMYFUNCTION("""COMPUTED_VALUE"""),"Asie")</f>
        <v>Asie</v>
      </c>
      <c r="C61" s="2" t="str">
        <f>IFERROR(__xludf.DUMMYFUNCTION("""COMPUTED_VALUE"""),"Malaisie")</f>
        <v>Malaisie</v>
      </c>
      <c r="D61" s="2" t="str">
        <f>IFERROR(__xludf.DUMMYFUNCTION("""COMPUTED_VALUE"""),"*Kuala Lumpur*")</f>
        <v>*Kuala Lumpur*</v>
      </c>
      <c r="E61" s="2" t="str">
        <f>IFERROR(__xludf.DUMMYFUNCTION("""COMPUTED_VALUE"""),"1 808 000")</f>
        <v>1 808 000</v>
      </c>
      <c r="F61" s="2">
        <f>IFERROR(__xludf.DUMMYFUNCTION("""COMPUTED_VALUE"""),2017.0)</f>
        <v>2017</v>
      </c>
      <c r="G61" s="2"/>
    </row>
    <row r="62">
      <c r="A62" s="2">
        <f>IFERROR(__xludf.DUMMYFUNCTION("""COMPUTED_VALUE"""),61.0)</f>
        <v>61</v>
      </c>
      <c r="B62" s="2" t="str">
        <f>IFERROR(__xludf.DUMMYFUNCTION("""COMPUTED_VALUE"""),"Afrique")</f>
        <v>Afrique</v>
      </c>
      <c r="C62" s="2" t="str">
        <f>IFERROR(__xludf.DUMMYFUNCTION("""COMPUTED_VALUE"""),"Congo")</f>
        <v>Congo</v>
      </c>
      <c r="D62" s="2" t="str">
        <f>IFERROR(__xludf.DUMMYFUNCTION("""COMPUTED_VALUE"""),"*Brazzaville*")</f>
        <v>*Brazzaville*</v>
      </c>
      <c r="E62" s="2" t="str">
        <f>IFERROR(__xludf.DUMMYFUNCTION("""COMPUTED_VALUE"""),"1 838 348")</f>
        <v>1 838 348</v>
      </c>
      <c r="F62" s="2">
        <f>IFERROR(__xludf.DUMMYFUNCTION("""COMPUTED_VALUE"""),2017.0)</f>
        <v>2017</v>
      </c>
      <c r="G62" s="2"/>
    </row>
    <row r="63">
      <c r="A63" s="2">
        <f>IFERROR(__xludf.DUMMYFUNCTION("""COMPUTED_VALUE"""),62.0)</f>
        <v>62</v>
      </c>
      <c r="B63" s="2" t="str">
        <f>IFERROR(__xludf.DUMMYFUNCTION("""COMPUTED_VALUE"""),"Afrique")</f>
        <v>Afrique</v>
      </c>
      <c r="C63" s="2" t="str">
        <f>IFERROR(__xludf.DUMMYFUNCTION("""COMPUTED_VALUE"""),"Zambie")</f>
        <v>Zambie</v>
      </c>
      <c r="D63" s="2" t="str">
        <f>IFERROR(__xludf.DUMMYFUNCTION("""COMPUTED_VALUE"""),"*Lusaka*")</f>
        <v>*Lusaka*</v>
      </c>
      <c r="E63" s="2" t="str">
        <f>IFERROR(__xludf.DUMMYFUNCTION("""COMPUTED_VALUE"""),"2 212 301")</f>
        <v>2 212 301</v>
      </c>
      <c r="F63" s="2">
        <f>IFERROR(__xludf.DUMMYFUNCTION("""COMPUTED_VALUE"""),2022.0)</f>
        <v>2022</v>
      </c>
      <c r="G63" s="2"/>
    </row>
    <row r="64">
      <c r="A64" s="2">
        <f>IFERROR(__xludf.DUMMYFUNCTION("""COMPUTED_VALUE"""),63.0)</f>
        <v>63</v>
      </c>
      <c r="B64" s="2" t="str">
        <f>IFERROR(__xludf.DUMMYFUNCTION("""COMPUTED_VALUE"""),"Amérique")</f>
        <v>Amérique</v>
      </c>
      <c r="C64" s="2" t="str">
        <f>IFERROR(__xludf.DUMMYFUNCTION("""COMPUTED_VALUE"""),"Uruguay")</f>
        <v>Uruguay</v>
      </c>
      <c r="D64" s="2" t="str">
        <f>IFERROR(__xludf.DUMMYFUNCTION("""COMPUTED_VALUE"""),"*Montevideo*")</f>
        <v>*Montevideo*</v>
      </c>
      <c r="E64" s="2" t="str">
        <f>IFERROR(__xludf.DUMMYFUNCTION("""COMPUTED_VALUE"""),"1 381 000")</f>
        <v>1 381 000</v>
      </c>
      <c r="F64" s="2">
        <f>IFERROR(__xludf.DUMMYFUNCTION("""COMPUTED_VALUE"""),2017.0)</f>
        <v>2017</v>
      </c>
      <c r="G64" s="2"/>
    </row>
    <row r="65">
      <c r="A65" s="2">
        <f>IFERROR(__xludf.DUMMYFUNCTION("""COMPUTED_VALUE"""),64.0)</f>
        <v>64</v>
      </c>
      <c r="B65" s="2" t="str">
        <f>IFERROR(__xludf.DUMMYFUNCTION("""COMPUTED_VALUE"""),"Europe")</f>
        <v>Europe</v>
      </c>
      <c r="C65" s="2" t="str">
        <f>IFERROR(__xludf.DUMMYFUNCTION("""COMPUTED_VALUE"""),"République tchèque")</f>
        <v>République tchèque</v>
      </c>
      <c r="D65" s="2" t="str">
        <f>IFERROR(__xludf.DUMMYFUNCTION("""COMPUTED_VALUE"""),"*Prague*")</f>
        <v>*Prague*</v>
      </c>
      <c r="E65" s="2" t="str">
        <f>IFERROR(__xludf.DUMMYFUNCTION("""COMPUTED_VALUE"""),"1 335 084")</f>
        <v>1 335 084</v>
      </c>
      <c r="F65" s="2">
        <f>IFERROR(__xludf.DUMMYFUNCTION("""COMPUTED_VALUE"""),2019.0)</f>
        <v>2019</v>
      </c>
      <c r="G65" s="2" t="str">
        <f>IFERROR(__xludf.DUMMYFUNCTION("""COMPUTED_VALUE"""),"[37]")</f>
        <v>[37]</v>
      </c>
    </row>
    <row r="66">
      <c r="A66" s="2">
        <f>IFERROR(__xludf.DUMMYFUNCTION("""COMPUTED_VALUE"""),65.0)</f>
        <v>65</v>
      </c>
      <c r="B66" s="2" t="str">
        <f>IFERROR(__xludf.DUMMYFUNCTION("""COMPUTED_VALUE"""),"Afrique")</f>
        <v>Afrique</v>
      </c>
      <c r="C66" s="2" t="str">
        <f>IFERROR(__xludf.DUMMYFUNCTION("""COMPUTED_VALUE"""),"Mali")</f>
        <v>Mali</v>
      </c>
      <c r="D66" s="2" t="str">
        <f>IFERROR(__xludf.DUMMYFUNCTION("""COMPUTED_VALUE"""),"*Bamako*")</f>
        <v>*Bamako*</v>
      </c>
      <c r="E66" s="2" t="str">
        <f>IFERROR(__xludf.DUMMYFUNCTION("""COMPUTED_VALUE"""),"1 297 281")</f>
        <v>1 297 281</v>
      </c>
      <c r="F66" s="2">
        <f>IFERROR(__xludf.DUMMYFUNCTION("""COMPUTED_VALUE"""),2020.0)</f>
        <v>2020</v>
      </c>
      <c r="G66" s="2"/>
    </row>
    <row r="67">
      <c r="A67" s="2">
        <f>IFERROR(__xludf.DUMMYFUNCTION("""COMPUTED_VALUE"""),66.0)</f>
        <v>66</v>
      </c>
      <c r="B67" s="2" t="str">
        <f>IFERROR(__xludf.DUMMYFUNCTION("""COMPUTED_VALUE"""),"Afrique")</f>
        <v>Afrique</v>
      </c>
      <c r="C67" s="2" t="str">
        <f>IFERROR(__xludf.DUMMYFUNCTION("""COMPUTED_VALUE"""),"Libye")</f>
        <v>Libye</v>
      </c>
      <c r="D67" s="2" t="str">
        <f>IFERROR(__xludf.DUMMYFUNCTION("""COMPUTED_VALUE"""),"*Tripoli*")</f>
        <v>*Tripoli*</v>
      </c>
      <c r="E67" s="2" t="str">
        <f>IFERROR(__xludf.DUMMYFUNCTION("""COMPUTED_VALUE"""),"1 183 000")</f>
        <v>1 183 000</v>
      </c>
      <c r="F67" s="2">
        <f>IFERROR(__xludf.DUMMYFUNCTION("""COMPUTED_VALUE"""),2023.0)</f>
        <v>2023</v>
      </c>
      <c r="G67" s="2" t="str">
        <f>IFERROR(__xludf.DUMMYFUNCTION("""COMPUTED_VALUE"""),"[38]")</f>
        <v>[38]</v>
      </c>
    </row>
    <row r="68">
      <c r="A68" s="2">
        <f>IFERROR(__xludf.DUMMYFUNCTION("""COMPUTED_VALUE"""),67.0)</f>
        <v>67</v>
      </c>
      <c r="B68" s="2" t="str">
        <f>IFERROR(__xludf.DUMMYFUNCTION("""COMPUTED_VALUE"""),"Asie")</f>
        <v>Asie</v>
      </c>
      <c r="C68" s="2" t="str">
        <f>IFERROR(__xludf.DUMMYFUNCTION("""COMPUTED_VALUE"""),"Koweït")</f>
        <v>Koweït</v>
      </c>
      <c r="D68" s="2" t="str">
        <f>IFERROR(__xludf.DUMMYFUNCTION("""COMPUTED_VALUE"""),"*Koweït*")</f>
        <v>*Koweït*</v>
      </c>
      <c r="E68" s="2" t="str">
        <f>IFERROR(__xludf.DUMMYFUNCTION("""COMPUTED_VALUE"""),"2 380 000")</f>
        <v>2 380 000</v>
      </c>
      <c r="F68" s="2">
        <f>IFERROR(__xludf.DUMMYFUNCTION("""COMPUTED_VALUE"""),2018.0)</f>
        <v>2018</v>
      </c>
      <c r="G68" s="2"/>
    </row>
    <row r="69">
      <c r="A69" s="2">
        <f>IFERROR(__xludf.DUMMYFUNCTION("""COMPUTED_VALUE"""),68.0)</f>
        <v>68</v>
      </c>
      <c r="B69" s="2" t="str">
        <f>IFERROR(__xludf.DUMMYFUNCTION("""COMPUTED_VALUE"""),"Europe")</f>
        <v>Europe</v>
      </c>
      <c r="C69" s="2" t="str">
        <f>IFERROR(__xludf.DUMMYFUNCTION("""COMPUTED_VALUE"""),"Serbie")</f>
        <v>Serbie</v>
      </c>
      <c r="D69" s="2" t="str">
        <f>IFERROR(__xludf.DUMMYFUNCTION("""COMPUTED_VALUE"""),"*Belgrade*")</f>
        <v>*Belgrade*</v>
      </c>
      <c r="E69" s="2" t="str">
        <f>IFERROR(__xludf.DUMMYFUNCTION("""COMPUTED_VALUE"""),"1 374 000")</f>
        <v>1 374 000</v>
      </c>
      <c r="F69" s="2">
        <f>IFERROR(__xludf.DUMMYFUNCTION("""COMPUTED_VALUE"""),2016.0)</f>
        <v>2016</v>
      </c>
      <c r="G69" s="2"/>
    </row>
    <row r="70">
      <c r="A70" s="2">
        <f>IFERROR(__xludf.DUMMYFUNCTION("""COMPUTED_VALUE"""),69.0)</f>
        <v>69</v>
      </c>
      <c r="B70" s="2" t="str">
        <f>IFERROR(__xludf.DUMMYFUNCTION("""COMPUTED_VALUE"""),"Afrique")</f>
        <v>Afrique</v>
      </c>
      <c r="C70" s="2" t="str">
        <f>IFERROR(__xludf.DUMMYFUNCTION("""COMPUTED_VALUE"""),"Somalie")</f>
        <v>Somalie</v>
      </c>
      <c r="D70" s="2" t="str">
        <f>IFERROR(__xludf.DUMMYFUNCTION("""COMPUTED_VALUE"""),"*Mogadiscio*")</f>
        <v>*Mogadiscio*</v>
      </c>
      <c r="E70" s="2" t="str">
        <f>IFERROR(__xludf.DUMMYFUNCTION("""COMPUTED_VALUE"""),"2 120 000")</f>
        <v>2 120 000</v>
      </c>
      <c r="F70" s="2">
        <f>IFERROR(__xludf.DUMMYFUNCTION("""COMPUTED_VALUE"""),2015.0)</f>
        <v>2015</v>
      </c>
      <c r="G70" s="2"/>
    </row>
    <row r="71">
      <c r="A71" s="2">
        <f>IFERROR(__xludf.DUMMYFUNCTION("""COMPUTED_VALUE"""),70.0)</f>
        <v>70</v>
      </c>
      <c r="B71" s="2" t="str">
        <f>IFERROR(__xludf.DUMMYFUNCTION("""COMPUTED_VALUE"""),"Afrique")</f>
        <v>Afrique</v>
      </c>
      <c r="C71" s="2" t="str">
        <f>IFERROR(__xludf.DUMMYFUNCTION("""COMPUTED_VALUE"""),"Burundi")</f>
        <v>Burundi</v>
      </c>
      <c r="D71" s="2" t="str">
        <f>IFERROR(__xludf.DUMMYFUNCTION("""COMPUTED_VALUE"""),"*Gitega*")</f>
        <v>*Gitega*</v>
      </c>
      <c r="E71" s="2" t="str">
        <f>IFERROR(__xludf.DUMMYFUNCTION("""COMPUTED_VALUE"""),"1 092 859")</f>
        <v>1 092 859</v>
      </c>
      <c r="F71" s="2">
        <f>IFERROR(__xludf.DUMMYFUNCTION("""COMPUTED_VALUE"""),2019.0)</f>
        <v>2019</v>
      </c>
      <c r="G71" s="2"/>
    </row>
    <row r="72">
      <c r="A72" s="2">
        <f>IFERROR(__xludf.DUMMYFUNCTION("""COMPUTED_VALUE"""),71.0)</f>
        <v>71</v>
      </c>
      <c r="B72" s="2" t="str">
        <f>IFERROR(__xludf.DUMMYFUNCTION("""COMPUTED_VALUE"""),"Asie")</f>
        <v>Asie</v>
      </c>
      <c r="C72" s="2" t="str">
        <f>IFERROR(__xludf.DUMMYFUNCTION("""COMPUTED_VALUE"""),"Mongolie")</f>
        <v>Mongolie</v>
      </c>
      <c r="D72" s="2" t="str">
        <f>IFERROR(__xludf.DUMMYFUNCTION("""COMPUTED_VALUE"""),"*Oulan-Bator*")</f>
        <v>*Oulan-Bator*</v>
      </c>
      <c r="E72" s="2" t="str">
        <f>IFERROR(__xludf.DUMMYFUNCTION("""COMPUTED_VALUE"""),"1 452 000")</f>
        <v>1 452 000</v>
      </c>
      <c r="F72" s="2">
        <f>IFERROR(__xludf.DUMMYFUNCTION("""COMPUTED_VALUE"""),2017.0)</f>
        <v>2017</v>
      </c>
      <c r="G72" s="2"/>
    </row>
    <row r="73">
      <c r="A73" s="2">
        <f>IFERROR(__xludf.DUMMYFUNCTION("""COMPUTED_VALUE"""),72.0)</f>
        <v>72</v>
      </c>
      <c r="B73" s="2" t="str">
        <f>IFERROR(__xludf.DUMMYFUNCTION("""COMPUTED_VALUE"""),"Asie")</f>
        <v>Asie</v>
      </c>
      <c r="C73" s="2" t="str">
        <f>IFERROR(__xludf.DUMMYFUNCTION("""COMPUTED_VALUE"""),"Arménie")</f>
        <v>Arménie</v>
      </c>
      <c r="D73" s="2" t="str">
        <f>IFERROR(__xludf.DUMMYFUNCTION("""COMPUTED_VALUE"""),"*Erevan*")</f>
        <v>*Erevan*</v>
      </c>
      <c r="E73" s="2" t="str">
        <f>IFERROR(__xludf.DUMMYFUNCTION("""COMPUTED_VALUE"""),"1 080 487")</f>
        <v>1 080 487</v>
      </c>
      <c r="F73" s="2">
        <f>IFERROR(__xludf.DUMMYFUNCTION("""COMPUTED_VALUE"""),2013.0)</f>
        <v>2013</v>
      </c>
      <c r="G73" s="2" t="str">
        <f>IFERROR(__xludf.DUMMYFUNCTION("""COMPUTED_VALUE"""),"[39]")</f>
        <v>[39]</v>
      </c>
    </row>
    <row r="74">
      <c r="A74" s="2">
        <f>IFERROR(__xludf.DUMMYFUNCTION("""COMPUTED_VALUE"""),73.0)</f>
        <v>73</v>
      </c>
      <c r="B74" s="2" t="str">
        <f>IFERROR(__xludf.DUMMYFUNCTION("""COMPUTED_VALUE"""),"Asie")</f>
        <v>Asie</v>
      </c>
      <c r="C74" s="2" t="str">
        <f>IFERROR(__xludf.DUMMYFUNCTION("""COMPUTED_VALUE"""),"Géorgie")</f>
        <v>Géorgie</v>
      </c>
      <c r="D74" s="2" t="str">
        <f>IFERROR(__xludf.DUMMYFUNCTION("""COMPUTED_VALUE"""),"*Tbilissi*")</f>
        <v>*Tbilissi*</v>
      </c>
      <c r="E74" s="2" t="str">
        <f>IFERROR(__xludf.DUMMYFUNCTION("""COMPUTED_VALUE"""),"1 114 000")</f>
        <v>1 114 000</v>
      </c>
      <c r="F74" s="2">
        <f>IFERROR(__xludf.DUMMYFUNCTION("""COMPUTED_VALUE"""),2016.0)</f>
        <v>2016</v>
      </c>
      <c r="G74" s="2"/>
    </row>
    <row r="75">
      <c r="A75" s="2">
        <f>IFERROR(__xludf.DUMMYFUNCTION("""COMPUTED_VALUE"""),74.0)</f>
        <v>74</v>
      </c>
      <c r="B75" s="2" t="str">
        <f>IFERROR(__xludf.DUMMYFUNCTION("""COMPUTED_VALUE"""),"Afrique")</f>
        <v>Afrique</v>
      </c>
      <c r="C75" s="2" t="str">
        <f>IFERROR(__xludf.DUMMYFUNCTION("""COMPUTED_VALUE"""),"Mozambique")</f>
        <v>Mozambique</v>
      </c>
      <c r="D75" s="2" t="str">
        <f>IFERROR(__xludf.DUMMYFUNCTION("""COMPUTED_VALUE"""),"*Maputo*")</f>
        <v>*Maputo*</v>
      </c>
      <c r="E75" s="2" t="str">
        <f>IFERROR(__xludf.DUMMYFUNCTION("""COMPUTED_VALUE"""),"1 101 170")</f>
        <v>1 101 170</v>
      </c>
      <c r="F75" s="2">
        <f>IFERROR(__xludf.DUMMYFUNCTION("""COMPUTED_VALUE"""),2017.0)</f>
        <v>2017</v>
      </c>
      <c r="G75" s="2"/>
    </row>
    <row r="76">
      <c r="A76" s="2">
        <f>IFERROR(__xludf.DUMMYFUNCTION("""COMPUTED_VALUE"""),75.0)</f>
        <v>75</v>
      </c>
      <c r="B76" s="2" t="str">
        <f>IFERROR(__xludf.DUMMYFUNCTION("""COMPUTED_VALUE"""),"Afrique")</f>
        <v>Afrique</v>
      </c>
      <c r="C76" s="2" t="str">
        <f>IFERROR(__xludf.DUMMYFUNCTION("""COMPUTED_VALUE"""),"Nigeria")</f>
        <v>Nigeria</v>
      </c>
      <c r="D76" s="2" t="str">
        <f>IFERROR(__xludf.DUMMYFUNCTION("""COMPUTED_VALUE"""),"*Abuja*")</f>
        <v>*Abuja*</v>
      </c>
      <c r="E76" s="2" t="str">
        <f>IFERROR(__xludf.DUMMYFUNCTION("""COMPUTED_VALUE"""),"1 236 000")</f>
        <v>1 236 000</v>
      </c>
      <c r="F76" s="2">
        <f>IFERROR(__xludf.DUMMYFUNCTION("""COMPUTED_VALUE"""),2011.0)</f>
        <v>2011</v>
      </c>
      <c r="G76" s="2" t="str">
        <f>IFERROR(__xludf.DUMMYFUNCTION("""COMPUTED_VALUE"""),"[40]")</f>
        <v>[40]</v>
      </c>
    </row>
    <row r="77">
      <c r="A77" s="2">
        <f>IFERROR(__xludf.DUMMYFUNCTION("""COMPUTED_VALUE"""),76.0)</f>
        <v>76</v>
      </c>
      <c r="B77" s="2" t="str">
        <f>IFERROR(__xludf.DUMMYFUNCTION("""COMPUTED_VALUE"""),"Amérique")</f>
        <v>Amérique</v>
      </c>
      <c r="C77" s="2" t="str">
        <f>IFERROR(__xludf.DUMMYFUNCTION("""COMPUTED_VALUE"""),"Guatemala")</f>
        <v>Guatemala</v>
      </c>
      <c r="D77" s="2" t="str">
        <f>IFERROR(__xludf.DUMMYFUNCTION("""COMPUTED_VALUE"""),"*Guatemala*")</f>
        <v>*Guatemala*</v>
      </c>
      <c r="E77" s="2" t="str">
        <f>IFERROR(__xludf.DUMMYFUNCTION("""COMPUTED_VALUE"""),"3 095 000")</f>
        <v>3 095 000</v>
      </c>
      <c r="F77" s="2">
        <f>IFERROR(__xludf.DUMMYFUNCTION("""COMPUTED_VALUE"""),2023.0)</f>
        <v>2023</v>
      </c>
      <c r="G77" s="2" t="str">
        <f>IFERROR(__xludf.DUMMYFUNCTION("""COMPUTED_VALUE"""),"[41]")</f>
        <v>[41]</v>
      </c>
    </row>
    <row r="78">
      <c r="A78" s="2">
        <f>IFERROR(__xludf.DUMMYFUNCTION("""COMPUTED_VALUE"""),77.0)</f>
        <v>77</v>
      </c>
      <c r="B78" s="2" t="str">
        <f>IFERROR(__xludf.DUMMYFUNCTION("""COMPUTED_VALUE"""),"Afrique")</f>
        <v>Afrique</v>
      </c>
      <c r="C78" s="2" t="str">
        <f>IFERROR(__xludf.DUMMYFUNCTION("""COMPUTED_VALUE"""),"Sénégal")</f>
        <v>Sénégal</v>
      </c>
      <c r="D78" s="2" t="str">
        <f>IFERROR(__xludf.DUMMYFUNCTION("""COMPUTED_VALUE"""),"*Dakar*")</f>
        <v>*Dakar*</v>
      </c>
      <c r="E78" s="2" t="str">
        <f>IFERROR(__xludf.DUMMYFUNCTION("""COMPUTED_VALUE"""),"3 186 088")</f>
        <v>3 186 088</v>
      </c>
      <c r="F78" s="2">
        <f>IFERROR(__xludf.DUMMYFUNCTION("""COMPUTED_VALUE"""),2023.0)</f>
        <v>2023</v>
      </c>
      <c r="G78" s="2"/>
    </row>
    <row r="79">
      <c r="A79" s="2">
        <f>IFERROR(__xludf.DUMMYFUNCTION("""COMPUTED_VALUE"""),78.0)</f>
        <v>78</v>
      </c>
      <c r="B79" s="2" t="str">
        <f>IFERROR(__xludf.DUMMYFUNCTION("""COMPUTED_VALUE"""),"Afrique")</f>
        <v>Afrique</v>
      </c>
      <c r="C79" s="2" t="str">
        <f>IFERROR(__xludf.DUMMYFUNCTION("""COMPUTED_VALUE"""),"Sierra Leone")</f>
        <v>Sierra Leone</v>
      </c>
      <c r="D79" s="2" t="str">
        <f>IFERROR(__xludf.DUMMYFUNCTION("""COMPUTED_VALUE"""),"*Freetown*")</f>
        <v>*Freetown*</v>
      </c>
      <c r="E79" s="2" t="str">
        <f>IFERROR(__xludf.DUMMYFUNCTION("""COMPUTED_VALUE"""),"609 174")</f>
        <v>609 174</v>
      </c>
      <c r="F79" s="2">
        <f>IFERROR(__xludf.DUMMYFUNCTION("""COMPUTED_VALUE"""),2021.0)</f>
        <v>2021</v>
      </c>
      <c r="G79" s="2"/>
    </row>
    <row r="80">
      <c r="A80" s="2">
        <f>IFERROR(__xludf.DUMMYFUNCTION("""COMPUTED_VALUE"""),79.0)</f>
        <v>79</v>
      </c>
      <c r="B80" s="2" t="str">
        <f>IFERROR(__xludf.DUMMYFUNCTION("""COMPUTED_VALUE"""),"Afrique")</f>
        <v>Afrique</v>
      </c>
      <c r="C80" s="2" t="str">
        <f>IFERROR(__xludf.DUMMYFUNCTION("""COMPUTED_VALUE"""),"Liberia")</f>
        <v>Liberia</v>
      </c>
      <c r="D80" s="2" t="str">
        <f>IFERROR(__xludf.DUMMYFUNCTION("""COMPUTED_VALUE"""),"*Monrovia*")</f>
        <v>*Monrovia*</v>
      </c>
      <c r="E80" s="2" t="str">
        <f>IFERROR(__xludf.DUMMYFUNCTION("""COMPUTED_VALUE"""),"1 021 762")</f>
        <v>1 021 762</v>
      </c>
      <c r="F80" s="2">
        <f>IFERROR(__xludf.DUMMYFUNCTION("""COMPUTED_VALUE"""),2019.0)</f>
        <v>2019</v>
      </c>
      <c r="G80" s="2"/>
    </row>
    <row r="81">
      <c r="A81" s="2">
        <f>IFERROR(__xludf.DUMMYFUNCTION("""COMPUTED_VALUE"""),80.0)</f>
        <v>80</v>
      </c>
      <c r="B81" s="2" t="str">
        <f>IFERROR(__xludf.DUMMYFUNCTION("""COMPUTED_VALUE"""),"Amérique")</f>
        <v>Amérique</v>
      </c>
      <c r="C81" s="2" t="str">
        <f>IFERROR(__xludf.DUMMYFUNCTION("""COMPUTED_VALUE"""),"Canada")</f>
        <v>Canada</v>
      </c>
      <c r="D81" s="2" t="str">
        <f>IFERROR(__xludf.DUMMYFUNCTION("""COMPUTED_VALUE"""),"*Ottawa*")</f>
        <v>*Ottawa*</v>
      </c>
      <c r="E81" s="2" t="str">
        <f>IFERROR(__xludf.DUMMYFUNCTION("""COMPUTED_VALUE"""),"1 018 001")</f>
        <v>1 018 001</v>
      </c>
      <c r="F81" s="2">
        <f>IFERROR(__xludf.DUMMYFUNCTION("""COMPUTED_VALUE"""),2021.0)</f>
        <v>2021</v>
      </c>
      <c r="G81" s="2" t="str">
        <f>IFERROR(__xludf.DUMMYFUNCTION("""COMPUTED_VALUE"""),"[42]")</f>
        <v>[42]</v>
      </c>
    </row>
    <row r="82">
      <c r="A82" s="2">
        <f>IFERROR(__xludf.DUMMYFUNCTION("""COMPUTED_VALUE"""),81.0)</f>
        <v>81</v>
      </c>
      <c r="B82" s="2" t="str">
        <f>IFERROR(__xludf.DUMMYFUNCTION("""COMPUTED_VALUE"""),"Asie")</f>
        <v>Asie</v>
      </c>
      <c r="C82" s="2" t="str">
        <f>IFERROR(__xludf.DUMMYFUNCTION("""COMPUTED_VALUE"""),"Pakistan")</f>
        <v>Pakistan</v>
      </c>
      <c r="D82" s="2" t="str">
        <f>IFERROR(__xludf.DUMMYFUNCTION("""COMPUTED_VALUE"""),"*Islamabad*")</f>
        <v>*Islamabad*</v>
      </c>
      <c r="E82" s="2" t="str">
        <f>IFERROR(__xludf.DUMMYFUNCTION("""COMPUTED_VALUE"""),"1 015 000")</f>
        <v>1 015 000</v>
      </c>
      <c r="F82" s="2">
        <f>IFERROR(__xludf.DUMMYFUNCTION("""COMPUTED_VALUE"""),2017.0)</f>
        <v>2017</v>
      </c>
      <c r="G82" s="2"/>
    </row>
    <row r="83">
      <c r="A83" s="2">
        <f>IFERROR(__xludf.DUMMYFUNCTION("""COMPUTED_VALUE"""),82.0)</f>
        <v>82</v>
      </c>
      <c r="B83" s="2" t="str">
        <f>IFERROR(__xludf.DUMMYFUNCTION("""COMPUTED_VALUE"""),"Afrique")</f>
        <v>Afrique</v>
      </c>
      <c r="C83" s="2" t="str">
        <f>IFERROR(__xludf.DUMMYFUNCTION("""COMPUTED_VALUE"""),"Burkina Faso")</f>
        <v>Burkina Faso</v>
      </c>
      <c r="D83" s="2" t="str">
        <f>IFERROR(__xludf.DUMMYFUNCTION("""COMPUTED_VALUE"""),"*Ouagadougou*")</f>
        <v>*Ouagadougou*</v>
      </c>
      <c r="E83" s="2" t="str">
        <f>IFERROR(__xludf.DUMMYFUNCTION("""COMPUTED_VALUE"""),"2 415 266")</f>
        <v>2 415 266</v>
      </c>
      <c r="F83" s="2">
        <f>IFERROR(__xludf.DUMMYFUNCTION("""COMPUTED_VALUE"""),2019.0)</f>
        <v>2019</v>
      </c>
      <c r="G83" s="2"/>
    </row>
    <row r="84">
      <c r="A84" s="2">
        <f>IFERROR(__xludf.DUMMYFUNCTION("""COMPUTED_VALUE"""),83.0)</f>
        <v>83</v>
      </c>
      <c r="B84" s="2" t="str">
        <f>IFERROR(__xludf.DUMMYFUNCTION("""COMPUTED_VALUE"""),"Amérique")</f>
        <v>Amérique</v>
      </c>
      <c r="C84" s="2" t="str">
        <f>IFERROR(__xludf.DUMMYFUNCTION("""COMPUTED_VALUE"""),"Haïti")</f>
        <v>Haïti</v>
      </c>
      <c r="D84" s="2" t="str">
        <f>IFERROR(__xludf.DUMMYFUNCTION("""COMPUTED_VALUE"""),"*Port-au-Prince*")</f>
        <v>*Port-au-Prince*</v>
      </c>
      <c r="E84" s="2" t="str">
        <f>IFERROR(__xludf.DUMMYFUNCTION("""COMPUTED_VALUE"""),"987 310")</f>
        <v>987 310</v>
      </c>
      <c r="F84" s="2">
        <f>IFERROR(__xludf.DUMMYFUNCTION("""COMPUTED_VALUE"""),2015.0)</f>
        <v>2015</v>
      </c>
      <c r="G84" s="2"/>
    </row>
    <row r="85">
      <c r="A85" s="2">
        <f>IFERROR(__xludf.DUMMYFUNCTION("""COMPUTED_VALUE"""),84.0)</f>
        <v>84</v>
      </c>
      <c r="B85" s="2" t="str">
        <f>IFERROR(__xludf.DUMMYFUNCTION("""COMPUTED_VALUE"""),"Europe")</f>
        <v>Europe</v>
      </c>
      <c r="C85" s="2" t="str">
        <f>IFERROR(__xludf.DUMMYFUNCTION("""COMPUTED_VALUE"""),"Suède")</f>
        <v>Suède</v>
      </c>
      <c r="D85" s="2" t="str">
        <f>IFERROR(__xludf.DUMMYFUNCTION("""COMPUTED_VALUE"""),"*Stockholm*")</f>
        <v>*Stockholm*</v>
      </c>
      <c r="E85" s="2" t="str">
        <f>IFERROR(__xludf.DUMMYFUNCTION("""COMPUTED_VALUE"""),"975 551")</f>
        <v>975 551</v>
      </c>
      <c r="F85" s="2">
        <f>IFERROR(__xludf.DUMMYFUNCTION("""COMPUTED_VALUE"""),2020.0)</f>
        <v>2020</v>
      </c>
      <c r="G85" s="2" t="str">
        <f>IFERROR(__xludf.DUMMYFUNCTION("""COMPUTED_VALUE"""),"[43]")</f>
        <v>[43]</v>
      </c>
    </row>
    <row r="86">
      <c r="A86" s="2">
        <f>IFERROR(__xludf.DUMMYFUNCTION("""COMPUTED_VALUE"""),85.0)</f>
        <v>85</v>
      </c>
      <c r="B86" s="2" t="str">
        <f>IFERROR(__xludf.DUMMYFUNCTION("""COMPUTED_VALUE"""),"Amérique")</f>
        <v>Amérique</v>
      </c>
      <c r="C86" s="2" t="str">
        <f>IFERROR(__xludf.DUMMYFUNCTION("""COMPUTED_VALUE"""),"République dominicaine")</f>
        <v>République dominicaine</v>
      </c>
      <c r="D86" s="2" t="str">
        <f>IFERROR(__xludf.DUMMYFUNCTION("""COMPUTED_VALUE"""),"*Saint-Domingue*")</f>
        <v>*Saint-Domingue*</v>
      </c>
      <c r="E86" s="2" t="str">
        <f>IFERROR(__xludf.DUMMYFUNCTION("""COMPUTED_VALUE"""),"965 665")</f>
        <v>965 665</v>
      </c>
      <c r="F86" s="2">
        <f>IFERROR(__xludf.DUMMYFUNCTION("""COMPUTED_VALUE"""),2020.0)</f>
        <v>2020</v>
      </c>
      <c r="G86" s="2" t="str">
        <f>IFERROR(__xludf.DUMMYFUNCTION("""COMPUTED_VALUE"""),"[44]")</f>
        <v>[44]</v>
      </c>
    </row>
    <row r="87">
      <c r="A87" s="2">
        <f>IFERROR(__xludf.DUMMYFUNCTION("""COMPUTED_VALUE"""),108.0)</f>
        <v>108</v>
      </c>
      <c r="B87" s="2" t="str">
        <f>IFERROR(__xludf.DUMMYFUNCTION("""COMPUTED_VALUE"""),"Afrique")</f>
        <v>Afrique</v>
      </c>
      <c r="C87" s="2" t="str">
        <f>IFERROR(__xludf.DUMMYFUNCTION("""COMPUTED_VALUE"""),"Mauritanie")</f>
        <v>Mauritanie</v>
      </c>
      <c r="D87" s="2" t="str">
        <f>IFERROR(__xludf.DUMMYFUNCTION("""COMPUTED_VALUE"""),"*Nouakchott*")</f>
        <v>*Nouakchott*</v>
      </c>
      <c r="E87" s="2" t="str">
        <f>IFERROR(__xludf.DUMMYFUNCTION("""COMPUTED_VALUE"""),"940 399")</f>
        <v>940 399</v>
      </c>
      <c r="F87" s="2"/>
      <c r="G87" s="2"/>
    </row>
    <row r="88">
      <c r="A88" s="2">
        <f>IFERROR(__xludf.DUMMYFUNCTION("""COMPUTED_VALUE"""),86.0)</f>
        <v>86</v>
      </c>
      <c r="B88" s="2" t="str">
        <f>IFERROR(__xludf.DUMMYFUNCTION("""COMPUTED_VALUE"""),"Amérique")</f>
        <v>Amérique</v>
      </c>
      <c r="C88" s="2" t="str">
        <f>IFERROR(__xludf.DUMMYFUNCTION("""COMPUTED_VALUE"""),"Nicaragua")</f>
        <v>Nicaragua</v>
      </c>
      <c r="D88" s="2" t="str">
        <f>IFERROR(__xludf.DUMMYFUNCTION("""COMPUTED_VALUE"""),"*Managua*")</f>
        <v>*Managua*</v>
      </c>
      <c r="E88" s="2" t="str">
        <f>IFERROR(__xludf.DUMMYFUNCTION("""COMPUTED_VALUE"""),"926 883")</f>
        <v>926 883</v>
      </c>
      <c r="F88" s="2"/>
      <c r="G88" s="2"/>
    </row>
    <row r="89">
      <c r="A89" s="2">
        <f>IFERROR(__xludf.DUMMYFUNCTION("""COMPUTED_VALUE"""),87.0)</f>
        <v>87</v>
      </c>
      <c r="B89" s="2" t="str">
        <f>IFERROR(__xludf.DUMMYFUNCTION("""COMPUTED_VALUE"""),"Asie")</f>
        <v>Asie</v>
      </c>
      <c r="C89" s="2" t="str">
        <f>IFERROR(__xludf.DUMMYFUNCTION("""COMPUTED_VALUE"""),"Myanmar")</f>
        <v>Myanmar</v>
      </c>
      <c r="D89" s="2" t="str">
        <f>IFERROR(__xludf.DUMMYFUNCTION("""COMPUTED_VALUE"""),"*Naypyidaw*")</f>
        <v>*Naypyidaw*</v>
      </c>
      <c r="E89" s="2" t="str">
        <f>IFERROR(__xludf.DUMMYFUNCTION("""COMPUTED_VALUE"""),"925 000")</f>
        <v>925 000</v>
      </c>
      <c r="F89" s="2">
        <f>IFERROR(__xludf.DUMMYFUNCTION("""COMPUTED_VALUE"""),2005.0)</f>
        <v>2005</v>
      </c>
      <c r="G89" s="2" t="str">
        <f>IFERROR(__xludf.DUMMYFUNCTION("""COMPUTED_VALUE"""),"[45]")</f>
        <v>[45]</v>
      </c>
    </row>
    <row r="90">
      <c r="A90" s="2">
        <f>IFERROR(__xludf.DUMMYFUNCTION("""COMPUTED_VALUE"""),88.0)</f>
        <v>88</v>
      </c>
      <c r="B90" s="2" t="str">
        <f>IFERROR(__xludf.DUMMYFUNCTION("""COMPUTED_VALUE"""),"Afrique")</f>
        <v>Afrique</v>
      </c>
      <c r="C90" s="2" t="str">
        <f>IFERROR(__xludf.DUMMYFUNCTION("""COMPUTED_VALUE"""),"Malawi")</f>
        <v>Malawi</v>
      </c>
      <c r="D90" s="2" t="str">
        <f>IFERROR(__xludf.DUMMYFUNCTION("""COMPUTED_VALUE"""),"*Lilongwe*")</f>
        <v>*Lilongwe*</v>
      </c>
      <c r="E90" s="2" t="str">
        <f>IFERROR(__xludf.DUMMYFUNCTION("""COMPUTED_VALUE"""),"902 388")</f>
        <v>902 388</v>
      </c>
      <c r="F90" s="2"/>
      <c r="G90" s="2"/>
    </row>
    <row r="91">
      <c r="A91" s="2">
        <f>IFERROR(__xludf.DUMMYFUNCTION("""COMPUTED_VALUE"""),89.0)</f>
        <v>89</v>
      </c>
      <c r="B91" s="2" t="str">
        <f>IFERROR(__xludf.DUMMYFUNCTION("""COMPUTED_VALUE"""),"Asie")</f>
        <v>Asie</v>
      </c>
      <c r="C91" s="2" t="str">
        <f>IFERROR(__xludf.DUMMYFUNCTION("""COMPUTED_VALUE"""),"Israel")</f>
        <v>Israel</v>
      </c>
      <c r="D91" s="2" t="str">
        <f>IFERROR(__xludf.DUMMYFUNCTION("""COMPUTED_VALUE"""),"*Jérusalem*")</f>
        <v>*Jérusalem*</v>
      </c>
      <c r="E91" s="2" t="str">
        <f>IFERROR(__xludf.DUMMYFUNCTION("""COMPUTED_VALUE"""),"901 300")</f>
        <v>901 300</v>
      </c>
      <c r="F91" s="2">
        <f>IFERROR(__xludf.DUMMYFUNCTION("""COMPUTED_VALUE"""),2017.0)</f>
        <v>2017</v>
      </c>
      <c r="G91" s="2" t="str">
        <f>IFERROR(__xludf.DUMMYFUNCTION("""COMPUTED_VALUE"""),"[46]")</f>
        <v>[46]</v>
      </c>
    </row>
    <row r="92">
      <c r="A92" s="2">
        <f>IFERROR(__xludf.DUMMYFUNCTION("""COMPUTED_VALUE"""),90.0)</f>
        <v>90</v>
      </c>
      <c r="B92" s="2" t="str">
        <f>IFERROR(__xludf.DUMMYFUNCTION("""COMPUTED_VALUE"""),"Europe")</f>
        <v>Europe</v>
      </c>
      <c r="C92" s="2" t="str">
        <f>IFERROR(__xludf.DUMMYFUNCTION("""COMPUTED_VALUE"""),"Pays-Bas")</f>
        <v>Pays-Bas</v>
      </c>
      <c r="D92" s="2" t="str">
        <f>IFERROR(__xludf.DUMMYFUNCTION("""COMPUTED_VALUE"""),"*Amsterdam*")</f>
        <v>*Amsterdam*</v>
      </c>
      <c r="E92" s="2" t="str">
        <f>IFERROR(__xludf.DUMMYFUNCTION("""COMPUTED_VALUE"""),"862 965")</f>
        <v>862 965</v>
      </c>
      <c r="F92" s="2">
        <f>IFERROR(__xludf.DUMMYFUNCTION("""COMPUTED_VALUE"""),2019.0)</f>
        <v>2019</v>
      </c>
      <c r="G92" s="2" t="str">
        <f>IFERROR(__xludf.DUMMYFUNCTION("""COMPUTED_VALUE"""),"[47]")</f>
        <v>[47]</v>
      </c>
    </row>
    <row r="93">
      <c r="A93" s="2">
        <f>IFERROR(__xludf.DUMMYFUNCTION("""COMPUTED_VALUE"""),91.0)</f>
        <v>91</v>
      </c>
      <c r="B93" s="2" t="str">
        <f>IFERROR(__xludf.DUMMYFUNCTION("""COMPUTED_VALUE"""),"Asie")</f>
        <v>Asie</v>
      </c>
      <c r="C93" s="2" t="str">
        <f>IFERROR(__xludf.DUMMYFUNCTION("""COMPUTED_VALUE"""),"Kirghizstan")</f>
        <v>Kirghizstan</v>
      </c>
      <c r="D93" s="2" t="str">
        <f>IFERROR(__xludf.DUMMYFUNCTION("""COMPUTED_VALUE"""),"*Bichkek*")</f>
        <v>*Bichkek*</v>
      </c>
      <c r="E93" s="2" t="str">
        <f>IFERROR(__xludf.DUMMYFUNCTION("""COMPUTED_VALUE"""),"843 240")</f>
        <v>843 240</v>
      </c>
      <c r="F93" s="2"/>
      <c r="G93" s="2"/>
    </row>
    <row r="94">
      <c r="A94" s="2">
        <f>IFERROR(__xludf.DUMMYFUNCTION("""COMPUTED_VALUE"""),93.0)</f>
        <v>93</v>
      </c>
      <c r="B94" s="2" t="str">
        <f>IFERROR(__xludf.DUMMYFUNCTION("""COMPUTED_VALUE"""),"Afrique")</f>
        <v>Afrique</v>
      </c>
      <c r="C94" s="2" t="str">
        <f>IFERROR(__xludf.DUMMYFUNCTION("""COMPUTED_VALUE"""),"Togo")</f>
        <v>Togo</v>
      </c>
      <c r="D94" s="2" t="str">
        <f>IFERROR(__xludf.DUMMYFUNCTION("""COMPUTED_VALUE"""),"*Lomé*")</f>
        <v>*Lomé*</v>
      </c>
      <c r="E94" s="2" t="str">
        <f>IFERROR(__xludf.DUMMYFUNCTION("""COMPUTED_VALUE"""),"837 437")</f>
        <v>837 437</v>
      </c>
      <c r="F94" s="2">
        <f>IFERROR(__xludf.DUMMYFUNCTION("""COMPUTED_VALUE"""),2020.0)</f>
        <v>2020</v>
      </c>
      <c r="G94" s="2"/>
    </row>
    <row r="95">
      <c r="A95" s="2">
        <f>IFERROR(__xludf.DUMMYFUNCTION("""COMPUTED_VALUE"""),92.0)</f>
        <v>92</v>
      </c>
      <c r="B95" s="2" t="str">
        <f>IFERROR(__xludf.DUMMYFUNCTION("""COMPUTED_VALUE"""),"Asie")</f>
        <v>Asie</v>
      </c>
      <c r="C95" s="2" t="str">
        <f>IFERROR(__xludf.DUMMYFUNCTION("""COMPUTED_VALUE"""),"Kazakhstan")</f>
        <v>Kazakhstan</v>
      </c>
      <c r="D95" s="2" t="str">
        <f>IFERROR(__xludf.DUMMYFUNCTION("""COMPUTED_VALUE"""),"*Astana*")</f>
        <v>*Astana*</v>
      </c>
      <c r="E95" s="2" t="str">
        <f>IFERROR(__xludf.DUMMYFUNCTION("""COMPUTED_VALUE"""),"835 153")</f>
        <v>835 153</v>
      </c>
      <c r="F95" s="2">
        <f>IFERROR(__xludf.DUMMYFUNCTION("""COMPUTED_VALUE"""),2014.0)</f>
        <v>2014</v>
      </c>
      <c r="G95" s="2"/>
    </row>
    <row r="96">
      <c r="A96" s="2">
        <f>IFERROR(__xludf.DUMMYFUNCTION("""COMPUTED_VALUE"""),94.0)</f>
        <v>94</v>
      </c>
      <c r="B96" s="2" t="str">
        <f>IFERROR(__xludf.DUMMYFUNCTION("""COMPUTED_VALUE"""),"Asie")</f>
        <v>Asie</v>
      </c>
      <c r="C96" s="2" t="str">
        <f>IFERROR(__xludf.DUMMYFUNCTION("""COMPUTED_VALUE"""),"Népal")</f>
        <v>Népal</v>
      </c>
      <c r="D96" s="2" t="str">
        <f>IFERROR(__xludf.DUMMYFUNCTION("""COMPUTED_VALUE"""),"*Katmandou*")</f>
        <v>*Katmandou*</v>
      </c>
      <c r="E96" s="2" t="str">
        <f>IFERROR(__xludf.DUMMYFUNCTION("""COMPUTED_VALUE"""),"822 930")</f>
        <v>822 930</v>
      </c>
      <c r="F96" s="2">
        <f>IFERROR(__xludf.DUMMYFUNCTION("""COMPUTED_VALUE"""),2020.0)</f>
        <v>2020</v>
      </c>
      <c r="G96" s="2"/>
    </row>
    <row r="97">
      <c r="A97" s="2">
        <f>IFERROR(__xludf.DUMMYFUNCTION("""COMPUTED_VALUE"""),95.0)</f>
        <v>95</v>
      </c>
      <c r="B97" s="2" t="str">
        <f>IFERROR(__xludf.DUMMYFUNCTION("""COMPUTED_VALUE"""),"Asie")</f>
        <v>Asie</v>
      </c>
      <c r="C97" s="2" t="str">
        <f>IFERROR(__xludf.DUMMYFUNCTION("""COMPUTED_VALUE"""),"Oman")</f>
        <v>Oman</v>
      </c>
      <c r="D97" s="2" t="str">
        <f>IFERROR(__xludf.DUMMYFUNCTION("""COMPUTED_VALUE"""),"*Mascate*")</f>
        <v>*Mascate*</v>
      </c>
      <c r="E97" s="2" t="str">
        <f>IFERROR(__xludf.DUMMYFUNCTION("""COMPUTED_VALUE"""),"797 000")</f>
        <v>797 000</v>
      </c>
      <c r="F97" s="2"/>
      <c r="G97" s="2" t="str">
        <f>IFERROR(__xludf.DUMMYFUNCTION("""COMPUTED_VALUE"""),"[48]")</f>
        <v>[48]</v>
      </c>
    </row>
    <row r="98">
      <c r="A98" s="2">
        <f>IFERROR(__xludf.DUMMYFUNCTION("""COMPUTED_VALUE"""),96.0)</f>
        <v>96</v>
      </c>
      <c r="B98" s="2" t="str">
        <f>IFERROR(__xludf.DUMMYFUNCTION("""COMPUTED_VALUE"""),"Afrique")</f>
        <v>Afrique</v>
      </c>
      <c r="C98" s="2" t="str">
        <f>IFERROR(__xludf.DUMMYFUNCTION("""COMPUTED_VALUE"""),"Niger")</f>
        <v>Niger</v>
      </c>
      <c r="D98" s="2" t="str">
        <f>IFERROR(__xludf.DUMMYFUNCTION("""COMPUTED_VALUE"""),"*Niamey*")</f>
        <v>*Niamey*</v>
      </c>
      <c r="E98" s="2" t="str">
        <f>IFERROR(__xludf.DUMMYFUNCTION("""COMPUTED_VALUE"""),"794 814")</f>
        <v>794 814</v>
      </c>
      <c r="F98" s="2"/>
      <c r="G98" s="2" t="str">
        <f>IFERROR(__xludf.DUMMYFUNCTION("""COMPUTED_VALUE"""),"[49]")</f>
        <v>[49]</v>
      </c>
    </row>
    <row r="99">
      <c r="A99" s="2">
        <f>IFERROR(__xludf.DUMMYFUNCTION("""COMPUTED_VALUE"""),97.0)</f>
        <v>97</v>
      </c>
      <c r="B99" s="2" t="str">
        <f>IFERROR(__xludf.DUMMYFUNCTION("""COMPUTED_VALUE"""),"Europe")</f>
        <v>Europe</v>
      </c>
      <c r="C99" s="2" t="str">
        <f>IFERROR(__xludf.DUMMYFUNCTION("""COMPUTED_VALUE"""),"Moldavie")</f>
        <v>Moldavie</v>
      </c>
      <c r="D99" s="2" t="str">
        <f>IFERROR(__xludf.DUMMYFUNCTION("""COMPUTED_VALUE"""),"*Chișinău*")</f>
        <v>*Chișinău*</v>
      </c>
      <c r="E99" s="2" t="str">
        <f>IFERROR(__xludf.DUMMYFUNCTION("""COMPUTED_VALUE"""),"794 800")</f>
        <v>794 800</v>
      </c>
      <c r="F99" s="2"/>
      <c r="G99" s="2" t="str">
        <f>IFERROR(__xludf.DUMMYFUNCTION("""COMPUTED_VALUE"""),"[50]")</f>
        <v>[50]</v>
      </c>
    </row>
    <row r="100">
      <c r="A100" s="2">
        <f>IFERROR(__xludf.DUMMYFUNCTION("""COMPUTED_VALUE"""),98.0)</f>
        <v>98</v>
      </c>
      <c r="B100" s="2" t="str">
        <f>IFERROR(__xludf.DUMMYFUNCTION("""COMPUTED_VALUE"""),"Europe")</f>
        <v>Europe</v>
      </c>
      <c r="C100" s="2" t="str">
        <f>IFERROR(__xludf.DUMMYFUNCTION("""COMPUTED_VALUE"""),"Croatie")</f>
        <v>Croatie</v>
      </c>
      <c r="D100" s="2" t="str">
        <f>IFERROR(__xludf.DUMMYFUNCTION("""COMPUTED_VALUE"""),"*Zagreb*")</f>
        <v>*Zagreb*</v>
      </c>
      <c r="E100" s="2" t="str">
        <f>IFERROR(__xludf.DUMMYFUNCTION("""COMPUTED_VALUE"""),"790 017")</f>
        <v>790 017</v>
      </c>
      <c r="F100" s="2">
        <f>IFERROR(__xludf.DUMMYFUNCTION("""COMPUTED_VALUE"""),2021.0)</f>
        <v>2021</v>
      </c>
      <c r="G100" s="2" t="str">
        <f>IFERROR(__xludf.DUMMYFUNCTION("""COMPUTED_VALUE"""),"[51]")</f>
        <v>[51]</v>
      </c>
    </row>
    <row r="101">
      <c r="A101" s="2">
        <f>IFERROR(__xludf.DUMMYFUNCTION("""COMPUTED_VALUE"""),99.0)</f>
        <v>99</v>
      </c>
      <c r="B101" s="2" t="str">
        <f>IFERROR(__xludf.DUMMYFUNCTION("""COMPUTED_VALUE"""),"Europe")</f>
        <v>Europe</v>
      </c>
      <c r="C101" s="2" t="str">
        <f>IFERROR(__xludf.DUMMYFUNCTION("""COMPUTED_VALUE"""),"Albanie")</f>
        <v>Albanie</v>
      </c>
      <c r="D101" s="2" t="str">
        <f>IFERROR(__xludf.DUMMYFUNCTION("""COMPUTED_VALUE"""),"*Tirana*")</f>
        <v>*Tirana*</v>
      </c>
      <c r="E101" s="2" t="str">
        <f>IFERROR(__xludf.DUMMYFUNCTION("""COMPUTED_VALUE"""),"767 634")</f>
        <v>767 634</v>
      </c>
      <c r="F101" s="2"/>
      <c r="G101" s="2"/>
    </row>
    <row r="102">
      <c r="A102" s="2">
        <f>IFERROR(__xludf.DUMMYFUNCTION("""COMPUTED_VALUE"""),100.0)</f>
        <v>100</v>
      </c>
      <c r="B102" s="2" t="str">
        <f>IFERROR(__xludf.DUMMYFUNCTION("""COMPUTED_VALUE"""),"Afrique")</f>
        <v>Afrique</v>
      </c>
      <c r="C102" s="2" t="str">
        <f>IFERROR(__xludf.DUMMYFUNCTION("""COMPUTED_VALUE"""),"Tunisie")</f>
        <v>Tunisie</v>
      </c>
      <c r="D102" s="2" t="str">
        <f>IFERROR(__xludf.DUMMYFUNCTION("""COMPUTED_VALUE"""),"*Tunis*")</f>
        <v>*Tunis*</v>
      </c>
      <c r="E102" s="2" t="str">
        <f>IFERROR(__xludf.DUMMYFUNCTION("""COMPUTED_VALUE"""),"767 629")</f>
        <v>767 629</v>
      </c>
      <c r="F102" s="2"/>
      <c r="G102" s="2"/>
    </row>
    <row r="103">
      <c r="A103" s="2">
        <f>IFERROR(__xludf.DUMMYFUNCTION("""COMPUTED_VALUE"""),102.0)</f>
        <v>102</v>
      </c>
      <c r="B103" s="2" t="str">
        <f>IFERROR(__xludf.DUMMYFUNCTION("""COMPUTED_VALUE"""),"Asie")</f>
        <v>Asie</v>
      </c>
      <c r="C103" s="2" t="str">
        <f>IFERROR(__xludf.DUMMYFUNCTION("""COMPUTED_VALUE"""),"Turkménistan")</f>
        <v>Turkménistan</v>
      </c>
      <c r="D103" s="2" t="str">
        <f>IFERROR(__xludf.DUMMYFUNCTION("""COMPUTED_VALUE"""),"*Achgabat*")</f>
        <v>*Achgabat*</v>
      </c>
      <c r="E103" s="2" t="str">
        <f>IFERROR(__xludf.DUMMYFUNCTION("""COMPUTED_VALUE"""),"763 537")</f>
        <v>763 537</v>
      </c>
      <c r="F103" s="2"/>
      <c r="G103" s="2"/>
    </row>
    <row r="104">
      <c r="A104" s="2">
        <f>IFERROR(__xludf.DUMMYFUNCTION("""COMPUTED_VALUE"""),103.0)</f>
        <v>103</v>
      </c>
      <c r="B104" s="2" t="str">
        <f>IFERROR(__xludf.DUMMYFUNCTION("""COMPUTED_VALUE"""),"Afrique")</f>
        <v>Afrique</v>
      </c>
      <c r="C104" s="2" t="str">
        <f>IFERROR(__xludf.DUMMYFUNCTION("""COMPUTED_VALUE"""),"Tchad")</f>
        <v>Tchad</v>
      </c>
      <c r="D104" s="2" t="str">
        <f>IFERROR(__xludf.DUMMYFUNCTION("""COMPUTED_VALUE"""),"*N'Djaména*")</f>
        <v>*N'Djaména*</v>
      </c>
      <c r="E104" s="2" t="str">
        <f>IFERROR(__xludf.DUMMYFUNCTION("""COMPUTED_VALUE"""),"751 288")</f>
        <v>751 288</v>
      </c>
      <c r="F104" s="2"/>
      <c r="G104" s="2"/>
    </row>
    <row r="105">
      <c r="A105" s="2">
        <f>IFERROR(__xludf.DUMMYFUNCTION("""COMPUTED_VALUE"""),104.0)</f>
        <v>104</v>
      </c>
      <c r="B105" s="2" t="str">
        <f>IFERROR(__xludf.DUMMYFUNCTION("""COMPUTED_VALUE"""),"Afrique")</f>
        <v>Afrique</v>
      </c>
      <c r="C105" s="2" t="str">
        <f>IFERROR(__xludf.DUMMYFUNCTION("""COMPUTED_VALUE"""),"Afrique du Sud")</f>
        <v>Afrique du Sud</v>
      </c>
      <c r="D105" s="2" t="str">
        <f>IFERROR(__xludf.DUMMYFUNCTION("""COMPUTED_VALUE"""),"*Pretoria*")</f>
        <v>*Pretoria*</v>
      </c>
      <c r="E105" s="2" t="str">
        <f>IFERROR(__xludf.DUMMYFUNCTION("""COMPUTED_VALUE"""),"741 000")</f>
        <v>741 000</v>
      </c>
      <c r="F105" s="2">
        <f>IFERROR(__xludf.DUMMYFUNCTION("""COMPUTED_VALUE"""),2011.0)</f>
        <v>2011</v>
      </c>
      <c r="G105" s="2"/>
    </row>
    <row r="106">
      <c r="A106" s="2">
        <f>IFERROR(__xludf.DUMMYFUNCTION("""COMPUTED_VALUE"""),105.0)</f>
        <v>105</v>
      </c>
      <c r="B106" s="2" t="str">
        <f>IFERROR(__xludf.DUMMYFUNCTION("""COMPUTED_VALUE"""),"Amérique")</f>
        <v>Amérique</v>
      </c>
      <c r="C106" s="2" t="str">
        <f>IFERROR(__xludf.DUMMYFUNCTION("""COMPUTED_VALUE"""),"Honduras")</f>
        <v>Honduras</v>
      </c>
      <c r="D106" s="2" t="str">
        <f>IFERROR(__xludf.DUMMYFUNCTION("""COMPUTED_VALUE"""),"*Tegucigalpa*")</f>
        <v>*Tegucigalpa*</v>
      </c>
      <c r="E106" s="2" t="str">
        <f>IFERROR(__xludf.DUMMYFUNCTION("""COMPUTED_VALUE"""),"735 982")</f>
        <v>735 982</v>
      </c>
      <c r="F106" s="2"/>
      <c r="G106" s="2"/>
    </row>
    <row r="107">
      <c r="A107" s="2">
        <f>IFERROR(__xludf.DUMMYFUNCTION("""COMPUTED_VALUE"""),106.0)</f>
        <v>106</v>
      </c>
      <c r="B107" s="2" t="str">
        <f>IFERROR(__xludf.DUMMYFUNCTION("""COMPUTED_VALUE"""),"Afrique")</f>
        <v>Afrique</v>
      </c>
      <c r="C107" s="2" t="str">
        <f>IFERROR(__xludf.DUMMYFUNCTION("""COMPUTED_VALUE"""),"République centrafricaine")</f>
        <v>République centrafricaine</v>
      </c>
      <c r="D107" s="2" t="str">
        <f>IFERROR(__xludf.DUMMYFUNCTION("""COMPUTED_VALUE"""),"*Bangui*")</f>
        <v>*Bangui*</v>
      </c>
      <c r="E107" s="2" t="str">
        <f>IFERROR(__xludf.DUMMYFUNCTION("""COMPUTED_VALUE"""),"731 548")</f>
        <v>731 548</v>
      </c>
      <c r="F107" s="2"/>
      <c r="G107" s="2"/>
    </row>
    <row r="108">
      <c r="A108" s="2">
        <f>IFERROR(__xludf.DUMMYFUNCTION("""COMPUTED_VALUE"""),107.0)</f>
        <v>107</v>
      </c>
      <c r="B108" s="2" t="str">
        <f>IFERROR(__xludf.DUMMYFUNCTION("""COMPUTED_VALUE"""),"Europe")</f>
        <v>Europe</v>
      </c>
      <c r="C108" s="2" t="str">
        <f>IFERROR(__xludf.DUMMYFUNCTION("""COMPUTED_VALUE"""),"Grèce")</f>
        <v>Grèce</v>
      </c>
      <c r="D108" s="2" t="str">
        <f>IFERROR(__xludf.DUMMYFUNCTION("""COMPUTED_VALUE"""),"*Athènes*")</f>
        <v>*Athènes*</v>
      </c>
      <c r="E108" s="2" t="str">
        <f>IFERROR(__xludf.DUMMYFUNCTION("""COMPUTED_VALUE"""),"721 477")</f>
        <v>721 477</v>
      </c>
      <c r="F108" s="2"/>
      <c r="G108" s="2"/>
    </row>
    <row r="109">
      <c r="A109" s="2">
        <f>IFERROR(__xludf.DUMMYFUNCTION("""COMPUTED_VALUE"""),109.0)</f>
        <v>109</v>
      </c>
      <c r="B109" s="2" t="str">
        <f>IFERROR(__xludf.DUMMYFUNCTION("""COMPUTED_VALUE"""),"Afrique")</f>
        <v>Afrique</v>
      </c>
      <c r="C109" s="2" t="str">
        <f>IFERROR(__xludf.DUMMYFUNCTION("""COMPUTED_VALUE"""),"Rwanda")</f>
        <v>Rwanda</v>
      </c>
      <c r="D109" s="2" t="str">
        <f>IFERROR(__xludf.DUMMYFUNCTION("""COMPUTED_VALUE"""),"*Kigali*")</f>
        <v>*Kigali*</v>
      </c>
      <c r="E109" s="2" t="str">
        <f>IFERROR(__xludf.DUMMYFUNCTION("""COMPUTED_VALUE"""),"718 414")</f>
        <v>718 414</v>
      </c>
      <c r="F109" s="2"/>
      <c r="G109" s="2"/>
    </row>
    <row r="110">
      <c r="A110" s="2">
        <f>IFERROR(__xludf.DUMMYFUNCTION("""COMPUTED_VALUE"""),110.0)</f>
        <v>110</v>
      </c>
      <c r="B110" s="2" t="str">
        <f>IFERROR(__xludf.DUMMYFUNCTION("""COMPUTED_VALUE"""),"Europe")</f>
        <v>Europe</v>
      </c>
      <c r="C110" s="2" t="str">
        <f>IFERROR(__xludf.DUMMYFUNCTION("""COMPUTED_VALUE"""),"Lettonie")</f>
        <v>Lettonie</v>
      </c>
      <c r="D110" s="2" t="str">
        <f>IFERROR(__xludf.DUMMYFUNCTION("""COMPUTED_VALUE"""),"*Riga*")</f>
        <v>*Riga*</v>
      </c>
      <c r="E110" s="2" t="str">
        <f>IFERROR(__xludf.DUMMYFUNCTION("""COMPUTED_VALUE"""),"713 016")</f>
        <v>713 016</v>
      </c>
      <c r="F110" s="2"/>
      <c r="G110" s="2"/>
    </row>
    <row r="111">
      <c r="A111" s="2">
        <f>IFERROR(__xludf.DUMMYFUNCTION("""COMPUTED_VALUE"""),111.0)</f>
        <v>111</v>
      </c>
      <c r="B111" s="2" t="str">
        <f>IFERROR(__xludf.DUMMYFUNCTION("""COMPUTED_VALUE"""),"Amérique")</f>
        <v>Amérique</v>
      </c>
      <c r="C111" s="2" t="str">
        <f>IFERROR(__xludf.DUMMYFUNCTION("""COMPUTED_VALUE"""),"Jamaïque")</f>
        <v>Jamaïque</v>
      </c>
      <c r="D111" s="2" t="str">
        <f>IFERROR(__xludf.DUMMYFUNCTION("""COMPUTED_VALUE"""),"*Kingston*")</f>
        <v>*Kingston*</v>
      </c>
      <c r="E111" s="2" t="str">
        <f>IFERROR(__xludf.DUMMYFUNCTION("""COMPUTED_VALUE"""),"692 011")</f>
        <v>692 011</v>
      </c>
      <c r="F111" s="2">
        <f>IFERROR(__xludf.DUMMYFUNCTION("""COMPUTED_VALUE"""),2021.0)</f>
        <v>2021</v>
      </c>
      <c r="G111" s="2"/>
    </row>
    <row r="112">
      <c r="A112" s="2">
        <f>IFERROR(__xludf.DUMMYFUNCTION("""COMPUTED_VALUE"""),112.0)</f>
        <v>112</v>
      </c>
      <c r="B112" s="2" t="str">
        <f>IFERROR(__xludf.DUMMYFUNCTION("""COMPUTED_VALUE"""),"Amérique")</f>
        <v>Amérique</v>
      </c>
      <c r="C112" s="2" t="str">
        <f>IFERROR(__xludf.DUMMYFUNCTION("""COMPUTED_VALUE"""),"États-Unis")</f>
        <v>États-Unis</v>
      </c>
      <c r="D112" s="2" t="str">
        <f>IFERROR(__xludf.DUMMYFUNCTION("""COMPUTED_VALUE"""),"*Washington*")</f>
        <v>*Washington*</v>
      </c>
      <c r="E112" s="2" t="str">
        <f>IFERROR(__xludf.DUMMYFUNCTION("""COMPUTED_VALUE"""),"692 000")</f>
        <v>692 000</v>
      </c>
      <c r="F112" s="2">
        <f>IFERROR(__xludf.DUMMYFUNCTION("""COMPUTED_VALUE"""),2020.0)</f>
        <v>2020</v>
      </c>
      <c r="G112" s="2"/>
    </row>
    <row r="113">
      <c r="A113" s="2">
        <f>IFERROR(__xludf.DUMMYFUNCTION("""COMPUTED_VALUE"""),113.0)</f>
        <v>113</v>
      </c>
      <c r="B113" s="2" t="str">
        <f>IFERROR(__xludf.DUMMYFUNCTION("""COMPUTED_VALUE"""),"Europe")</f>
        <v>Europe</v>
      </c>
      <c r="C113" s="2" t="str">
        <f>IFERROR(__xludf.DUMMYFUNCTION("""COMPUTED_VALUE"""),"Grèce")</f>
        <v>Grèce</v>
      </c>
      <c r="D113" s="2" t="str">
        <f>IFERROR(__xludf.DUMMYFUNCTION("""COMPUTED_VALUE"""),"*Athènes*")</f>
        <v>*Athènes*</v>
      </c>
      <c r="E113" s="2" t="str">
        <f>IFERROR(__xludf.DUMMYFUNCTION("""COMPUTED_VALUE"""),"664 046")</f>
        <v>664 046</v>
      </c>
      <c r="F113" s="2">
        <f>IFERROR(__xludf.DUMMYFUNCTION("""COMPUTED_VALUE"""),2011.0)</f>
        <v>2011</v>
      </c>
      <c r="G113" s="2"/>
    </row>
    <row r="114">
      <c r="A114" s="2">
        <f>IFERROR(__xludf.DUMMYFUNCTION("""COMPUTED_VALUE"""),114.0)</f>
        <v>114</v>
      </c>
      <c r="B114" s="2" t="str">
        <f>IFERROR(__xludf.DUMMYFUNCTION("""COMPUTED_VALUE"""),"Europe")</f>
        <v>Europe</v>
      </c>
      <c r="C114" s="2" t="str">
        <f>IFERROR(__xludf.DUMMYFUNCTION("""COMPUTED_VALUE"""),"Finlande")</f>
        <v>Finlande</v>
      </c>
      <c r="D114" s="2" t="str">
        <f>IFERROR(__xludf.DUMMYFUNCTION("""COMPUTED_VALUE"""),"*Helsinki*")</f>
        <v>*Helsinki*</v>
      </c>
      <c r="E114" s="2" t="str">
        <f>IFERROR(__xludf.DUMMYFUNCTION("""COMPUTED_VALUE"""),"655 395")</f>
        <v>655 395</v>
      </c>
      <c r="F114" s="2">
        <f>IFERROR(__xludf.DUMMYFUNCTION("""COMPUTED_VALUE"""),2020.0)</f>
        <v>2020</v>
      </c>
      <c r="G114" s="2" t="str">
        <f>IFERROR(__xludf.DUMMYFUNCTION("""COMPUTED_VALUE"""),"[52]")</f>
        <v>[52]</v>
      </c>
    </row>
    <row r="115">
      <c r="A115" s="2">
        <f>IFERROR(__xludf.DUMMYFUNCTION("""COMPUTED_VALUE"""),113.0)</f>
        <v>113</v>
      </c>
      <c r="B115" s="2" t="str">
        <f>IFERROR(__xludf.DUMMYFUNCTION("""COMPUTED_VALUE"""),"Europe")</f>
        <v>Europe</v>
      </c>
      <c r="C115" s="2" t="str">
        <f>IFERROR(__xludf.DUMMYFUNCTION("""COMPUTED_VALUE"""),"Norvège")</f>
        <v>Norvège</v>
      </c>
      <c r="D115" s="2" t="str">
        <f>IFERROR(__xludf.DUMMYFUNCTION("""COMPUTED_VALUE"""),"*Oslo*")</f>
        <v>*Oslo*</v>
      </c>
      <c r="E115" s="2" t="str">
        <f>IFERROR(__xludf.DUMMYFUNCTION("""COMPUTED_VALUE"""),"645 701")</f>
        <v>645 701</v>
      </c>
      <c r="F115" s="2">
        <f>IFERROR(__xludf.DUMMYFUNCTION("""COMPUTED_VALUE"""),2013.0)</f>
        <v>2013</v>
      </c>
      <c r="G115" s="2" t="str">
        <f>IFERROR(__xludf.DUMMYFUNCTION("""COMPUTED_VALUE"""),"[53]")</f>
        <v>[53]</v>
      </c>
    </row>
    <row r="116">
      <c r="A116" s="2">
        <f>IFERROR(__xludf.DUMMYFUNCTION("""COMPUTED_VALUE"""),115.0)</f>
        <v>115</v>
      </c>
      <c r="B116" s="2" t="str">
        <f>IFERROR(__xludf.DUMMYFUNCTION("""COMPUTED_VALUE"""),"Asie")</f>
        <v>Asie</v>
      </c>
      <c r="C116" s="2" t="str">
        <f>IFERROR(__xludf.DUMMYFUNCTION("""COMPUTED_VALUE"""),"Émirats arabes unis")</f>
        <v>Émirats arabes unis</v>
      </c>
      <c r="D116" s="2" t="str">
        <f>IFERROR(__xludf.DUMMYFUNCTION("""COMPUTED_VALUE"""),"*Abou Dabi*")</f>
        <v>*Abou Dabi*</v>
      </c>
      <c r="E116" s="2" t="str">
        <f>IFERROR(__xludf.DUMMYFUNCTION("""COMPUTED_VALUE"""),"585 097")</f>
        <v>585 097</v>
      </c>
      <c r="F116" s="2"/>
      <c r="G116" s="2" t="str">
        <f>IFERROR(__xludf.DUMMYFUNCTION("""COMPUTED_VALUE"""),"[54]")</f>
        <v>[54]</v>
      </c>
    </row>
    <row r="117">
      <c r="A117" s="2">
        <f>IFERROR(__xludf.DUMMYFUNCTION("""COMPUTED_VALUE"""),116.0)</f>
        <v>116</v>
      </c>
      <c r="B117" s="2" t="str">
        <f>IFERROR(__xludf.DUMMYFUNCTION("""COMPUTED_VALUE"""),"Asie")</f>
        <v>Asie</v>
      </c>
      <c r="C117" s="2" t="str">
        <f>IFERROR(__xludf.DUMMYFUNCTION("""COMPUTED_VALUE"""),"Tadjikistan")</f>
        <v>Tadjikistan</v>
      </c>
      <c r="D117" s="2" t="str">
        <f>IFERROR(__xludf.DUMMYFUNCTION("""COMPUTED_VALUE"""),"*Douchanbé*")</f>
        <v>*Douchanbé*</v>
      </c>
      <c r="E117" s="2" t="str">
        <f>IFERROR(__xludf.DUMMYFUNCTION("""COMPUTED_VALUE"""),"582 496")</f>
        <v>582 496</v>
      </c>
      <c r="F117" s="2"/>
      <c r="G117" s="2"/>
    </row>
    <row r="118">
      <c r="A118" s="2">
        <f>IFERROR(__xludf.DUMMYFUNCTION("""COMPUTED_VALUE"""),117.0)</f>
        <v>117</v>
      </c>
      <c r="B118" s="2" t="str">
        <f>IFERROR(__xludf.DUMMYFUNCTION("""COMPUTED_VALUE"""),"Europe")</f>
        <v>Europe</v>
      </c>
      <c r="C118" s="2" t="str">
        <f>IFERROR(__xludf.DUMMYFUNCTION("""COMPUTED_VALUE"""),"Lituanie")</f>
        <v>Lituanie</v>
      </c>
      <c r="D118" s="2" t="str">
        <f>IFERROR(__xludf.DUMMYFUNCTION("""COMPUTED_VALUE"""),"*Vilnius*")</f>
        <v>*Vilnius*</v>
      </c>
      <c r="E118" s="2" t="str">
        <f>IFERROR(__xludf.DUMMYFUNCTION("""COMPUTED_VALUE"""),"556 723")</f>
        <v>556 723</v>
      </c>
      <c r="F118" s="2"/>
      <c r="G118" s="2"/>
    </row>
    <row r="119">
      <c r="A119" s="2">
        <f>IFERROR(__xludf.DUMMYFUNCTION("""COMPUTED_VALUE"""),118.0)</f>
        <v>118</v>
      </c>
      <c r="B119" s="2" t="str">
        <f>IFERROR(__xludf.DUMMYFUNCTION("""COMPUTED_VALUE"""),"Afrique")</f>
        <v>Afrique</v>
      </c>
      <c r="C119" s="2" t="str">
        <f>IFERROR(__xludf.DUMMYFUNCTION("""COMPUTED_VALUE"""),"Gabon")</f>
        <v>Gabon</v>
      </c>
      <c r="D119" s="2" t="str">
        <f>IFERROR(__xludf.DUMMYFUNCTION("""COMPUTED_VALUE"""),"*Libreville*")</f>
        <v>*Libreville*</v>
      </c>
      <c r="E119" s="2" t="str">
        <f>IFERROR(__xludf.DUMMYFUNCTION("""COMPUTED_VALUE"""),"556 425")</f>
        <v>556 425</v>
      </c>
      <c r="F119" s="2"/>
      <c r="G119" s="2"/>
    </row>
    <row r="120">
      <c r="A120" s="2">
        <f>IFERROR(__xludf.DUMMYFUNCTION("""COMPUTED_VALUE"""),120.0)</f>
        <v>120</v>
      </c>
      <c r="B120" s="2" t="str">
        <f>IFERROR(__xludf.DUMMYFUNCTION("""COMPUTED_VALUE"""),"Europe")</f>
        <v>Europe</v>
      </c>
      <c r="C120" s="2" t="str">
        <f>IFERROR(__xludf.DUMMYFUNCTION("""COMPUTED_VALUE"""),"Portugal")</f>
        <v>Portugal</v>
      </c>
      <c r="D120" s="2" t="str">
        <f>IFERROR(__xludf.DUMMYFUNCTION("""COMPUTED_VALUE"""),"*Lisbonne*")</f>
        <v>*Lisbonne*</v>
      </c>
      <c r="E120" s="2" t="str">
        <f>IFERROR(__xludf.DUMMYFUNCTION("""COMPUTED_VALUE"""),"564 657")</f>
        <v>564 657</v>
      </c>
      <c r="F120" s="2"/>
      <c r="G120" s="2"/>
    </row>
    <row r="121">
      <c r="A121" s="2">
        <f>IFERROR(__xludf.DUMMYFUNCTION("""COMPUTED_VALUE"""),121.0)</f>
        <v>121</v>
      </c>
      <c r="B121" s="2" t="str">
        <f>IFERROR(__xludf.DUMMYFUNCTION("""COMPUTED_VALUE"""),"Europe")</f>
        <v>Europe</v>
      </c>
      <c r="C121" s="2" t="str">
        <f>IFERROR(__xludf.DUMMYFUNCTION("""COMPUTED_VALUE"""),"Irlande")</f>
        <v>Irlande</v>
      </c>
      <c r="D121" s="2" t="str">
        <f>IFERROR(__xludf.DUMMYFUNCTION("""COMPUTED_VALUE"""),"*Dublin*")</f>
        <v>*Dublin*</v>
      </c>
      <c r="E121" s="2" t="str">
        <f>IFERROR(__xludf.DUMMYFUNCTION("""COMPUTED_VALUE"""),"544 107")</f>
        <v>544 107</v>
      </c>
      <c r="F121" s="2">
        <f>IFERROR(__xludf.DUMMYFUNCTION("""COMPUTED_VALUE"""),2016.0)</f>
        <v>2016</v>
      </c>
      <c r="G121" s="2" t="str">
        <f>IFERROR(__xludf.DUMMYFUNCTION("""COMPUTED_VALUE"""),"[55]")</f>
        <v>[55]</v>
      </c>
    </row>
    <row r="122">
      <c r="A122" s="2">
        <f>IFERROR(__xludf.DUMMYFUNCTION("""COMPUTED_VALUE"""),119.0)</f>
        <v>119</v>
      </c>
      <c r="B122" s="2" t="str">
        <f>IFERROR(__xludf.DUMMYFUNCTION("""COMPUTED_VALUE"""),"Afrique")</f>
        <v>Afrique</v>
      </c>
      <c r="C122" s="2" t="str">
        <f>IFERROR(__xludf.DUMMYFUNCTION("""COMPUTED_VALUE"""),"Érythrée")</f>
        <v>Érythrée</v>
      </c>
      <c r="D122" s="2" t="str">
        <f>IFERROR(__xludf.DUMMYFUNCTION("""COMPUTED_VALUE"""),"*Asmara*")</f>
        <v>*Asmara*</v>
      </c>
      <c r="E122" s="2" t="str">
        <f>IFERROR(__xludf.DUMMYFUNCTION("""COMPUTED_VALUE"""),"543 707")</f>
        <v>543 707</v>
      </c>
      <c r="F122" s="2"/>
      <c r="G122" s="2"/>
    </row>
    <row r="123">
      <c r="A123" s="2">
        <f>IFERROR(__xludf.DUMMYFUNCTION("""COMPUTED_VALUE"""),122.0)</f>
        <v>122</v>
      </c>
      <c r="B123" s="2" t="str">
        <f>IFERROR(__xludf.DUMMYFUNCTION("""COMPUTED_VALUE"""),"Europe")</f>
        <v>Europe</v>
      </c>
      <c r="C123" s="2" t="str">
        <f>IFERROR(__xludf.DUMMYFUNCTION("""COMPUTED_VALUE"""),"Macédoine du Nord")</f>
        <v>Macédoine du Nord</v>
      </c>
      <c r="D123" s="2" t="str">
        <f>IFERROR(__xludf.DUMMYFUNCTION("""COMPUTED_VALUE"""),"*Skopje*")</f>
        <v>*Skopje*</v>
      </c>
      <c r="E123" s="2" t="str">
        <f>IFERROR(__xludf.DUMMYFUNCTION("""COMPUTED_VALUE"""),"526 502")</f>
        <v>526 502</v>
      </c>
      <c r="F123" s="2">
        <f>IFERROR(__xludf.DUMMYFUNCTION("""COMPUTED_VALUE"""),2021.0)</f>
        <v>2021</v>
      </c>
      <c r="G123" s="2" t="str">
        <f>IFERROR(__xludf.DUMMYFUNCTION("""COMPUTED_VALUE"""),"[56]")</f>
        <v>[56]</v>
      </c>
    </row>
    <row r="124">
      <c r="A124" s="2">
        <f>IFERROR(__xludf.DUMMYFUNCTION("""COMPUTED_VALUE"""),123.0)</f>
        <v>123</v>
      </c>
      <c r="B124" s="2" t="str">
        <f>IFERROR(__xludf.DUMMYFUNCTION("""COMPUTED_VALUE"""),"Amérique")</f>
        <v>Amérique</v>
      </c>
      <c r="C124" s="2" t="str">
        <f>IFERROR(__xludf.DUMMYFUNCTION("""COMPUTED_VALUE"""),"El Salvador")</f>
        <v>El Salvador</v>
      </c>
      <c r="D124" s="2" t="str">
        <f>IFERROR(__xludf.DUMMYFUNCTION("""COMPUTED_VALUE"""),"*San Salvador*")</f>
        <v>*San Salvador*</v>
      </c>
      <c r="E124" s="2" t="str">
        <f>IFERROR(__xludf.DUMMYFUNCTION("""COMPUTED_VALUE"""),"521 366")</f>
        <v>521 366</v>
      </c>
      <c r="F124" s="2"/>
      <c r="G124" s="2"/>
    </row>
    <row r="125">
      <c r="A125" s="2">
        <f>IFERROR(__xludf.DUMMYFUNCTION("""COMPUTED_VALUE"""),124.0)</f>
        <v>124</v>
      </c>
      <c r="B125" s="2" t="str">
        <f>IFERROR(__xludf.DUMMYFUNCTION("""COMPUTED_VALUE"""),"Amérique")</f>
        <v>Amérique</v>
      </c>
      <c r="C125" s="2" t="str">
        <f>IFERROR(__xludf.DUMMYFUNCTION("""COMPUTED_VALUE"""),"Paraguay")</f>
        <v>Paraguay</v>
      </c>
      <c r="D125" s="2" t="str">
        <f>IFERROR(__xludf.DUMMYFUNCTION("""COMPUTED_VALUE"""),"*Asunción*")</f>
        <v>*Asunción*</v>
      </c>
      <c r="E125" s="2" t="str">
        <f>IFERROR(__xludf.DUMMYFUNCTION("""COMPUTED_VALUE"""),"520 722")</f>
        <v>520 722</v>
      </c>
      <c r="F125" s="2"/>
      <c r="G125" s="2"/>
    </row>
    <row r="126">
      <c r="A126" s="2">
        <f>IFERROR(__xludf.DUMMYFUNCTION("""COMPUTED_VALUE"""),125.0)</f>
        <v>125</v>
      </c>
      <c r="B126" s="2" t="str">
        <f>IFERROR(__xludf.DUMMYFUNCTION("""COMPUTED_VALUE"""),"Europe")</f>
        <v>Europe</v>
      </c>
      <c r="C126" s="2" t="str">
        <f>IFERROR(__xludf.DUMMYFUNCTION("""COMPUTED_VALUE"""),"Danemark")</f>
        <v>Danemark</v>
      </c>
      <c r="D126" s="2" t="str">
        <f>IFERROR(__xludf.DUMMYFUNCTION("""COMPUTED_VALUE"""),"*Copenhague*")</f>
        <v>*Copenhague*</v>
      </c>
      <c r="E126" s="2" t="str">
        <f>IFERROR(__xludf.DUMMYFUNCTION("""COMPUTED_VALUE"""),"512 253")</f>
        <v>512 253</v>
      </c>
      <c r="F126" s="2"/>
      <c r="G126" s="2"/>
    </row>
    <row r="127">
      <c r="A127" s="2">
        <f>IFERROR(__xludf.DUMMYFUNCTION("""COMPUTED_VALUE"""),93.0)</f>
        <v>93</v>
      </c>
      <c r="B127" s="2" t="str">
        <f>IFERROR(__xludf.DUMMYFUNCTION("""COMPUTED_VALUE"""),"Amérique")</f>
        <v>Amérique</v>
      </c>
      <c r="C127" s="2" t="str">
        <f>IFERROR(__xludf.DUMMYFUNCTION("""COMPUTED_VALUE"""),"Panama")</f>
        <v>Panama</v>
      </c>
      <c r="D127" s="2" t="str">
        <f>IFERROR(__xludf.DUMMYFUNCTION("""COMPUTED_VALUE"""),"*Panama*")</f>
        <v>*Panama*</v>
      </c>
      <c r="E127" s="2" t="str">
        <f>IFERROR(__xludf.DUMMYFUNCTION("""COMPUTED_VALUE"""),"498 070")</f>
        <v>498 070</v>
      </c>
      <c r="F127" s="2">
        <f>IFERROR(__xludf.DUMMYFUNCTION("""COMPUTED_VALUE"""),2015.0)</f>
        <v>2015</v>
      </c>
      <c r="G127" s="2" t="str">
        <f>IFERROR(__xludf.DUMMYFUNCTION("""COMPUTED_VALUE"""),"[57]")</f>
        <v>[57]</v>
      </c>
    </row>
    <row r="128">
      <c r="A128" s="2">
        <f>IFERROR(__xludf.DUMMYFUNCTION("""COMPUTED_VALUE"""),126.0)</f>
        <v>126</v>
      </c>
      <c r="B128" s="2" t="str">
        <f>IFERROR(__xludf.DUMMYFUNCTION("""COMPUTED_VALUE"""),"Afrique")</f>
        <v>Afrique</v>
      </c>
      <c r="C128" s="2" t="str">
        <f>IFERROR(__xludf.DUMMYFUNCTION("""COMPUTED_VALUE"""),"Djibouti")</f>
        <v>Djibouti</v>
      </c>
      <c r="D128" s="2" t="str">
        <f>IFERROR(__xludf.DUMMYFUNCTION("""COMPUTED_VALUE"""),"*Djibouti*")</f>
        <v>*Djibouti*</v>
      </c>
      <c r="E128" s="2" t="str">
        <f>IFERROR(__xludf.DUMMYFUNCTION("""COMPUTED_VALUE"""),"475 332")</f>
        <v>475 332</v>
      </c>
      <c r="F128" s="2"/>
      <c r="G128" s="2"/>
    </row>
    <row r="129">
      <c r="A129" s="2">
        <f>IFERROR(__xludf.DUMMYFUNCTION("""COMPUTED_VALUE"""),136.0)</f>
        <v>136</v>
      </c>
      <c r="B129" s="2" t="str">
        <f>IFERROR(__xludf.DUMMYFUNCTION("""COMPUTED_VALUE"""),"Océanie")</f>
        <v>Océanie</v>
      </c>
      <c r="C129" s="2" t="str">
        <f>IFERROR(__xludf.DUMMYFUNCTION("""COMPUTED_VALUE"""),"Australie")</f>
        <v>Australie</v>
      </c>
      <c r="D129" s="2" t="str">
        <f>IFERROR(__xludf.DUMMYFUNCTION("""COMPUTED_VALUE"""),"*Canberra*")</f>
        <v>*Canberra*</v>
      </c>
      <c r="E129" s="2" t="str">
        <f>IFERROR(__xludf.DUMMYFUNCTION("""COMPUTED_VALUE"""),"456 692")</f>
        <v>456 692</v>
      </c>
      <c r="F129" s="2">
        <f>IFERROR(__xludf.DUMMYFUNCTION("""COMPUTED_VALUE"""),2022.0)</f>
        <v>2022</v>
      </c>
      <c r="G129" s="2" t="str">
        <f>IFERROR(__xludf.DUMMYFUNCTION("""COMPUTED_VALUE"""),"[58]")</f>
        <v>[58]</v>
      </c>
    </row>
    <row r="130">
      <c r="A130" s="2">
        <f>IFERROR(__xludf.DUMMYFUNCTION("""COMPUTED_VALUE"""),127.0)</f>
        <v>127</v>
      </c>
      <c r="B130" s="2" t="str">
        <f>IFERROR(__xludf.DUMMYFUNCTION("""COMPUTED_VALUE"""),"Afrique")</f>
        <v>Afrique</v>
      </c>
      <c r="C130" s="2" t="str">
        <f>IFERROR(__xludf.DUMMYFUNCTION("""COMPUTED_VALUE"""),"Côte d'Ivoire")</f>
        <v>Côte d'Ivoire</v>
      </c>
      <c r="D130" s="2" t="str">
        <f>IFERROR(__xludf.DUMMYFUNCTION("""COMPUTED_VALUE"""),"*Yamoussoukro*")</f>
        <v>*Yamoussoukro*</v>
      </c>
      <c r="E130" s="2" t="str">
        <f>IFERROR(__xludf.DUMMYFUNCTION("""COMPUTED_VALUE"""),"454 929")</f>
        <v>454 929</v>
      </c>
      <c r="F130" s="2"/>
      <c r="G130" s="2"/>
    </row>
    <row r="131">
      <c r="A131" s="2">
        <f>IFERROR(__xludf.DUMMYFUNCTION("""COMPUTED_VALUE"""),128.0)</f>
        <v>128</v>
      </c>
      <c r="B131" s="2" t="str">
        <f>IFERROR(__xludf.DUMMYFUNCTION("""COMPUTED_VALUE"""),"Afrique")</f>
        <v>Afrique</v>
      </c>
      <c r="C131" s="2" t="str">
        <f>IFERROR(__xludf.DUMMYFUNCTION("""COMPUTED_VALUE"""),"Guinée-Bissau")</f>
        <v>Guinée-Bissau</v>
      </c>
      <c r="D131" s="2" t="str">
        <f>IFERROR(__xludf.DUMMYFUNCTION("""COMPUTED_VALUE"""),"*Bissau*")</f>
        <v>*Bissau*</v>
      </c>
      <c r="E131" s="2" t="str">
        <f>IFERROR(__xludf.DUMMYFUNCTION("""COMPUTED_VALUE"""),"452 640")</f>
        <v>452 640</v>
      </c>
      <c r="F131" s="2"/>
      <c r="G131" s="2"/>
    </row>
    <row r="132">
      <c r="A132" s="2">
        <f>IFERROR(__xludf.DUMMYFUNCTION("""COMPUTED_VALUE"""),129.0)</f>
        <v>129</v>
      </c>
      <c r="B132" s="2" t="str">
        <f>IFERROR(__xludf.DUMMYFUNCTION("""COMPUTED_VALUE"""),"Europe")</f>
        <v>Europe</v>
      </c>
      <c r="C132" s="2" t="str">
        <f>IFERROR(__xludf.DUMMYFUNCTION("""COMPUTED_VALUE"""),"Slovaquie")</f>
        <v>Slovaquie</v>
      </c>
      <c r="D132" s="2" t="str">
        <f>IFERROR(__xludf.DUMMYFUNCTION("""COMPUTED_VALUE"""),"*Bratislava*")</f>
        <v>*Bratislava*</v>
      </c>
      <c r="E132" s="2" t="str">
        <f>IFERROR(__xludf.DUMMYFUNCTION("""COMPUTED_VALUE"""),"424 207")</f>
        <v>424 207</v>
      </c>
      <c r="F132" s="2"/>
      <c r="G132" s="2"/>
    </row>
    <row r="133">
      <c r="A133" s="2">
        <f>IFERROR(__xludf.DUMMYFUNCTION("""COMPUTED_VALUE"""),130.0)</f>
        <v>130</v>
      </c>
      <c r="B133" s="2" t="str">
        <f>IFERROR(__xludf.DUMMYFUNCTION("""COMPUTED_VALUE"""),"Europe")</f>
        <v>Europe</v>
      </c>
      <c r="C133" s="2" t="str">
        <f>IFERROR(__xludf.DUMMYFUNCTION("""COMPUTED_VALUE"""),"Estonie")</f>
        <v>Estonie</v>
      </c>
      <c r="D133" s="2" t="str">
        <f>IFERROR(__xludf.DUMMYFUNCTION("""COMPUTED_VALUE"""),"*Tallinn*")</f>
        <v>*Tallinn*</v>
      </c>
      <c r="E133" s="2" t="str">
        <f>IFERROR(__xludf.DUMMYFUNCTION("""COMPUTED_VALUE"""),"403 547")</f>
        <v>403 547</v>
      </c>
      <c r="F133" s="2"/>
      <c r="G133" s="2" t="str">
        <f>IFERROR(__xludf.DUMMYFUNCTION("""COMPUTED_VALUE"""),"[59]")</f>
        <v>[59]</v>
      </c>
    </row>
    <row r="134">
      <c r="A134" s="2">
        <f>IFERROR(__xludf.DUMMYFUNCTION("""COMPUTED_VALUE"""),131.0)</f>
        <v>131</v>
      </c>
      <c r="B134" s="2" t="str">
        <f>IFERROR(__xludf.DUMMYFUNCTION("""COMPUTED_VALUE"""),"Europe")</f>
        <v>Europe</v>
      </c>
      <c r="C134" s="2" t="str">
        <f>IFERROR(__xludf.DUMMYFUNCTION("""COMPUTED_VALUE"""),"Bulgarie")</f>
        <v>Bulgarie</v>
      </c>
      <c r="D134" s="2" t="str">
        <f>IFERROR(__xludf.DUMMYFUNCTION("""COMPUTED_VALUE"""),"*Sofia*")</f>
        <v>*Sofia*</v>
      </c>
      <c r="E134" s="2" t="str">
        <f>IFERROR(__xludf.DUMMYFUNCTION("""COMPUTED_VALUE"""),"400 000")</f>
        <v>400 000</v>
      </c>
      <c r="F134" s="2"/>
      <c r="G134" s="2" t="str">
        <f>IFERROR(__xludf.DUMMYFUNCTION("""COMPUTED_VALUE"""),"[60]")</f>
        <v>[60]</v>
      </c>
    </row>
    <row r="135">
      <c r="A135" s="2">
        <f>IFERROR(__xludf.DUMMYFUNCTION("""COMPUTED_VALUE"""),132.0)</f>
        <v>132</v>
      </c>
      <c r="B135" s="2" t="str">
        <f>IFERROR(__xludf.DUMMYFUNCTION("""COMPUTED_VALUE"""),"Europe")</f>
        <v>Europe</v>
      </c>
      <c r="C135" s="2" t="str">
        <f>IFERROR(__xludf.DUMMYFUNCTION("""COMPUTED_VALUE"""),"Bosnie-Herzégovine")</f>
        <v>Bosnie-Herzégovine</v>
      </c>
      <c r="D135" s="2" t="str">
        <f>IFERROR(__xludf.DUMMYFUNCTION("""COMPUTED_VALUE"""),"*Sarajevo*")</f>
        <v>*Sarajevo*</v>
      </c>
      <c r="E135" s="2" t="str">
        <f>IFERROR(__xludf.DUMMYFUNCTION("""COMPUTED_VALUE"""),"383 604")</f>
        <v>383 604</v>
      </c>
      <c r="F135" s="2"/>
      <c r="G135" s="2"/>
    </row>
    <row r="136">
      <c r="A136" s="2">
        <f>IFERROR(__xludf.DUMMYFUNCTION("""COMPUTED_VALUE"""),133.0)</f>
        <v>133</v>
      </c>
      <c r="B136" s="2" t="str">
        <f>IFERROR(__xludf.DUMMYFUNCTION("""COMPUTED_VALUE"""),"Océanie")</f>
        <v>Océanie</v>
      </c>
      <c r="C136" s="2" t="str">
        <f>IFERROR(__xludf.DUMMYFUNCTION("""COMPUTED_VALUE"""),"Nouvelle-Zélande")</f>
        <v>Nouvelle-Zélande</v>
      </c>
      <c r="D136" s="2" t="str">
        <f>IFERROR(__xludf.DUMMYFUNCTION("""COMPUTED_VALUE"""),"*Wellington*")</f>
        <v>*Wellington*</v>
      </c>
      <c r="E136" s="2" t="str">
        <f>IFERROR(__xludf.DUMMYFUNCTION("""COMPUTED_VALUE"""),"381 900")</f>
        <v>381 900</v>
      </c>
      <c r="F136" s="2"/>
      <c r="G136" s="2" t="str">
        <f>IFERROR(__xludf.DUMMYFUNCTION("""COMPUTED_VALUE"""),"[61]")</f>
        <v>[61]</v>
      </c>
    </row>
    <row r="137">
      <c r="A137" s="2">
        <f>IFERROR(__xludf.DUMMYFUNCTION("""COMPUTED_VALUE"""),134.0)</f>
        <v>134</v>
      </c>
      <c r="B137" s="2" t="str">
        <f>IFERROR(__xludf.DUMMYFUNCTION("""COMPUTED_VALUE"""),"Afrique")</f>
        <v>Afrique</v>
      </c>
      <c r="C137" s="2" t="str">
        <f>IFERROR(__xludf.DUMMYFUNCTION("""COMPUTED_VALUE"""),"Sud-Soudan")</f>
        <v>Sud-Soudan</v>
      </c>
      <c r="D137" s="2" t="str">
        <f>IFERROR(__xludf.DUMMYFUNCTION("""COMPUTED_VALUE"""),"*Djouba*")</f>
        <v>*Djouba*</v>
      </c>
      <c r="E137" s="2" t="str">
        <f>IFERROR(__xludf.DUMMYFUNCTION("""COMPUTED_VALUE"""),"372 410")</f>
        <v>372 410</v>
      </c>
      <c r="F137" s="2"/>
      <c r="G137" s="2"/>
    </row>
    <row r="138">
      <c r="A138" s="2">
        <f>IFERROR(__xludf.DUMMYFUNCTION("""COMPUTED_VALUE"""),135.0)</f>
        <v>135</v>
      </c>
      <c r="B138" s="2" t="str">
        <f>IFERROR(__xludf.DUMMYFUNCTION("""COMPUTED_VALUE"""),"Asie")</f>
        <v>Asie</v>
      </c>
      <c r="C138" s="2" t="str">
        <f>IFERROR(__xludf.DUMMYFUNCTION("""COMPUTED_VALUE"""),"Liban")</f>
        <v>Liban</v>
      </c>
      <c r="D138" s="2" t="str">
        <f>IFERROR(__xludf.DUMMYFUNCTION("""COMPUTED_VALUE"""),"*Beyrouth*")</f>
        <v>*Beyrouth*</v>
      </c>
      <c r="E138" s="2" t="str">
        <f>IFERROR(__xludf.DUMMYFUNCTION("""COMPUTED_VALUE"""),"363 000")</f>
        <v>363 000</v>
      </c>
      <c r="F138" s="2">
        <f>IFERROR(__xludf.DUMMYFUNCTION("""COMPUTED_VALUE"""),2015.0)</f>
        <v>2015</v>
      </c>
      <c r="G138" s="2"/>
    </row>
    <row r="139">
      <c r="A139" s="2">
        <f>IFERROR(__xludf.DUMMYFUNCTION("""COMPUTED_VALUE"""),137.0)</f>
        <v>137</v>
      </c>
      <c r="B139" s="2" t="str">
        <f>IFERROR(__xludf.DUMMYFUNCTION("""COMPUTED_VALUE"""),"Amérique")</f>
        <v>Amérique</v>
      </c>
      <c r="C139" s="2" t="str">
        <f>IFERROR(__xludf.DUMMYFUNCTION("""COMPUTED_VALUE"""),"Costa Rica")</f>
        <v>Costa Rica</v>
      </c>
      <c r="D139" s="2" t="str">
        <f>IFERROR(__xludf.DUMMYFUNCTION("""COMPUTED_VALUE"""),"*San José*")</f>
        <v>*San José*</v>
      </c>
      <c r="E139" s="2" t="str">
        <f>IFERROR(__xludf.DUMMYFUNCTION("""COMPUTED_VALUE"""),"328 195")</f>
        <v>328 195</v>
      </c>
      <c r="F139" s="2"/>
      <c r="G139" s="2"/>
    </row>
    <row r="140">
      <c r="A140" s="2">
        <f>IFERROR(__xludf.DUMMYFUNCTION("""COMPUTED_VALUE"""),138.0)</f>
        <v>138</v>
      </c>
      <c r="B140" s="2" t="str">
        <f>IFERROR(__xludf.DUMMYFUNCTION("""COMPUTED_VALUE"""),"Océanie")</f>
        <v>Océanie</v>
      </c>
      <c r="C140" s="2" t="str">
        <f>IFERROR(__xludf.DUMMYFUNCTION("""COMPUTED_VALUE"""),"Papouasie-Nouvelle-Guinée")</f>
        <v>Papouasie-Nouvelle-Guinée</v>
      </c>
      <c r="D140" s="2" t="str">
        <f>IFERROR(__xludf.DUMMYFUNCTION("""COMPUTED_VALUE"""),"*Port Moresby*")</f>
        <v>*Port Moresby*</v>
      </c>
      <c r="E140" s="2" t="str">
        <f>IFERROR(__xludf.DUMMYFUNCTION("""COMPUTED_VALUE"""),"299 396")</f>
        <v>299 396</v>
      </c>
      <c r="F140" s="2"/>
      <c r="G140" s="2" t="str">
        <f>IFERROR(__xludf.DUMMYFUNCTION("""COMPUTED_VALUE"""),"[62]")</f>
        <v>[62]</v>
      </c>
    </row>
    <row r="141">
      <c r="A141" s="2">
        <f>IFERROR(__xludf.DUMMYFUNCTION("""COMPUTED_VALUE"""),139.0)</f>
        <v>139</v>
      </c>
      <c r="B141" s="2" t="str">
        <f>IFERROR(__xludf.DUMMYFUNCTION("""COMPUTED_VALUE"""),"Asie")</f>
        <v>Asie</v>
      </c>
      <c r="C141" s="2" t="str">
        <f>IFERROR(__xludf.DUMMYFUNCTION("""COMPUTED_VALUE"""),"Laos")</f>
        <v>Laos</v>
      </c>
      <c r="D141" s="2" t="str">
        <f>IFERROR(__xludf.DUMMYFUNCTION("""COMPUTED_VALUE"""),"*Vientiane*")</f>
        <v>*Vientiane*</v>
      </c>
      <c r="E141" s="2" t="str">
        <f>IFERROR(__xludf.DUMMYFUNCTION("""COMPUTED_VALUE"""),"287 579")</f>
        <v>287 579</v>
      </c>
      <c r="F141" s="2"/>
      <c r="G141" s="2"/>
    </row>
    <row r="142">
      <c r="A142" s="2">
        <f>IFERROR(__xludf.DUMMYFUNCTION("""COMPUTED_VALUE"""),140.0)</f>
        <v>140</v>
      </c>
      <c r="B142" s="2" t="str">
        <f>IFERROR(__xludf.DUMMYFUNCTION("""COMPUTED_VALUE"""),"Afrique")</f>
        <v>Afrique</v>
      </c>
      <c r="C142" s="2" t="str">
        <f>IFERROR(__xludf.DUMMYFUNCTION("""COMPUTED_VALUE"""),"Tanzanie")</f>
        <v>Tanzanie</v>
      </c>
      <c r="D142" s="2" t="str">
        <f>IFERROR(__xludf.DUMMYFUNCTION("""COMPUTED_VALUE"""),"*Dodoma*")</f>
        <v>*Dodoma*</v>
      </c>
      <c r="E142" s="2" t="str">
        <f>IFERROR(__xludf.DUMMYFUNCTION("""COMPUTED_VALUE"""),"765 179")</f>
        <v>765 179</v>
      </c>
      <c r="F142" s="2">
        <f>IFERROR(__xludf.DUMMYFUNCTION("""COMPUTED_VALUE"""),2022.0)</f>
        <v>2022</v>
      </c>
      <c r="G142" s="2" t="str">
        <f>IFERROR(__xludf.DUMMYFUNCTION("""COMPUTED_VALUE"""),"[63]")</f>
        <v>[63]</v>
      </c>
    </row>
    <row r="143">
      <c r="A143" s="2">
        <f>IFERROR(__xludf.DUMMYFUNCTION("""COMPUTED_VALUE"""),144.0)</f>
        <v>144</v>
      </c>
      <c r="B143" s="2" t="str">
        <f>IFERROR(__xludf.DUMMYFUNCTION("""COMPUTED_VALUE"""),"Europe")</f>
        <v>Europe</v>
      </c>
      <c r="C143" s="2" t="str">
        <f>IFERROR(__xludf.DUMMYFUNCTION("""COMPUTED_VALUE"""),"Slovénie")</f>
        <v>Slovénie</v>
      </c>
      <c r="D143" s="2" t="str">
        <f>IFERROR(__xludf.DUMMYFUNCTION("""COMPUTED_VALUE"""),"*Ljubljana*")</f>
        <v>*Ljubljana*</v>
      </c>
      <c r="E143" s="2" t="str">
        <f>IFERROR(__xludf.DUMMYFUNCTION("""COMPUTED_VALUE"""),"280 140")</f>
        <v>280 140</v>
      </c>
      <c r="F143" s="2"/>
      <c r="G143" s="2"/>
    </row>
    <row r="144">
      <c r="A144" s="2">
        <f>IFERROR(__xludf.DUMMYFUNCTION("""COMPUTED_VALUE"""),142.0)</f>
        <v>142</v>
      </c>
      <c r="B144" s="2" t="str">
        <f>IFERROR(__xludf.DUMMYFUNCTION("""COMPUTED_VALUE"""),"Europe")</f>
        <v>Europe</v>
      </c>
      <c r="C144" s="2" t="str">
        <f>IFERROR(__xludf.DUMMYFUNCTION("""COMPUTED_VALUE"""),"Chypre")</f>
        <v>Chypre</v>
      </c>
      <c r="D144" s="2" t="str">
        <f>IFERROR(__xludf.DUMMYFUNCTION("""COMPUTED_VALUE"""),"*Nicosie*")</f>
        <v>*Nicosie*</v>
      </c>
      <c r="E144" s="2" t="str">
        <f>IFERROR(__xludf.DUMMYFUNCTION("""COMPUTED_VALUE"""),"270 000")</f>
        <v>270 000</v>
      </c>
      <c r="F144" s="2">
        <f>IFERROR(__xludf.DUMMYFUNCTION("""COMPUTED_VALUE"""),2004.0)</f>
        <v>2004</v>
      </c>
      <c r="G144" s="2" t="str">
        <f>IFERROR(__xludf.DUMMYFUNCTION("""COMPUTED_VALUE"""),"[64]")</f>
        <v>[64]</v>
      </c>
    </row>
    <row r="145">
      <c r="A145" s="2">
        <f>IFERROR(__xludf.DUMMYFUNCTION("""COMPUTED_VALUE"""),146.0)</f>
        <v>146</v>
      </c>
      <c r="B145" s="2" t="str">
        <f>IFERROR(__xludf.DUMMYFUNCTION("""COMPUTED_VALUE"""),"Afrique")</f>
        <v>Afrique</v>
      </c>
      <c r="C145" s="2" t="str">
        <f>IFERROR(__xludf.DUMMYFUNCTION("""COMPUTED_VALUE"""),"Namibie")</f>
        <v>Namibie</v>
      </c>
      <c r="D145" s="2" t="str">
        <f>IFERROR(__xludf.DUMMYFUNCTION("""COMPUTED_VALUE"""),"*Windhoek*")</f>
        <v>*Windhoek*</v>
      </c>
      <c r="E145" s="2" t="str">
        <f>IFERROR(__xludf.DUMMYFUNCTION("""COMPUTED_VALUE"""),"268 000")</f>
        <v>268 000</v>
      </c>
      <c r="F145" s="2">
        <f>IFERROR(__xludf.DUMMYFUNCTION("""COMPUTED_VALUE"""),2021.0)</f>
        <v>2021</v>
      </c>
      <c r="G145" s="2"/>
    </row>
    <row r="146">
      <c r="A146" s="2">
        <f>IFERROR(__xludf.DUMMYFUNCTION("""COMPUTED_VALUE"""),141.0)</f>
        <v>141</v>
      </c>
      <c r="B146" s="2" t="str">
        <f>IFERROR(__xludf.DUMMYFUNCTION("""COMPUTED_VALUE"""),"Afrique")</f>
        <v>Afrique</v>
      </c>
      <c r="C146" s="2" t="str">
        <f>IFERROR(__xludf.DUMMYFUNCTION("""COMPUTED_VALUE"""),"Lesotho")</f>
        <v>Lesotho</v>
      </c>
      <c r="D146" s="2" t="str">
        <f>IFERROR(__xludf.DUMMYFUNCTION("""COMPUTED_VALUE"""),"*Maseru*")</f>
        <v>*Maseru*</v>
      </c>
      <c r="E146" s="2" t="str">
        <f>IFERROR(__xludf.DUMMYFUNCTION("""COMPUTED_VALUE"""),"267 652")</f>
        <v>267 652</v>
      </c>
      <c r="F146" s="2"/>
      <c r="G146" s="2" t="str">
        <f>IFERROR(__xludf.DUMMYFUNCTION("""COMPUTED_VALUE"""),"[62]")</f>
        <v>[62]</v>
      </c>
    </row>
    <row r="147">
      <c r="A147" s="2">
        <f>IFERROR(__xludf.DUMMYFUNCTION("""COMPUTED_VALUE"""),143.0)</f>
        <v>143</v>
      </c>
      <c r="B147" s="2" t="str">
        <f>IFERROR(__xludf.DUMMYFUNCTION("""COMPUTED_VALUE"""),"Amérique")</f>
        <v>Amérique</v>
      </c>
      <c r="C147" s="2" t="str">
        <f>IFERROR(__xludf.DUMMYFUNCTION("""COMPUTED_VALUE"""),"Bolivie")</f>
        <v>Bolivie</v>
      </c>
      <c r="D147" s="2" t="str">
        <f>IFERROR(__xludf.DUMMYFUNCTION("""COMPUTED_VALUE"""),"*Sucre*")</f>
        <v>*Sucre*</v>
      </c>
      <c r="E147" s="2" t="str">
        <f>IFERROR(__xludf.DUMMYFUNCTION("""COMPUTED_VALUE"""),"261 201")</f>
        <v>261 201</v>
      </c>
      <c r="F147" s="2">
        <f>IFERROR(__xludf.DUMMYFUNCTION("""COMPUTED_VALUE"""),2020.0)</f>
        <v>2020</v>
      </c>
      <c r="G147" s="2" t="str">
        <f>IFERROR(__xludf.DUMMYFUNCTION("""COMPUTED_VALUE"""),"[65]")</f>
        <v>[65]</v>
      </c>
    </row>
    <row r="148">
      <c r="A148" s="2">
        <f>IFERROR(__xludf.DUMMYFUNCTION("""COMPUTED_VALUE"""),145.0)</f>
        <v>145</v>
      </c>
      <c r="B148" s="2" t="str">
        <f>IFERROR(__xludf.DUMMYFUNCTION("""COMPUTED_VALUE"""),"Amérique")</f>
        <v>Amérique</v>
      </c>
      <c r="C148" s="2" t="str">
        <f>IFERROR(__xludf.DUMMYFUNCTION("""COMPUTED_VALUE"""),"Suriname")</f>
        <v>Suriname</v>
      </c>
      <c r="D148" s="2" t="str">
        <f>IFERROR(__xludf.DUMMYFUNCTION("""COMPUTED_VALUE"""),"*Paramaribo*")</f>
        <v>*Paramaribo*</v>
      </c>
      <c r="E148" s="2" t="str">
        <f>IFERROR(__xludf.DUMMYFUNCTION("""COMPUTED_VALUE"""),"254 147")</f>
        <v>254 147</v>
      </c>
      <c r="F148" s="2"/>
      <c r="G148" s="2"/>
    </row>
    <row r="149">
      <c r="A149" s="2">
        <f>IFERROR(__xludf.DUMMYFUNCTION("""COMPUTED_VALUE"""),148.0)</f>
        <v>148</v>
      </c>
      <c r="B149" s="2" t="str">
        <f>IFERROR(__xludf.DUMMYFUNCTION("""COMPUTED_VALUE"""),"Amérique")</f>
        <v>Amérique</v>
      </c>
      <c r="C149" s="2" t="str">
        <f>IFERROR(__xludf.DUMMYFUNCTION("""COMPUTED_VALUE"""),"Bahamas")</f>
        <v>Bahamas</v>
      </c>
      <c r="D149" s="2" t="str">
        <f>IFERROR(__xludf.DUMMYFUNCTION("""COMPUTED_VALUE"""),"*Nassau*")</f>
        <v>*Nassau*</v>
      </c>
      <c r="E149" s="2" t="str">
        <f>IFERROR(__xludf.DUMMYFUNCTION("""COMPUTED_VALUE"""),"248 948")</f>
        <v>248 948</v>
      </c>
      <c r="F149" s="2"/>
      <c r="G149" s="2"/>
    </row>
    <row r="150">
      <c r="A150" s="2">
        <f>IFERROR(__xludf.DUMMYFUNCTION("""COMPUTED_VALUE"""),149.0)</f>
        <v>149</v>
      </c>
      <c r="B150" s="2" t="str">
        <f>IFERROR(__xludf.DUMMYFUNCTION("""COMPUTED_VALUE"""),"Afrique")</f>
        <v>Afrique</v>
      </c>
      <c r="C150" s="2" t="str">
        <f>IFERROR(__xludf.DUMMYFUNCTION("""COMPUTED_VALUE"""),"Botswana")</f>
        <v>Botswana</v>
      </c>
      <c r="D150" s="2" t="str">
        <f>IFERROR(__xludf.DUMMYFUNCTION("""COMPUTED_VALUE"""),"*Gaborone*")</f>
        <v>*Gaborone*</v>
      </c>
      <c r="E150" s="2" t="str">
        <f>IFERROR(__xludf.DUMMYFUNCTION("""COMPUTED_VALUE"""),"225 656")</f>
        <v>225 656</v>
      </c>
      <c r="F150" s="2"/>
      <c r="G150" s="2" t="str">
        <f>IFERROR(__xludf.DUMMYFUNCTION("""COMPUTED_VALUE"""),"[66]")</f>
        <v>[66]</v>
      </c>
    </row>
    <row r="151">
      <c r="A151" s="2">
        <f>IFERROR(__xludf.DUMMYFUNCTION("""COMPUTED_VALUE"""),150.0)</f>
        <v>150</v>
      </c>
      <c r="B151" s="2" t="str">
        <f>IFERROR(__xludf.DUMMYFUNCTION("""COMPUTED_VALUE"""),"Afrique")</f>
        <v>Afrique</v>
      </c>
      <c r="C151" s="2" t="str">
        <f>IFERROR(__xludf.DUMMYFUNCTION("""COMPUTED_VALUE"""),"Bénin")</f>
        <v>Bénin</v>
      </c>
      <c r="D151" s="2" t="str">
        <f>IFERROR(__xludf.DUMMYFUNCTION("""COMPUTED_VALUE"""),"*Porto-Novo*")</f>
        <v>*Porto-Novo*</v>
      </c>
      <c r="E151" s="2" t="str">
        <f>IFERROR(__xludf.DUMMYFUNCTION("""COMPUTED_VALUE"""),"223 552")</f>
        <v>223 552</v>
      </c>
      <c r="F151" s="2"/>
      <c r="G151" s="2" t="str">
        <f>IFERROR(__xludf.DUMMYFUNCTION("""COMPUTED_VALUE"""),"[67]")</f>
        <v>[67]</v>
      </c>
    </row>
    <row r="152">
      <c r="A152" s="2">
        <f>IFERROR(__xludf.DUMMYFUNCTION("""COMPUTED_VALUE"""),151.0)</f>
        <v>151</v>
      </c>
      <c r="B152" s="2" t="str">
        <f>IFERROR(__xludf.DUMMYFUNCTION("""COMPUTED_VALUE"""),"Europe")</f>
        <v>Europe</v>
      </c>
      <c r="C152" s="2" t="str">
        <f>IFERROR(__xludf.DUMMYFUNCTION("""COMPUTED_VALUE"""),"*Kosovo*")</f>
        <v>*Kosovo*</v>
      </c>
      <c r="D152" s="2" t="str">
        <f>IFERROR(__xludf.DUMMYFUNCTION("""COMPUTED_VALUE"""),"*Pristina*")</f>
        <v>*Pristina*</v>
      </c>
      <c r="E152" s="2" t="str">
        <f>IFERROR(__xludf.DUMMYFUNCTION("""COMPUTED_VALUE"""),"198 214")</f>
        <v>198 214</v>
      </c>
      <c r="F152" s="2"/>
      <c r="G152" s="2"/>
    </row>
    <row r="153">
      <c r="A153" s="2">
        <f>IFERROR(__xludf.DUMMYFUNCTION("""COMPUTED_VALUE"""),152.0)</f>
        <v>152</v>
      </c>
      <c r="B153" s="2" t="str">
        <f>IFERROR(__xludf.DUMMYFUNCTION("""COMPUTED_VALUE"""),"Europe")</f>
        <v>Europe</v>
      </c>
      <c r="C153" s="2" t="str">
        <f>IFERROR(__xludf.DUMMYFUNCTION("""COMPUTED_VALUE"""),"Belgique")</f>
        <v>Belgique</v>
      </c>
      <c r="D153" s="2" t="str">
        <f>IFERROR(__xludf.DUMMYFUNCTION("""COMPUTED_VALUE"""),"*Bruxelles*")</f>
        <v>*Bruxelles*</v>
      </c>
      <c r="E153" s="2" t="str">
        <f>IFERROR(__xludf.DUMMYFUNCTION("""COMPUTED_VALUE"""),"188 737")</f>
        <v>188 737</v>
      </c>
      <c r="F153" s="2">
        <f>IFERROR(__xludf.DUMMYFUNCTION("""COMPUTED_VALUE"""),2022.0)</f>
        <v>2022</v>
      </c>
      <c r="G153" s="2" t="str">
        <f>IFERROR(__xludf.DUMMYFUNCTION("""COMPUTED_VALUE"""),"[68]")</f>
        <v>[68]</v>
      </c>
    </row>
    <row r="154">
      <c r="A154" s="2">
        <f>IFERROR(__xludf.DUMMYFUNCTION("""COMPUTED_VALUE"""),153.0)</f>
        <v>153</v>
      </c>
      <c r="B154" s="2" t="str">
        <f>IFERROR(__xludf.DUMMYFUNCTION("""COMPUTED_VALUE"""),"Europe")</f>
        <v>Europe</v>
      </c>
      <c r="C154" s="2" t="str">
        <f>IFERROR(__xludf.DUMMYFUNCTION("""COMPUTED_VALUE"""),"Monténégro")</f>
        <v>Monténégro</v>
      </c>
      <c r="D154" s="2" t="str">
        <f>IFERROR(__xludf.DUMMYFUNCTION("""COMPUTED_VALUE"""),"*Podgorica*")</f>
        <v>*Podgorica*</v>
      </c>
      <c r="E154" s="2" t="str">
        <f>IFERROR(__xludf.DUMMYFUNCTION("""COMPUTED_VALUE"""),"185 937")</f>
        <v>185 937</v>
      </c>
      <c r="F154" s="2">
        <f>IFERROR(__xludf.DUMMYFUNCTION("""COMPUTED_VALUE"""),2011.0)</f>
        <v>2011</v>
      </c>
      <c r="G154" s="2" t="str">
        <f>IFERROR(__xludf.DUMMYFUNCTION("""COMPUTED_VALUE"""),"[69]")</f>
        <v>[69]</v>
      </c>
    </row>
    <row r="155">
      <c r="A155" s="2">
        <f>IFERROR(__xludf.DUMMYFUNCTION("""COMPUTED_VALUE"""),154.0)</f>
        <v>154</v>
      </c>
      <c r="B155" s="2" t="str">
        <f>IFERROR(__xludf.DUMMYFUNCTION("""COMPUTED_VALUE"""),"Afrique")</f>
        <v>Afrique</v>
      </c>
      <c r="C155" s="2" t="str">
        <f>IFERROR(__xludf.DUMMYFUNCTION("""COMPUTED_VALUE"""),"Maurice")</f>
        <v>Maurice</v>
      </c>
      <c r="D155" s="2" t="str">
        <f>IFERROR(__xludf.DUMMYFUNCTION("""COMPUTED_VALUE"""),"*Port-Louis*")</f>
        <v>*Port-Louis*</v>
      </c>
      <c r="E155" s="2" t="str">
        <f>IFERROR(__xludf.DUMMYFUNCTION("""COMPUTED_VALUE"""),"147 251")</f>
        <v>147 251</v>
      </c>
      <c r="F155" s="2"/>
      <c r="G155" s="2" t="str">
        <f>IFERROR(__xludf.DUMMYFUNCTION("""COMPUTED_VALUE"""),"[70]")</f>
        <v>[70]</v>
      </c>
    </row>
    <row r="156">
      <c r="A156" s="2">
        <f>IFERROR(__xludf.DUMMYFUNCTION("""COMPUTED_VALUE"""),155.0)</f>
        <v>155</v>
      </c>
      <c r="B156" s="2" t="str">
        <f>IFERROR(__xludf.DUMMYFUNCTION("""COMPUTED_VALUE"""),"Asie")</f>
        <v>Asie</v>
      </c>
      <c r="C156" s="2" t="str">
        <f>IFERROR(__xludf.DUMMYFUNCTION("""COMPUTED_VALUE"""),"Bahreïn")</f>
        <v>Bahreïn</v>
      </c>
      <c r="D156" s="2" t="str">
        <f>IFERROR(__xludf.DUMMYFUNCTION("""COMPUTED_VALUE"""),"*Manama*")</f>
        <v>*Manama*</v>
      </c>
      <c r="E156" s="2" t="str">
        <f>IFERROR(__xludf.DUMMYFUNCTION("""COMPUTED_VALUE"""),"140 616")</f>
        <v>140 616</v>
      </c>
      <c r="F156" s="2"/>
      <c r="G156" s="2"/>
    </row>
    <row r="157">
      <c r="A157" s="2">
        <f>IFERROR(__xludf.DUMMYFUNCTION("""COMPUTED_VALUE"""),156.0)</f>
        <v>156</v>
      </c>
      <c r="B157" s="2" t="str">
        <f>IFERROR(__xludf.DUMMYFUNCTION("""COMPUTED_VALUE"""),"Europe")</f>
        <v>Europe</v>
      </c>
      <c r="C157" s="2" t="str">
        <f>IFERROR(__xludf.DUMMYFUNCTION("""COMPUTED_VALUE"""),"Suisse")</f>
        <v>Suisse</v>
      </c>
      <c r="D157" s="2" t="str">
        <f>IFERROR(__xludf.DUMMYFUNCTION("""COMPUTED_VALUE"""),"*Berne*")</f>
        <v>*Berne*</v>
      </c>
      <c r="E157" s="2" t="str">
        <f>IFERROR(__xludf.DUMMYFUNCTION("""COMPUTED_VALUE"""),"137 919")</f>
        <v>137 919</v>
      </c>
      <c r="F157" s="2"/>
      <c r="G157" s="2" t="str">
        <f>IFERROR(__xludf.DUMMYFUNCTION("""COMPUTED_VALUE"""),"[71]")</f>
        <v>[71]</v>
      </c>
    </row>
    <row r="158">
      <c r="A158" s="2">
        <f>IFERROR(__xludf.DUMMYFUNCTION("""COMPUTED_VALUE"""),157.0)</f>
        <v>157</v>
      </c>
      <c r="B158" s="2" t="str">
        <f>IFERROR(__xludf.DUMMYFUNCTION("""COMPUTED_VALUE"""),"Amérique")</f>
        <v>Amérique</v>
      </c>
      <c r="C158" s="2" t="str">
        <f>IFERROR(__xludf.DUMMYFUNCTION("""COMPUTED_VALUE"""),"Guyana")</f>
        <v>Guyana</v>
      </c>
      <c r="D158" s="2" t="str">
        <f>IFERROR(__xludf.DUMMYFUNCTION("""COMPUTED_VALUE"""),"*Georgetown*")</f>
        <v>*Georgetown*</v>
      </c>
      <c r="E158" s="2" t="str">
        <f>IFERROR(__xludf.DUMMYFUNCTION("""COMPUTED_VALUE"""),"134 599")</f>
        <v>134 599</v>
      </c>
      <c r="F158" s="2"/>
      <c r="G158" s="2"/>
    </row>
    <row r="159">
      <c r="A159" s="2">
        <f>IFERROR(__xludf.DUMMYFUNCTION("""COMPUTED_VALUE"""),158.0)</f>
        <v>158</v>
      </c>
      <c r="B159" s="2" t="str">
        <f>IFERROR(__xludf.DUMMYFUNCTION("""COMPUTED_VALUE"""),"Afrique")</f>
        <v>Afrique</v>
      </c>
      <c r="C159" s="2" t="str">
        <f>IFERROR(__xludf.DUMMYFUNCTION("""COMPUTED_VALUE"""),"Cap-Vert")</f>
        <v>Cap-Vert</v>
      </c>
      <c r="D159" s="2" t="str">
        <f>IFERROR(__xludf.DUMMYFUNCTION("""COMPUTED_VALUE"""),"*Praia*")</f>
        <v>*Praia*</v>
      </c>
      <c r="E159" s="2" t="str">
        <f>IFERROR(__xludf.DUMMYFUNCTION("""COMPUTED_VALUE"""),"125 464")</f>
        <v>125 464</v>
      </c>
      <c r="F159" s="2"/>
      <c r="G159" s="2"/>
    </row>
    <row r="160">
      <c r="A160" s="2">
        <f>IFERROR(__xludf.DUMMYFUNCTION("""COMPUTED_VALUE"""),158.0)</f>
        <v>158</v>
      </c>
      <c r="B160" s="2" t="str">
        <f>IFERROR(__xludf.DUMMYFUNCTION("""COMPUTED_VALUE"""),"Europe")</f>
        <v>Europe</v>
      </c>
      <c r="C160" s="2" t="str">
        <f>IFERROR(__xludf.DUMMYFUNCTION("""COMPUTED_VALUE"""),"Luxembourg")</f>
        <v>Luxembourg</v>
      </c>
      <c r="D160" s="2" t="str">
        <f>IFERROR(__xludf.DUMMYFUNCTION("""COMPUTED_VALUE"""),"*Luxembourg*")</f>
        <v>*Luxembourg*</v>
      </c>
      <c r="E160" s="2" t="str">
        <f>IFERROR(__xludf.DUMMYFUNCTION("""COMPUTED_VALUE"""),"124 500")</f>
        <v>124 500</v>
      </c>
      <c r="F160" s="2">
        <f>IFERROR(__xludf.DUMMYFUNCTION("""COMPUTED_VALUE"""),2021.0)</f>
        <v>2021</v>
      </c>
      <c r="G160" s="2" t="str">
        <f>IFERROR(__xludf.DUMMYFUNCTION("""COMPUTED_VALUE"""),"[72]")</f>
        <v>[72]</v>
      </c>
    </row>
    <row r="161">
      <c r="A161" s="2">
        <f>IFERROR(__xludf.DUMMYFUNCTION("""COMPUTED_VALUE"""),159.0)</f>
        <v>159</v>
      </c>
      <c r="B161" s="2" t="str">
        <f>IFERROR(__xludf.DUMMYFUNCTION("""COMPUTED_VALUE"""),"Asie")</f>
        <v>Asie</v>
      </c>
      <c r="C161" s="2" t="str">
        <f>IFERROR(__xludf.DUMMYFUNCTION("""COMPUTED_VALUE"""),"Sri Lanka")</f>
        <v>Sri Lanka</v>
      </c>
      <c r="D161" s="2" t="str">
        <f>IFERROR(__xludf.DUMMYFUNCTION("""COMPUTED_VALUE"""),"*Sri Jayawardenapura Kotte*")</f>
        <v>*Sri Jayawardenapura Kotte*</v>
      </c>
      <c r="E161" s="2" t="str">
        <f>IFERROR(__xludf.DUMMYFUNCTION("""COMPUTED_VALUE"""),"118 556")</f>
        <v>118 556</v>
      </c>
      <c r="F161" s="2"/>
      <c r="G161" s="2" t="str">
        <f>IFERROR(__xludf.DUMMYFUNCTION("""COMPUTED_VALUE"""),"[73]")</f>
        <v>[73]</v>
      </c>
    </row>
    <row r="162">
      <c r="A162" s="2">
        <f>IFERROR(__xludf.DUMMYFUNCTION("""COMPUTED_VALUE"""),160.0)</f>
        <v>160</v>
      </c>
      <c r="B162" s="2" t="str">
        <f>IFERROR(__xludf.DUMMYFUNCTION("""COMPUTED_VALUE"""),"Europe")</f>
        <v>Europe</v>
      </c>
      <c r="C162" s="2" t="str">
        <f>IFERROR(__xludf.DUMMYFUNCTION("""COMPUTED_VALUE"""),"Islande")</f>
        <v>Islande</v>
      </c>
      <c r="D162" s="2" t="str">
        <f>IFERROR(__xludf.DUMMYFUNCTION("""COMPUTED_VALUE"""),"*Reykjavík*")</f>
        <v>*Reykjavík*</v>
      </c>
      <c r="E162" s="2" t="str">
        <f>IFERROR(__xludf.DUMMYFUNCTION("""COMPUTED_VALUE"""),"115 000")</f>
        <v>115 000</v>
      </c>
      <c r="F162" s="2"/>
      <c r="G162" s="2" t="str">
        <f>IFERROR(__xludf.DUMMYFUNCTION("""COMPUTED_VALUE"""),"[74]")</f>
        <v>[74]</v>
      </c>
    </row>
    <row r="163">
      <c r="A163" s="2">
        <f>IFERROR(__xludf.DUMMYFUNCTION("""COMPUTED_VALUE"""),161.0)</f>
        <v>161</v>
      </c>
      <c r="B163" s="2" t="str">
        <f>IFERROR(__xludf.DUMMYFUNCTION("""COMPUTED_VALUE"""),"Amérique")</f>
        <v>Amérique</v>
      </c>
      <c r="C163" s="2" t="str">
        <f>IFERROR(__xludf.DUMMYFUNCTION("""COMPUTED_VALUE"""),"Barbade")</f>
        <v>Barbade</v>
      </c>
      <c r="D163" s="2" t="str">
        <f>IFERROR(__xludf.DUMMYFUNCTION("""COMPUTED_VALUE"""),"*Bridgetown*")</f>
        <v>*Bridgetown*</v>
      </c>
      <c r="E163" s="2" t="str">
        <f>IFERROR(__xludf.DUMMYFUNCTION("""COMPUTED_VALUE"""),"110 000")</f>
        <v>110 000</v>
      </c>
      <c r="F163" s="2"/>
      <c r="G163" s="2"/>
    </row>
    <row r="164">
      <c r="A164" s="2">
        <f>IFERROR(__xludf.DUMMYFUNCTION("""COMPUTED_VALUE"""),162.0)</f>
        <v>162</v>
      </c>
      <c r="B164" s="2" t="str">
        <f>IFERROR(__xludf.DUMMYFUNCTION("""COMPUTED_VALUE"""),"Asie")</f>
        <v>Asie</v>
      </c>
      <c r="C164" s="2" t="str">
        <f>IFERROR(__xludf.DUMMYFUNCTION("""COMPUTED_VALUE"""),"Maldives")</f>
        <v>Maldives</v>
      </c>
      <c r="D164" s="2" t="str">
        <f>IFERROR(__xludf.DUMMYFUNCTION("""COMPUTED_VALUE"""),"*Malé*")</f>
        <v>*Malé*</v>
      </c>
      <c r="E164" s="2" t="str">
        <f>IFERROR(__xludf.DUMMYFUNCTION("""COMPUTED_VALUE"""),"103 693")</f>
        <v>103 693</v>
      </c>
      <c r="F164" s="2"/>
      <c r="G164" s="2"/>
    </row>
    <row r="165">
      <c r="A165" s="2">
        <f>IFERROR(__xludf.DUMMYFUNCTION("""COMPUTED_VALUE"""),163.0)</f>
        <v>163</v>
      </c>
      <c r="B165" s="2" t="str">
        <f>IFERROR(__xludf.DUMMYFUNCTION("""COMPUTED_VALUE"""),"Asie")</f>
        <v>Asie</v>
      </c>
      <c r="C165" s="2" t="str">
        <f>IFERROR(__xludf.DUMMYFUNCTION("""COMPUTED_VALUE"""),"Bhutan")</f>
        <v>Bhutan</v>
      </c>
      <c r="D165" s="2" t="str">
        <f>IFERROR(__xludf.DUMMYFUNCTION("""COMPUTED_VALUE"""),"*Thimphu*")</f>
        <v>*Thimphu*</v>
      </c>
      <c r="E165" s="2" t="str">
        <f>IFERROR(__xludf.DUMMYFUNCTION("""COMPUTED_VALUE"""),"101 259")</f>
        <v>101 259</v>
      </c>
      <c r="F165" s="2"/>
      <c r="G165" s="2" t="str">
        <f>IFERROR(__xludf.DUMMYFUNCTION("""COMPUTED_VALUE"""),"[73]")</f>
        <v>[73]</v>
      </c>
    </row>
    <row r="166">
      <c r="A166" s="2">
        <f>IFERROR(__xludf.DUMMYFUNCTION("""COMPUTED_VALUE"""),164.0)</f>
        <v>164</v>
      </c>
      <c r="B166" s="2" t="str">
        <f>IFERROR(__xludf.DUMMYFUNCTION("""COMPUTED_VALUE"""),"Afrique")</f>
        <v>Afrique</v>
      </c>
      <c r="C166" s="2" t="str">
        <f>IFERROR(__xludf.DUMMYFUNCTION("""COMPUTED_VALUE"""),"Guinée équatoriale")</f>
        <v>Guinée équatoriale</v>
      </c>
      <c r="D166" s="2" t="str">
        <f>IFERROR(__xludf.DUMMYFUNCTION("""COMPUTED_VALUE"""),"*Malabo*")</f>
        <v>*Malabo*</v>
      </c>
      <c r="E166" s="2" t="str">
        <f>IFERROR(__xludf.DUMMYFUNCTION("""COMPUTED_VALUE"""),"100 677")</f>
        <v>100 677</v>
      </c>
      <c r="F166" s="2"/>
      <c r="G166" s="2" t="str">
        <f>IFERROR(__xludf.DUMMYFUNCTION("""COMPUTED_VALUE"""),"[75]")</f>
        <v>[75]</v>
      </c>
    </row>
    <row r="167">
      <c r="A167" s="2">
        <f>IFERROR(__xludf.DUMMYFUNCTION("""COMPUTED_VALUE"""),165.0)</f>
        <v>165</v>
      </c>
      <c r="B167" s="2" t="str">
        <f>IFERROR(__xludf.DUMMYFUNCTION("""COMPUTED_VALUE"""),"Océanie")</f>
        <v>Océanie</v>
      </c>
      <c r="C167" s="2" t="str">
        <f>IFERROR(__xludf.DUMMYFUNCTION("""COMPUTED_VALUE"""),"Fidji")</f>
        <v>Fidji</v>
      </c>
      <c r="D167" s="2" t="str">
        <f>IFERROR(__xludf.DUMMYFUNCTION("""COMPUTED_VALUE"""),"*Suva*")</f>
        <v>*Suva*</v>
      </c>
      <c r="E167" s="2" t="str">
        <f>IFERROR(__xludf.DUMMYFUNCTION("""COMPUTED_VALUE"""),"84 410")</f>
        <v>84 410</v>
      </c>
      <c r="F167" s="2"/>
      <c r="G167" s="2" t="str">
        <f>IFERROR(__xludf.DUMMYFUNCTION("""COMPUTED_VALUE"""),"[76]")</f>
        <v>[76]</v>
      </c>
    </row>
    <row r="168">
      <c r="A168" s="2">
        <f>IFERROR(__xludf.DUMMYFUNCTION("""COMPUTED_VALUE"""),166.0)</f>
        <v>166</v>
      </c>
      <c r="B168" s="2" t="str">
        <f>IFERROR(__xludf.DUMMYFUNCTION("""COMPUTED_VALUE"""),"Afrique")</f>
        <v>Afrique</v>
      </c>
      <c r="C168" s="2" t="str">
        <f>IFERROR(__xludf.DUMMYFUNCTION("""COMPUTED_VALUE"""),"Eswatini")</f>
        <v>Eswatini</v>
      </c>
      <c r="D168" s="2" t="str">
        <f>IFERROR(__xludf.DUMMYFUNCTION("""COMPUTED_VALUE"""),"*Mbabane*")</f>
        <v>*Mbabane*</v>
      </c>
      <c r="E168" s="2" t="str">
        <f>IFERROR(__xludf.DUMMYFUNCTION("""COMPUTED_VALUE"""),"81 594")</f>
        <v>81 594</v>
      </c>
      <c r="F168" s="2"/>
      <c r="G168" s="2"/>
    </row>
    <row r="169">
      <c r="A169" s="2">
        <f>IFERROR(__xludf.DUMMYFUNCTION("""COMPUTED_VALUE"""),168.0)</f>
        <v>168</v>
      </c>
      <c r="B169" s="2" t="str">
        <f>IFERROR(__xludf.DUMMYFUNCTION("""COMPUTED_VALUE"""),"Amérique")</f>
        <v>Amérique</v>
      </c>
      <c r="C169" s="2" t="str">
        <f>IFERROR(__xludf.DUMMYFUNCTION("""COMPUTED_VALUE"""),"Sainte-Lucie")</f>
        <v>Sainte-Lucie</v>
      </c>
      <c r="D169" s="2" t="str">
        <f>IFERROR(__xludf.DUMMYFUNCTION("""COMPUTED_VALUE"""),"*Castries*")</f>
        <v>*Castries*</v>
      </c>
      <c r="E169" s="2" t="str">
        <f>IFERROR(__xludf.DUMMYFUNCTION("""COMPUTED_VALUE"""),"70 000")</f>
        <v>70 000</v>
      </c>
      <c r="F169" s="2"/>
      <c r="G169" s="2" t="str">
        <f>IFERROR(__xludf.DUMMYFUNCTION("""COMPUTED_VALUE"""),"[77]")</f>
        <v>[77]</v>
      </c>
    </row>
    <row r="170">
      <c r="A170" s="2">
        <f>IFERROR(__xludf.DUMMYFUNCTION("""COMPUTED_VALUE"""),169.0)</f>
        <v>169</v>
      </c>
      <c r="B170" s="2" t="str">
        <f>IFERROR(__xludf.DUMMYFUNCTION("""COMPUTED_VALUE"""),"Afrique")</f>
        <v>Afrique</v>
      </c>
      <c r="C170" s="2" t="str">
        <f>IFERROR(__xludf.DUMMYFUNCTION("""COMPUTED_VALUE"""),"Comores")</f>
        <v>Comores</v>
      </c>
      <c r="D170" s="2" t="str">
        <f>IFERROR(__xludf.DUMMYFUNCTION("""COMPUTED_VALUE"""),"*Moroni*")</f>
        <v>*Moroni*</v>
      </c>
      <c r="E170" s="2" t="str">
        <f>IFERROR(__xludf.DUMMYFUNCTION("""COMPUTED_VALUE"""),"60 200")</f>
        <v>60 200</v>
      </c>
      <c r="F170" s="2"/>
      <c r="G170" s="2"/>
    </row>
    <row r="171">
      <c r="A171" s="2">
        <f>IFERROR(__xludf.DUMMYFUNCTION("""COMPUTED_VALUE"""),170.0)</f>
        <v>170</v>
      </c>
      <c r="B171" s="2" t="str">
        <f>IFERROR(__xludf.DUMMYFUNCTION("""COMPUTED_VALUE"""),"Océanie")</f>
        <v>Océanie</v>
      </c>
      <c r="C171" s="2" t="str">
        <f>IFERROR(__xludf.DUMMYFUNCTION("""COMPUTED_VALUE"""),"Salomon")</f>
        <v>Salomon</v>
      </c>
      <c r="D171" s="2" t="str">
        <f>IFERROR(__xludf.DUMMYFUNCTION("""COMPUTED_VALUE"""),"*Honiara*")</f>
        <v>*Honiara*</v>
      </c>
      <c r="E171" s="2" t="str">
        <f>IFERROR(__xludf.DUMMYFUNCTION("""COMPUTED_VALUE"""),"59 288")</f>
        <v>59 288</v>
      </c>
      <c r="F171" s="2"/>
      <c r="G171" s="2" t="str">
        <f>IFERROR(__xludf.DUMMYFUNCTION("""COMPUTED_VALUE"""),"[76]")</f>
        <v>[76]</v>
      </c>
    </row>
    <row r="172">
      <c r="A172" s="2">
        <f>IFERROR(__xludf.DUMMYFUNCTION("""COMPUTED_VALUE"""),171.0)</f>
        <v>171</v>
      </c>
      <c r="B172" s="2" t="str">
        <f>IFERROR(__xludf.DUMMYFUNCTION("""COMPUTED_VALUE"""),"Asie")</f>
        <v>Asie</v>
      </c>
      <c r="C172" s="2" t="str">
        <f>IFERROR(__xludf.DUMMYFUNCTION("""COMPUTED_VALUE"""),"Timor-Oriental")</f>
        <v>Timor-Oriental</v>
      </c>
      <c r="D172" s="2" t="str">
        <f>IFERROR(__xludf.DUMMYFUNCTION("""COMPUTED_VALUE"""),"*Dili*")</f>
        <v>*Dili*</v>
      </c>
      <c r="E172" s="2" t="str">
        <f>IFERROR(__xludf.DUMMYFUNCTION("""COMPUTED_VALUE"""),"59 069")</f>
        <v>59 069</v>
      </c>
      <c r="F172" s="2"/>
      <c r="G172" s="2"/>
    </row>
    <row r="173">
      <c r="A173" s="2">
        <f>IFERROR(__xludf.DUMMYFUNCTION("""COMPUTED_VALUE"""),172.0)</f>
        <v>172</v>
      </c>
      <c r="B173" s="2" t="str">
        <f>IFERROR(__xludf.DUMMYFUNCTION("""COMPUTED_VALUE"""),"Afrique")</f>
        <v>Afrique</v>
      </c>
      <c r="C173" s="2" t="str">
        <f>IFERROR(__xludf.DUMMYFUNCTION("""COMPUTED_VALUE"""),"São Tomé-et-Principe")</f>
        <v>São Tomé-et-Principe</v>
      </c>
      <c r="D173" s="2" t="str">
        <f>IFERROR(__xludf.DUMMYFUNCTION("""COMPUTED_VALUE"""),"*São Tome*")</f>
        <v>*São Tome*</v>
      </c>
      <c r="E173" s="2" t="str">
        <f>IFERROR(__xludf.DUMMYFUNCTION("""COMPUTED_VALUE"""),"56 166")</f>
        <v>56 166</v>
      </c>
      <c r="F173" s="2"/>
      <c r="G173" s="2"/>
    </row>
    <row r="174">
      <c r="A174" s="2">
        <f>IFERROR(__xludf.DUMMYFUNCTION("""COMPUTED_VALUE"""),173.0)</f>
        <v>173</v>
      </c>
      <c r="B174" s="2" t="str">
        <f>IFERROR(__xludf.DUMMYFUNCTION("""COMPUTED_VALUE"""),"Amérique")</f>
        <v>Amérique</v>
      </c>
      <c r="C174" s="2" t="str">
        <f>IFERROR(__xludf.DUMMYFUNCTION("""COMPUTED_VALUE"""),"Trinité-et-Tobago")</f>
        <v>Trinité-et-Tobago</v>
      </c>
      <c r="D174" s="2" t="str">
        <f>IFERROR(__xludf.DUMMYFUNCTION("""COMPUTED_VALUE"""),"*Port d'Espagne*")</f>
        <v>*Port d'Espagne*</v>
      </c>
      <c r="E174" s="2" t="str">
        <f>IFERROR(__xludf.DUMMYFUNCTION("""COMPUTED_VALUE"""),"50 479")</f>
        <v>50 479</v>
      </c>
      <c r="F174" s="2"/>
      <c r="G174" s="2"/>
    </row>
    <row r="175">
      <c r="A175" s="2">
        <f>IFERROR(__xludf.DUMMYFUNCTION("""COMPUTED_VALUE"""),174.0)</f>
        <v>174</v>
      </c>
      <c r="B175" s="2" t="str">
        <f>IFERROR(__xludf.DUMMYFUNCTION("""COMPUTED_VALUE"""),"Amérique")</f>
        <v>Amérique</v>
      </c>
      <c r="C175" s="2" t="str">
        <f>IFERROR(__xludf.DUMMYFUNCTION("""COMPUTED_VALUE"""),"Saint-Vincent-et-les-Grenadines")</f>
        <v>Saint-Vincent-et-les-Grenadines</v>
      </c>
      <c r="D175" s="2" t="str">
        <f>IFERROR(__xludf.DUMMYFUNCTION("""COMPUTED_VALUE"""),"*Kingstown*")</f>
        <v>*Kingstown*</v>
      </c>
      <c r="E175" s="2" t="str">
        <f>IFERROR(__xludf.DUMMYFUNCTION("""COMPUTED_VALUE"""),"40 020")</f>
        <v>40 020</v>
      </c>
      <c r="F175" s="2"/>
      <c r="G175" s="2"/>
    </row>
    <row r="176">
      <c r="A176" s="2">
        <f>IFERROR(__xludf.DUMMYFUNCTION("""COMPUTED_VALUE"""),175.0)</f>
        <v>175</v>
      </c>
      <c r="B176" s="2" t="str">
        <f>IFERROR(__xludf.DUMMYFUNCTION("""COMPUTED_VALUE"""),"Océanie")</f>
        <v>Océanie</v>
      </c>
      <c r="C176" s="2" t="str">
        <f>IFERROR(__xludf.DUMMYFUNCTION("""COMPUTED_VALUE"""),"Samoa")</f>
        <v>Samoa</v>
      </c>
      <c r="D176" s="2" t="str">
        <f>IFERROR(__xludf.DUMMYFUNCTION("""COMPUTED_VALUE"""),"*Apia*")</f>
        <v>*Apia*</v>
      </c>
      <c r="E176" s="2" t="str">
        <f>IFERROR(__xludf.DUMMYFUNCTION("""COMPUTED_VALUE"""),"39 813")</f>
        <v>39 813</v>
      </c>
      <c r="F176" s="2"/>
      <c r="G176" s="2" t="str">
        <f>IFERROR(__xludf.DUMMYFUNCTION("""COMPUTED_VALUE"""),"[78]")</f>
        <v>[78]</v>
      </c>
    </row>
    <row r="177">
      <c r="A177" s="2">
        <f>IFERROR(__xludf.DUMMYFUNCTION("""COMPUTED_VALUE"""),176.0)</f>
        <v>176</v>
      </c>
      <c r="B177" s="2" t="str">
        <f>IFERROR(__xludf.DUMMYFUNCTION("""COMPUTED_VALUE"""),"Océanie")</f>
        <v>Océanie</v>
      </c>
      <c r="C177" s="2" t="str">
        <f>IFERROR(__xludf.DUMMYFUNCTION("""COMPUTED_VALUE"""),"Vanuatu")</f>
        <v>Vanuatu</v>
      </c>
      <c r="D177" s="2" t="str">
        <f>IFERROR(__xludf.DUMMYFUNCTION("""COMPUTED_VALUE"""),"*Port Vila*")</f>
        <v>*Port Vila*</v>
      </c>
      <c r="E177" s="2" t="str">
        <f>IFERROR(__xludf.DUMMYFUNCTION("""COMPUTED_VALUE"""),"38 000")</f>
        <v>38 000</v>
      </c>
      <c r="F177" s="2"/>
      <c r="G177" s="2" t="str">
        <f>IFERROR(__xludf.DUMMYFUNCTION("""COMPUTED_VALUE"""),"[79]")</f>
        <v>[79]</v>
      </c>
    </row>
    <row r="178">
      <c r="A178" s="2">
        <f>IFERROR(__xludf.DUMMYFUNCTION("""COMPUTED_VALUE"""),177.0)</f>
        <v>177</v>
      </c>
      <c r="B178" s="2" t="str">
        <f>IFERROR(__xludf.DUMMYFUNCTION("""COMPUTED_VALUE"""),"Europe")</f>
        <v>Europe</v>
      </c>
      <c r="C178" s="2" t="str">
        <f>IFERROR(__xludf.DUMMYFUNCTION("""COMPUTED_VALUE"""),"Monaco")</f>
        <v>Monaco</v>
      </c>
      <c r="D178" s="2" t="str">
        <f>IFERROR(__xludf.DUMMYFUNCTION("""COMPUTED_VALUE"""),"*Monaco*")</f>
        <v>*Monaco*</v>
      </c>
      <c r="E178" s="2" t="str">
        <f>IFERROR(__xludf.DUMMYFUNCTION("""COMPUTED_VALUE"""),"35 986")</f>
        <v>35 986</v>
      </c>
      <c r="F178" s="2" t="str">
        <f>IFERROR(__xludf.DUMMYFUNCTION("""COMPUTED_VALUE"""),"2011 est.")</f>
        <v>2011 est.</v>
      </c>
      <c r="G178" s="2" t="str">
        <f>IFERROR(__xludf.DUMMYFUNCTION("""COMPUTED_VALUE"""),"[80]")</f>
        <v>[80]</v>
      </c>
    </row>
    <row r="179">
      <c r="A179" s="2">
        <f>IFERROR(__xludf.DUMMYFUNCTION("""COMPUTED_VALUE"""),178.0)</f>
        <v>178</v>
      </c>
      <c r="B179" s="2" t="str">
        <f>IFERROR(__xludf.DUMMYFUNCTION("""COMPUTED_VALUE"""),"Afrique")</f>
        <v>Afrique</v>
      </c>
      <c r="C179" s="2" t="str">
        <f>IFERROR(__xludf.DUMMYFUNCTION("""COMPUTED_VALUE"""),"Gambie")</f>
        <v>Gambie</v>
      </c>
      <c r="D179" s="2" t="str">
        <f>IFERROR(__xludf.DUMMYFUNCTION("""COMPUTED_VALUE"""),"*Banjul*")</f>
        <v>*Banjul*</v>
      </c>
      <c r="E179" s="2" t="str">
        <f>IFERROR(__xludf.DUMMYFUNCTION("""COMPUTED_VALUE"""),"34 828")</f>
        <v>34 828</v>
      </c>
      <c r="F179" s="2"/>
      <c r="G179" s="2"/>
    </row>
    <row r="180">
      <c r="A180" s="2">
        <f>IFERROR(__xludf.DUMMYFUNCTION("""COMPUTED_VALUE"""),179.0)</f>
        <v>179</v>
      </c>
      <c r="B180" s="2" t="str">
        <f>IFERROR(__xludf.DUMMYFUNCTION("""COMPUTED_VALUE"""),"Océanie")</f>
        <v>Océanie</v>
      </c>
      <c r="C180" s="2" t="str">
        <f>IFERROR(__xludf.DUMMYFUNCTION("""COMPUTED_VALUE"""),"Kiribati")</f>
        <v>Kiribati</v>
      </c>
      <c r="D180" s="2" t="str">
        <f>IFERROR(__xludf.DUMMYFUNCTION("""COMPUTED_VALUE"""),"*Tarawa-Sud*")</f>
        <v>*Tarawa-Sud*</v>
      </c>
      <c r="E180" s="2" t="str">
        <f>IFERROR(__xludf.DUMMYFUNCTION("""COMPUTED_VALUE"""),"30 000")</f>
        <v>30 000</v>
      </c>
      <c r="F180" s="2"/>
      <c r="G180" s="2" t="str">
        <f>IFERROR(__xludf.DUMMYFUNCTION("""COMPUTED_VALUE"""),"[81]")</f>
        <v>[81]</v>
      </c>
    </row>
    <row r="181">
      <c r="A181" s="2">
        <f>IFERROR(__xludf.DUMMYFUNCTION("""COMPUTED_VALUE"""),180.0)</f>
        <v>180</v>
      </c>
      <c r="B181" s="2" t="str">
        <f>IFERROR(__xludf.DUMMYFUNCTION("""COMPUTED_VALUE"""),"Afrique")</f>
        <v>Afrique</v>
      </c>
      <c r="C181" s="2" t="str">
        <f>IFERROR(__xludf.DUMMYFUNCTION("""COMPUTED_VALUE"""),"Seychelles")</f>
        <v>Seychelles</v>
      </c>
      <c r="D181" s="2" t="str">
        <f>IFERROR(__xludf.DUMMYFUNCTION("""COMPUTED_VALUE"""),"*Victoria*")</f>
        <v>*Victoria*</v>
      </c>
      <c r="E181" s="2" t="str">
        <f>IFERROR(__xludf.DUMMYFUNCTION("""COMPUTED_VALUE"""),"29 298")</f>
        <v>29 298</v>
      </c>
      <c r="F181" s="2"/>
      <c r="G181" s="2"/>
    </row>
    <row r="182">
      <c r="A182" s="2">
        <f>IFERROR(__xludf.DUMMYFUNCTION("""COMPUTED_VALUE"""),181.0)</f>
        <v>181</v>
      </c>
      <c r="B182" s="2" t="str">
        <f>IFERROR(__xludf.DUMMYFUNCTION("""COMPUTED_VALUE"""),"Asie")</f>
        <v>Asie</v>
      </c>
      <c r="C182" s="2" t="str">
        <f>IFERROR(__xludf.DUMMYFUNCTION("""COMPUTED_VALUE"""),"Brunei")</f>
        <v>Brunei</v>
      </c>
      <c r="D182" s="2" t="str">
        <f>IFERROR(__xludf.DUMMYFUNCTION("""COMPUTED_VALUE"""),"*Bandar Seri Begawan*")</f>
        <v>*Bandar Seri Begawan*</v>
      </c>
      <c r="E182" s="2" t="str">
        <f>IFERROR(__xludf.DUMMYFUNCTION("""COMPUTED_VALUE"""),"28 135")</f>
        <v>28 135</v>
      </c>
      <c r="F182" s="2"/>
      <c r="G182" s="2"/>
    </row>
    <row r="183">
      <c r="A183" s="2">
        <f>IFERROR(__xludf.DUMMYFUNCTION("""COMPUTED_VALUE"""),182.0)</f>
        <v>182</v>
      </c>
      <c r="B183" s="2" t="str">
        <f>IFERROR(__xludf.DUMMYFUNCTION("""COMPUTED_VALUE"""),"Océanie")</f>
        <v>Océanie</v>
      </c>
      <c r="C183" s="2" t="str">
        <f>IFERROR(__xludf.DUMMYFUNCTION("""COMPUTED_VALUE"""),"Îles Marshall")</f>
        <v>Îles Marshall</v>
      </c>
      <c r="D183" s="2" t="str">
        <f>IFERROR(__xludf.DUMMYFUNCTION("""COMPUTED_VALUE"""),"*Delap-Uliga-Darrit*")</f>
        <v>*Delap-Uliga-Darrit*</v>
      </c>
      <c r="E183" s="2" t="str">
        <f>IFERROR(__xludf.DUMMYFUNCTION("""COMPUTED_VALUE"""),"25 400")</f>
        <v>25 400</v>
      </c>
      <c r="F183" s="2"/>
      <c r="G183" s="2"/>
    </row>
    <row r="184">
      <c r="A184" s="2">
        <f>IFERROR(__xludf.DUMMYFUNCTION("""COMPUTED_VALUE"""),183.0)</f>
        <v>183</v>
      </c>
      <c r="B184" s="2" t="str">
        <f>IFERROR(__xludf.DUMMYFUNCTION("""COMPUTED_VALUE"""),"Europe")</f>
        <v>Europe</v>
      </c>
      <c r="C184" s="2" t="str">
        <f>IFERROR(__xludf.DUMMYFUNCTION("""COMPUTED_VALUE"""),"Andorre")</f>
        <v>Andorre</v>
      </c>
      <c r="D184" s="2" t="str">
        <f>IFERROR(__xludf.DUMMYFUNCTION("""COMPUTED_VALUE"""),"*Andorre-la-Vieille*")</f>
        <v>*Andorre-la-Vieille*</v>
      </c>
      <c r="E184" s="2" t="str">
        <f>IFERROR(__xludf.DUMMYFUNCTION("""COMPUTED_VALUE"""),"22 884")</f>
        <v>22 884</v>
      </c>
      <c r="F184" s="2"/>
      <c r="G184" s="2"/>
    </row>
    <row r="185">
      <c r="A185" s="2">
        <f>IFERROR(__xludf.DUMMYFUNCTION("""COMPUTED_VALUE"""),184.0)</f>
        <v>184</v>
      </c>
      <c r="B185" s="2" t="str">
        <f>IFERROR(__xludf.DUMMYFUNCTION("""COMPUTED_VALUE"""),"Amérique")</f>
        <v>Amérique</v>
      </c>
      <c r="C185" s="2" t="str">
        <f>IFERROR(__xludf.DUMMYFUNCTION("""COMPUTED_VALUE"""),"Antigua-et-Barbuda")</f>
        <v>Antigua-et-Barbuda</v>
      </c>
      <c r="D185" s="2" t="str">
        <f>IFERROR(__xludf.DUMMYFUNCTION("""COMPUTED_VALUE"""),"*Saint John's*")</f>
        <v>*Saint John's*</v>
      </c>
      <c r="E185" s="2" t="str">
        <f>IFERROR(__xludf.DUMMYFUNCTION("""COMPUTED_VALUE"""),"22 679")</f>
        <v>22 679</v>
      </c>
      <c r="F185" s="2"/>
      <c r="G185" s="2" t="str">
        <f>IFERROR(__xludf.DUMMYFUNCTION("""COMPUTED_VALUE"""),"[82]")</f>
        <v>[82]</v>
      </c>
    </row>
    <row r="186">
      <c r="A186" s="2">
        <f>IFERROR(__xludf.DUMMYFUNCTION("""COMPUTED_VALUE"""),185.0)</f>
        <v>185</v>
      </c>
      <c r="B186" s="2" t="str">
        <f>IFERROR(__xludf.DUMMYFUNCTION("""COMPUTED_VALUE"""),"Océanie")</f>
        <v>Océanie</v>
      </c>
      <c r="C186" s="2" t="str">
        <f>IFERROR(__xludf.DUMMYFUNCTION("""COMPUTED_VALUE"""),"Tonga")</f>
        <v>Tonga</v>
      </c>
      <c r="D186" s="2" t="str">
        <f>IFERROR(__xludf.DUMMYFUNCTION("""COMPUTED_VALUE"""),"*Nukuʻalofa*")</f>
        <v>*Nukuʻalofa*</v>
      </c>
      <c r="E186" s="2" t="str">
        <f>IFERROR(__xludf.DUMMYFUNCTION("""COMPUTED_VALUE"""),"22 400")</f>
        <v>22 400</v>
      </c>
      <c r="F186" s="2"/>
      <c r="G186" s="2"/>
    </row>
    <row r="187">
      <c r="A187" s="2">
        <f>IFERROR(__xludf.DUMMYFUNCTION("""COMPUTED_VALUE"""),186.0)</f>
        <v>186</v>
      </c>
      <c r="B187" s="2" t="str">
        <f>IFERROR(__xludf.DUMMYFUNCTION("""COMPUTED_VALUE"""),"Amérique")</f>
        <v>Amérique</v>
      </c>
      <c r="C187" s="2" t="str">
        <f>IFERROR(__xludf.DUMMYFUNCTION("""COMPUTED_VALUE"""),"Belize")</f>
        <v>Belize</v>
      </c>
      <c r="D187" s="2" t="str">
        <f>IFERROR(__xludf.DUMMYFUNCTION("""COMPUTED_VALUE"""),"*Belmopan*")</f>
        <v>*Belmopan*</v>
      </c>
      <c r="E187" s="2" t="str">
        <f>IFERROR(__xludf.DUMMYFUNCTION("""COMPUTED_VALUE"""),"16 451")</f>
        <v>16 451</v>
      </c>
      <c r="F187" s="2"/>
      <c r="G187" s="2" t="str">
        <f>IFERROR(__xludf.DUMMYFUNCTION("""COMPUTED_VALUE"""),"[83]")</f>
        <v>[83]</v>
      </c>
    </row>
    <row r="188">
      <c r="A188" s="2">
        <f>IFERROR(__xludf.DUMMYFUNCTION("""COMPUTED_VALUE"""),187.0)</f>
        <v>187</v>
      </c>
      <c r="B188" s="2" t="str">
        <f>IFERROR(__xludf.DUMMYFUNCTION("""COMPUTED_VALUE"""),"Amérique")</f>
        <v>Amérique</v>
      </c>
      <c r="C188" s="2" t="str">
        <f>IFERROR(__xludf.DUMMYFUNCTION("""COMPUTED_VALUE"""),"Dominique")</f>
        <v>Dominique</v>
      </c>
      <c r="D188" s="2" t="str">
        <f>IFERROR(__xludf.DUMMYFUNCTION("""COMPUTED_VALUE"""),"*Roseau*")</f>
        <v>*Roseau*</v>
      </c>
      <c r="E188" s="2" t="str">
        <f>IFERROR(__xludf.DUMMYFUNCTION("""COMPUTED_VALUE"""),"14 847")</f>
        <v>14 847</v>
      </c>
      <c r="F188" s="2"/>
      <c r="G188" s="2" t="str">
        <f>IFERROR(__xludf.DUMMYFUNCTION("""COMPUTED_VALUE"""),"[84]")</f>
        <v>[84]</v>
      </c>
    </row>
    <row r="189">
      <c r="A189" s="2">
        <f>IFERROR(__xludf.DUMMYFUNCTION("""COMPUTED_VALUE"""),188.0)</f>
        <v>188</v>
      </c>
      <c r="B189" s="2" t="str">
        <f>IFERROR(__xludf.DUMMYFUNCTION("""COMPUTED_VALUE"""),"Amérique")</f>
        <v>Amérique</v>
      </c>
      <c r="C189" s="2" t="str">
        <f>IFERROR(__xludf.DUMMYFUNCTION("""COMPUTED_VALUE"""),"Saint-Christophe-et-Niévès")</f>
        <v>Saint-Christophe-et-Niévès</v>
      </c>
      <c r="D189" s="2" t="str">
        <f>IFERROR(__xludf.DUMMYFUNCTION("""COMPUTED_VALUE"""),"*Basseterre*")</f>
        <v>*Basseterre*</v>
      </c>
      <c r="E189" s="2" t="str">
        <f>IFERROR(__xludf.DUMMYFUNCTION("""COMPUTED_VALUE"""),"13 043")</f>
        <v>13 043</v>
      </c>
      <c r="F189" s="2"/>
      <c r="G189" s="2" t="str">
        <f>IFERROR(__xludf.DUMMYFUNCTION("""COMPUTED_VALUE"""),"[85]")</f>
        <v>[85]</v>
      </c>
    </row>
    <row r="190">
      <c r="A190" s="2">
        <f>IFERROR(__xludf.DUMMYFUNCTION("""COMPUTED_VALUE"""),189.0)</f>
        <v>189</v>
      </c>
      <c r="B190" s="2" t="str">
        <f>IFERROR(__xludf.DUMMYFUNCTION("""COMPUTED_VALUE"""),"Océanie")</f>
        <v>Océanie</v>
      </c>
      <c r="C190" s="2" t="str">
        <f>IFERROR(__xludf.DUMMYFUNCTION("""COMPUTED_VALUE"""),"Micronésie")</f>
        <v>Micronésie</v>
      </c>
      <c r="D190" s="2" t="str">
        <f>IFERROR(__xludf.DUMMYFUNCTION("""COMPUTED_VALUE"""),"*Palikir*")</f>
        <v>*Palikir*</v>
      </c>
      <c r="E190" s="2" t="str">
        <f>IFERROR(__xludf.DUMMYFUNCTION("""COMPUTED_VALUE"""),"9 900")</f>
        <v>9 900</v>
      </c>
      <c r="F190" s="2"/>
      <c r="G190" s="2"/>
    </row>
    <row r="191">
      <c r="A191" s="2">
        <f>IFERROR(__xludf.DUMMYFUNCTION("""COMPUTED_VALUE"""),190.0)</f>
        <v>190</v>
      </c>
      <c r="B191" s="2" t="str">
        <f>IFERROR(__xludf.DUMMYFUNCTION("""COMPUTED_VALUE"""),"Amérique")</f>
        <v>Amérique</v>
      </c>
      <c r="C191" s="2" t="str">
        <f>IFERROR(__xludf.DUMMYFUNCTION("""COMPUTED_VALUE"""),"Grenade")</f>
        <v>Grenade</v>
      </c>
      <c r="D191" s="2" t="str">
        <f>IFERROR(__xludf.DUMMYFUNCTION("""COMPUTED_VALUE"""),"*Saint-Georges*")</f>
        <v>*Saint-Georges*</v>
      </c>
      <c r="E191" s="2" t="str">
        <f>IFERROR(__xludf.DUMMYFUNCTION("""COMPUTED_VALUE"""),"7 500")</f>
        <v>7 500</v>
      </c>
      <c r="F191" s="2"/>
      <c r="G191" s="2"/>
    </row>
    <row r="192">
      <c r="A192" s="2">
        <f>IFERROR(__xludf.DUMMYFUNCTION("""COMPUTED_VALUE"""),191.0)</f>
        <v>191</v>
      </c>
      <c r="B192" s="2" t="str">
        <f>IFERROR(__xludf.DUMMYFUNCTION("""COMPUTED_VALUE"""),"Europe")</f>
        <v>Europe</v>
      </c>
      <c r="C192" s="2" t="str">
        <f>IFERROR(__xludf.DUMMYFUNCTION("""COMPUTED_VALUE"""),"Malte")</f>
        <v>Malte</v>
      </c>
      <c r="D192" s="2" t="str">
        <f>IFERROR(__xludf.DUMMYFUNCTION("""COMPUTED_VALUE"""),"*La Valette*")</f>
        <v>*La Valette*</v>
      </c>
      <c r="E192" s="2" t="str">
        <f>IFERROR(__xludf.DUMMYFUNCTION("""COMPUTED_VALUE"""),"6 675")</f>
        <v>6 675</v>
      </c>
      <c r="F192" s="2">
        <f>IFERROR(__xludf.DUMMYFUNCTION("""COMPUTED_VALUE"""),2013.0)</f>
        <v>2013</v>
      </c>
      <c r="G192" s="2" t="str">
        <f>IFERROR(__xludf.DUMMYFUNCTION("""COMPUTED_VALUE"""),"[86]")</f>
        <v>[86]</v>
      </c>
    </row>
    <row r="193">
      <c r="A193" s="2">
        <f>IFERROR(__xludf.DUMMYFUNCTION("""COMPUTED_VALUE"""),192.0)</f>
        <v>192</v>
      </c>
      <c r="B193" s="2" t="str">
        <f>IFERROR(__xludf.DUMMYFUNCTION("""COMPUTED_VALUE"""),"Europe")</f>
        <v>Europe</v>
      </c>
      <c r="C193" s="2" t="str">
        <f>IFERROR(__xludf.DUMMYFUNCTION("""COMPUTED_VALUE"""),"Liechtenstein")</f>
        <v>Liechtenstein</v>
      </c>
      <c r="D193" s="2" t="str">
        <f>IFERROR(__xludf.DUMMYFUNCTION("""COMPUTED_VALUE"""),"*Vaduz*")</f>
        <v>*Vaduz*</v>
      </c>
      <c r="E193" s="2" t="str">
        <f>IFERROR(__xludf.DUMMYFUNCTION("""COMPUTED_VALUE"""),"5 248")</f>
        <v>5 248</v>
      </c>
      <c r="F193" s="2"/>
      <c r="G193" s="2"/>
    </row>
    <row r="194">
      <c r="A194" s="2">
        <f>IFERROR(__xludf.DUMMYFUNCTION("""COMPUTED_VALUE"""),193.0)</f>
        <v>193</v>
      </c>
      <c r="B194" s="2" t="str">
        <f>IFERROR(__xludf.DUMMYFUNCTION("""COMPUTED_VALUE"""),"Europe")</f>
        <v>Europe</v>
      </c>
      <c r="C194" s="2" t="str">
        <f>IFERROR(__xludf.DUMMYFUNCTION("""COMPUTED_VALUE"""),"Saint-Marin")</f>
        <v>Saint-Marin</v>
      </c>
      <c r="D194" s="2" t="str">
        <f>IFERROR(__xludf.DUMMYFUNCTION("""COMPUTED_VALUE"""),"*Saint-Marin*")</f>
        <v>*Saint-Marin*</v>
      </c>
      <c r="E194" s="2" t="str">
        <f>IFERROR(__xludf.DUMMYFUNCTION("""COMPUTED_VALUE"""),"4 493")</f>
        <v>4 493</v>
      </c>
      <c r="F194" s="2"/>
      <c r="G194" s="2"/>
    </row>
    <row r="195">
      <c r="A195" s="2">
        <f>IFERROR(__xludf.DUMMYFUNCTION("""COMPUTED_VALUE"""),194.0)</f>
        <v>194</v>
      </c>
      <c r="B195" s="2" t="str">
        <f>IFERROR(__xludf.DUMMYFUNCTION("""COMPUTED_VALUE"""),"Océanie")</f>
        <v>Océanie</v>
      </c>
      <c r="C195" s="2" t="str">
        <f>IFERROR(__xludf.DUMMYFUNCTION("""COMPUTED_VALUE"""),"Tuvalu")</f>
        <v>Tuvalu</v>
      </c>
      <c r="D195" s="2" t="str">
        <f>IFERROR(__xludf.DUMMYFUNCTION("""COMPUTED_VALUE"""),"*Funafuti*")</f>
        <v>*Funafuti*</v>
      </c>
      <c r="E195" s="2" t="str">
        <f>IFERROR(__xludf.DUMMYFUNCTION("""COMPUTED_VALUE"""),"4 492")</f>
        <v>4 492</v>
      </c>
      <c r="F195" s="2"/>
      <c r="G195" s="2"/>
    </row>
    <row r="196">
      <c r="A196" s="2">
        <f>IFERROR(__xludf.DUMMYFUNCTION("""COMPUTED_VALUE"""),195.0)</f>
        <v>195</v>
      </c>
      <c r="B196" s="2" t="str">
        <f>IFERROR(__xludf.DUMMYFUNCTION("""COMPUTED_VALUE"""),"Océanie")</f>
        <v>Océanie</v>
      </c>
      <c r="C196" s="2" t="str">
        <f>IFERROR(__xludf.DUMMYFUNCTION("""COMPUTED_VALUE"""),"Nauru")</f>
        <v>Nauru</v>
      </c>
      <c r="D196" s="2" t="str">
        <f>IFERROR(__xludf.DUMMYFUNCTION("""COMPUTED_VALUE"""),"*Yaren**(de facto)*")</f>
        <v>*Yaren**(de facto)*</v>
      </c>
      <c r="E196" s="2" t="str">
        <f>IFERROR(__xludf.DUMMYFUNCTION("""COMPUTED_VALUE"""),"1 100")</f>
        <v>1 100</v>
      </c>
      <c r="F196" s="2"/>
      <c r="G196" s="2" t="str">
        <f>IFERROR(__xludf.DUMMYFUNCTION("""COMPUTED_VALUE"""),"[87]")</f>
        <v>[87]</v>
      </c>
    </row>
    <row r="197">
      <c r="A197" s="2">
        <f>IFERROR(__xludf.DUMMYFUNCTION("""COMPUTED_VALUE"""),196.0)</f>
        <v>196</v>
      </c>
      <c r="B197" s="2" t="str">
        <f>IFERROR(__xludf.DUMMYFUNCTION("""COMPUTED_VALUE"""),"Europe")</f>
        <v>Europe</v>
      </c>
      <c r="C197" s="2" t="str">
        <f>IFERROR(__xludf.DUMMYFUNCTION("""COMPUTED_VALUE"""),"Vatican")</f>
        <v>Vatican</v>
      </c>
      <c r="D197" s="2" t="str">
        <f>IFERROR(__xludf.DUMMYFUNCTION("""COMPUTED_VALUE"""),"*Vatican*")</f>
        <v>*Vatican*</v>
      </c>
      <c r="E197" s="2">
        <f>IFERROR(__xludf.DUMMYFUNCTION("""COMPUTED_VALUE"""),826.0)</f>
        <v>826</v>
      </c>
      <c r="F197" s="2">
        <f>IFERROR(__xludf.DUMMYFUNCTION("""COMPUTED_VALUE"""),2009.0)</f>
        <v>2009</v>
      </c>
      <c r="G197" s="2" t="str">
        <f>IFERROR(__xludf.DUMMYFUNCTION("""COMPUTED_VALUE"""),"[88]")</f>
        <v>[88]</v>
      </c>
    </row>
    <row r="198">
      <c r="A198" s="2">
        <f>IFERROR(__xludf.DUMMYFUNCTION("""COMPUTED_VALUE"""),197.0)</f>
        <v>197</v>
      </c>
      <c r="B198" s="2" t="str">
        <f>IFERROR(__xludf.DUMMYFUNCTION("""COMPUTED_VALUE"""),"Océanie")</f>
        <v>Océanie</v>
      </c>
      <c r="C198" s="2" t="str">
        <f>IFERROR(__xludf.DUMMYFUNCTION("""COMPUTED_VALUE"""),"Palaos")</f>
        <v>Palaos</v>
      </c>
      <c r="D198" s="2" t="str">
        <f>IFERROR(__xludf.DUMMYFUNCTION("""COMPUTED_VALUE"""),"*Melekeok*")</f>
        <v>*Melekeok*</v>
      </c>
      <c r="E198" s="2">
        <f>IFERROR(__xludf.DUMMYFUNCTION("""COMPUTED_VALUE"""),299.0)</f>
        <v>299</v>
      </c>
      <c r="F198" s="2"/>
      <c r="G198" s="2" t="str">
        <f>IFERROR(__xludf.DUMMYFUNCTION("""COMPUTED_VALUE"""),"[89]")</f>
        <v>[89]</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1" t="str">
        <f>IFERROR(__xludf.DUMMYFUNCTION("IMPORTHTML(""https://fr.wikipedia.org/wiki/Liste_des_m%C3%A9daill%C3%A9s_aux_Jeux_olympiques_d%27%C3%A9t%C3%A9_de_2016"",""table"",20)"),"Épreuves")</f>
        <v>Épreuves</v>
      </c>
      <c r="B1" s="11" t="str">
        <f>IFERROR(__xludf.DUMMYFUNCTION("""COMPUTED_VALUE"""),"Or")</f>
        <v>Or</v>
      </c>
      <c r="C1" s="11" t="str">
        <f>IFERROR(__xludf.DUMMYFUNCTION("""COMPUTED_VALUE"""),"Argent")</f>
        <v>Argent</v>
      </c>
      <c r="D1" s="11" t="str">
        <f>IFERROR(__xludf.DUMMYFUNCTION("""COMPUTED_VALUE"""),"Bronze")</f>
        <v>Bronze</v>
      </c>
      <c r="E1" s="11"/>
      <c r="F1" s="11"/>
      <c r="G1" s="11"/>
      <c r="H1" s="11"/>
      <c r="I1" s="11"/>
      <c r="J1" s="11"/>
      <c r="K1" s="11"/>
      <c r="L1" s="11"/>
      <c r="M1" s="11"/>
      <c r="N1" s="11"/>
      <c r="O1" s="11"/>
      <c r="P1" s="11"/>
      <c r="Q1" s="11"/>
      <c r="R1" s="11"/>
      <c r="S1" s="11"/>
      <c r="T1" s="11"/>
      <c r="U1" s="11"/>
      <c r="V1" s="11"/>
      <c r="W1" s="11"/>
      <c r="X1" s="11"/>
      <c r="Y1" s="11"/>
      <c r="Z1" s="11"/>
    </row>
    <row r="2">
      <c r="A2" s="11" t="str">
        <f>IFERROR(__xludf.DUMMYFUNCTION("""COMPUTED_VALUE"""),"*Tournoi masculin*")</f>
        <v>*Tournoi masculin*</v>
      </c>
      <c r="B2" s="11" t="str">
        <f>IFERROR(__xludf.DUMMYFUNCTION("""COMPUTED_VALUE"""),"Danemark
Mads Christiansen
Michael Damgaard
Jannick Green
Mikkel Hansen
Niklas Landin Jacobsen
Mads Mensah Larsen
Henrik Møllgaard
Casper Ulrich Mortensen
Jesper Nøddesbo
Morten Olsen
Kasper Søndergaard
Lasse Svan Hansen
Henrik Toft Hansen
René Toft Hanse"&amp;"n")</f>
        <v>Danemark
Mads Christiansen
Michael Damgaard
Jannick Green
Mikkel Hansen
Niklas Landin Jacobsen
Mads Mensah Larsen
Henrik Møllgaard
Casper Ulrich Mortensen
Jesper Nøddesbo
Morten Olsen
Kasper Søndergaard
Lasse Svan Hansen
Henrik Toft Hansen
René Toft Hansen</v>
      </c>
      <c r="C2" s="11" t="str">
        <f>IFERROR(__xludf.DUMMYFUNCTION("""COMPUTED_VALUE"""),"France
Luc Abalo
Adrien Dipanda
Ludovic Fabregas
Vincent Gérard
Mathieu Grébille
Michaël Guigou
Luka Karabatic
Nikola Karabatic
Kentin Mahé
Daniel Narcisse
Timothey N'Guessan
Olivier Nyokas
Thierry Omeyer
Valentin Porte
Cédric Sorhaindo")</f>
        <v>France
Luc Abalo
Adrien Dipanda
Ludovic Fabregas
Vincent Gérard
Mathieu Grébille
Michaël Guigou
Luka Karabatic
Nikola Karabatic
Kentin Mahé
Daniel Narcisse
Timothey N'Guessan
Olivier Nyokas
Thierry Omeyer
Valentin Porte
Cédric Sorhaindo</v>
      </c>
      <c r="D2" s="11" t="str">
        <f>IFERROR(__xludf.DUMMYFUNCTION("""COMPUTED_VALUE"""),"Allemagne
Christian Dissinger
Paul Drux
Steffen Fäth
Uwe Gensheimer
Patrick Groetzki
Kai Häfner
Silvio Heinevetter
Julius Kühn
Finn Lemke
Hendrik Pekeler
Tobias Reichmann
Martin Strobel
Fabian Wiede
Patrick Wiencek
Andreas Wolff")</f>
        <v>Allemagne
Christian Dissinger
Paul Drux
Steffen Fäth
Uwe Gensheimer
Patrick Groetzki
Kai Häfner
Silvio Heinevetter
Julius Kühn
Finn Lemke
Hendrik Pekeler
Tobias Reichmann
Martin Strobel
Fabian Wiede
Patrick Wiencek
Andreas Wolff</v>
      </c>
      <c r="E2" s="11"/>
      <c r="F2" s="11"/>
      <c r="G2" s="11"/>
      <c r="H2" s="12" t="s">
        <v>74</v>
      </c>
      <c r="I2" s="11"/>
      <c r="J2" s="11"/>
      <c r="K2" s="11"/>
      <c r="L2" s="11"/>
      <c r="M2" s="11"/>
      <c r="N2" s="11"/>
      <c r="O2" s="11"/>
      <c r="P2" s="11"/>
      <c r="Q2" s="11"/>
      <c r="R2" s="11"/>
      <c r="S2" s="11"/>
      <c r="T2" s="11"/>
      <c r="U2" s="11"/>
      <c r="V2" s="11"/>
      <c r="W2" s="11"/>
      <c r="X2" s="11"/>
      <c r="Y2" s="11"/>
      <c r="Z2" s="11"/>
    </row>
    <row r="3">
      <c r="A3" s="11" t="str">
        <f>IFERROR(__xludf.DUMMYFUNCTION("""COMPUTED_VALUE"""),"*Tournoi féminin*")</f>
        <v>*Tournoi féminin*</v>
      </c>
      <c r="B3" s="11" t="str">
        <f>IFERROR(__xludf.DUMMYFUNCTION("""COMPUTED_VALUE"""),"Russie
Olga Akopian
Irina Bliznova
Vladlena Bobrovnikova
Daria Dmitrieva
Tatiana Erokhina
Ekaterina Ilina
Victoria Jilinskaïté
Victoria Kalinina
Polina Kouznetsova
Ekaterina Marennikova
Maïa Petrova
Anna Sedoïkina
Anna Sen
Marina Soudakova
Anna Viakhireva")</f>
        <v>Russie
Olga Akopian
Irina Bliznova
Vladlena Bobrovnikova
Daria Dmitrieva
Tatiana Erokhina
Ekaterina Ilina
Victoria Jilinskaïté
Victoria Kalinina
Polina Kouznetsova
Ekaterina Marennikova
Maïa Petrova
Anna Sedoïkina
Anna Sen
Marina Soudakova
Anna Viakhireva</v>
      </c>
      <c r="C3" s="11" t="str">
        <f>IFERROR(__xludf.DUMMYFUNCTION("""COMPUTED_VALUE"""),"France
Camille Ayglon-Saurina
Chloé Bulleux
Blandine Dancette
Siraba Dembélé
Béatrice Edwige
Laura Glauser
Tamara Horacek
Manon Houette
Alexandra Lacrabère
Laurisa Landre
Amandine Leynaud
Gnonsiane Niombla
Estelle Nze Minko
Allison Pineau
Marie Prouvensie"&amp;"r
Grâce Zaadi")</f>
        <v>France
Camille Ayglon-Saurina
Chloé Bulleux
Blandine Dancette
Siraba Dembélé
Béatrice Edwige
Laura Glauser
Tamara Horacek
Manon Houette
Alexandra Lacrabère
Laurisa Landre
Amandine Leynaud
Gnonsiane Niombla
Estelle Nze Minko
Allison Pineau
Marie Prouvensier
Grâce Zaadi</v>
      </c>
      <c r="D3" s="11" t="str">
        <f>IFERROR(__xludf.DUMMYFUNCTION("""COMPUTED_VALUE"""),"Norvège
Ida Alstad
Emilie Hegh Arntzen
Marit Malm Frafjord
Kari Aalvik Grimsbø
Camilla Herrem
Veronica Kristiansen
Amanda Kurtovic
Heidi Løke
Katrine Lunde
Mari Molid
Nora Mørk
Stine Bredal Oftedal
Linn-Kristin Riegelhuth Koren
Sanna Solberg")</f>
        <v>Norvège
Ida Alstad
Emilie Hegh Arntzen
Marit Malm Frafjord
Kari Aalvik Grimsbø
Camilla Herrem
Veronica Kristiansen
Amanda Kurtovic
Heidi Løke
Katrine Lunde
Mari Molid
Nora Mørk
Stine Bredal Oftedal
Linn-Kristin Riegelhuth Koren
Sanna Solberg</v>
      </c>
      <c r="E3" s="11"/>
      <c r="F3" s="11"/>
      <c r="G3" s="11"/>
      <c r="H3" s="13" t="s">
        <v>867</v>
      </c>
      <c r="I3" s="11"/>
      <c r="J3" s="11"/>
      <c r="K3" s="11"/>
      <c r="L3" s="11"/>
      <c r="M3" s="11"/>
      <c r="N3" s="11"/>
      <c r="O3" s="11"/>
      <c r="P3" s="11"/>
      <c r="Q3" s="11"/>
      <c r="R3" s="11"/>
      <c r="S3" s="11"/>
      <c r="T3" s="11"/>
      <c r="U3" s="11"/>
      <c r="V3" s="11"/>
      <c r="W3" s="11"/>
      <c r="X3" s="11"/>
      <c r="Y3" s="11"/>
      <c r="Z3" s="11"/>
    </row>
    <row r="4">
      <c r="A4" s="11"/>
      <c r="B4" s="11"/>
      <c r="C4" s="11"/>
      <c r="D4" s="11"/>
      <c r="E4" s="11"/>
      <c r="F4" s="11"/>
      <c r="G4" s="11"/>
      <c r="H4" s="11"/>
      <c r="I4" s="11"/>
      <c r="J4" s="11"/>
      <c r="K4" s="11"/>
      <c r="L4" s="11"/>
      <c r="M4" s="11"/>
      <c r="N4" s="11"/>
      <c r="O4" s="11"/>
      <c r="P4" s="11"/>
      <c r="Q4" s="11"/>
      <c r="R4" s="11"/>
      <c r="S4" s="11"/>
      <c r="T4" s="11"/>
      <c r="U4" s="11"/>
      <c r="V4" s="11"/>
      <c r="W4" s="11"/>
      <c r="X4" s="11"/>
      <c r="Y4" s="11"/>
      <c r="Z4" s="11"/>
    </row>
    <row r="5">
      <c r="A5" s="11"/>
      <c r="B5" s="11"/>
      <c r="C5" s="11"/>
      <c r="D5" s="11"/>
      <c r="E5" s="11"/>
      <c r="F5" s="11"/>
      <c r="G5" s="11"/>
      <c r="H5" s="11"/>
      <c r="I5" s="11"/>
      <c r="J5" s="11"/>
      <c r="K5" s="11"/>
      <c r="L5" s="11"/>
      <c r="M5" s="11"/>
      <c r="N5" s="11"/>
      <c r="O5" s="11"/>
      <c r="P5" s="11"/>
      <c r="Q5" s="11"/>
      <c r="R5" s="11"/>
      <c r="S5" s="11"/>
      <c r="T5" s="11"/>
      <c r="U5" s="11"/>
      <c r="V5" s="11"/>
      <c r="W5" s="11"/>
      <c r="X5" s="11"/>
      <c r="Y5" s="11"/>
      <c r="Z5" s="11"/>
    </row>
    <row r="6">
      <c r="A6" s="11"/>
      <c r="B6" s="11"/>
      <c r="C6" s="11"/>
      <c r="D6" s="11"/>
      <c r="E6" s="11"/>
      <c r="F6" s="11"/>
      <c r="G6" s="11"/>
      <c r="H6" s="11"/>
      <c r="I6" s="11"/>
      <c r="J6" s="11"/>
      <c r="K6" s="11"/>
      <c r="L6" s="11"/>
      <c r="M6" s="11"/>
      <c r="N6" s="11"/>
      <c r="O6" s="11"/>
      <c r="P6" s="11"/>
      <c r="Q6" s="11"/>
      <c r="R6" s="11"/>
      <c r="S6" s="11"/>
      <c r="T6" s="11"/>
      <c r="U6" s="11"/>
      <c r="V6" s="11"/>
      <c r="W6" s="11"/>
      <c r="X6" s="11"/>
      <c r="Y6" s="11"/>
      <c r="Z6" s="11"/>
    </row>
    <row r="7">
      <c r="A7" s="11"/>
      <c r="B7" s="11"/>
      <c r="C7" s="11"/>
      <c r="D7" s="11"/>
      <c r="E7" s="11"/>
      <c r="F7" s="11"/>
      <c r="G7" s="11"/>
      <c r="H7" s="11"/>
      <c r="I7" s="11"/>
      <c r="J7" s="11"/>
      <c r="K7" s="11"/>
      <c r="L7" s="11"/>
      <c r="M7" s="11"/>
      <c r="N7" s="11"/>
      <c r="O7" s="11"/>
      <c r="P7" s="11"/>
      <c r="Q7" s="11"/>
      <c r="R7" s="11"/>
      <c r="S7" s="11"/>
      <c r="T7" s="11"/>
      <c r="U7" s="11"/>
      <c r="V7" s="11"/>
      <c r="W7" s="11"/>
      <c r="X7" s="11"/>
      <c r="Y7" s="11"/>
      <c r="Z7" s="11"/>
    </row>
    <row r="8">
      <c r="A8" s="11"/>
      <c r="B8" s="11"/>
      <c r="C8" s="11"/>
      <c r="D8" s="11"/>
      <c r="E8" s="11"/>
      <c r="F8" s="11"/>
      <c r="G8" s="11"/>
      <c r="H8" s="11"/>
      <c r="I8" s="11"/>
      <c r="J8" s="11"/>
      <c r="K8" s="11"/>
      <c r="L8" s="11"/>
      <c r="M8" s="11"/>
      <c r="N8" s="11"/>
      <c r="O8" s="11"/>
      <c r="P8" s="11"/>
      <c r="Q8" s="11"/>
      <c r="R8" s="11"/>
      <c r="S8" s="11"/>
      <c r="T8" s="11"/>
      <c r="U8" s="11"/>
      <c r="V8" s="11"/>
      <c r="W8" s="11"/>
      <c r="X8" s="11"/>
      <c r="Y8" s="11"/>
      <c r="Z8" s="11"/>
    </row>
    <row r="9">
      <c r="A9" s="11"/>
      <c r="B9" s="11"/>
      <c r="C9" s="11"/>
      <c r="D9" s="11"/>
      <c r="E9" s="11"/>
      <c r="F9" s="11"/>
      <c r="G9" s="11"/>
      <c r="H9" s="11"/>
      <c r="I9" s="11"/>
      <c r="J9" s="11"/>
      <c r="K9" s="11"/>
      <c r="L9" s="11"/>
      <c r="M9" s="11"/>
      <c r="N9" s="11"/>
      <c r="O9" s="11"/>
      <c r="P9" s="11"/>
      <c r="Q9" s="11"/>
      <c r="R9" s="11"/>
      <c r="S9" s="11"/>
      <c r="T9" s="11"/>
      <c r="U9" s="11"/>
      <c r="V9" s="11"/>
      <c r="W9" s="11"/>
      <c r="X9" s="11"/>
      <c r="Y9" s="11"/>
      <c r="Z9" s="11"/>
    </row>
    <row r="10">
      <c r="A10" s="11"/>
      <c r="B10" s="11"/>
      <c r="C10" s="11"/>
      <c r="D10" s="11"/>
      <c r="E10" s="11"/>
      <c r="F10" s="11"/>
      <c r="G10" s="11"/>
      <c r="H10" s="11"/>
      <c r="I10" s="11"/>
      <c r="J10" s="11"/>
      <c r="K10" s="11"/>
      <c r="L10" s="11"/>
      <c r="M10" s="11"/>
      <c r="N10" s="11"/>
      <c r="O10" s="11"/>
      <c r="P10" s="11"/>
      <c r="Q10" s="11"/>
      <c r="R10" s="11"/>
      <c r="S10" s="11"/>
      <c r="T10" s="11"/>
      <c r="U10" s="11"/>
      <c r="V10" s="11"/>
      <c r="W10" s="11"/>
      <c r="X10" s="11"/>
      <c r="Y10" s="11"/>
      <c r="Z10" s="11"/>
    </row>
    <row r="11">
      <c r="A11" s="11"/>
      <c r="B11" s="11"/>
      <c r="C11" s="11"/>
      <c r="D11" s="11"/>
      <c r="E11" s="11"/>
      <c r="F11" s="11"/>
      <c r="G11" s="11"/>
      <c r="H11" s="11"/>
      <c r="I11" s="11"/>
      <c r="J11" s="11"/>
      <c r="K11" s="11"/>
      <c r="L11" s="11"/>
      <c r="M11" s="11"/>
      <c r="N11" s="11"/>
      <c r="O11" s="11"/>
      <c r="P11" s="11"/>
      <c r="Q11" s="11"/>
      <c r="R11" s="11"/>
      <c r="S11" s="11"/>
      <c r="T11" s="11"/>
      <c r="U11" s="11"/>
      <c r="V11" s="11"/>
      <c r="W11" s="11"/>
      <c r="X11" s="11"/>
      <c r="Y11" s="11"/>
      <c r="Z11" s="11"/>
    </row>
    <row r="12">
      <c r="A12" s="11"/>
      <c r="B12" s="11"/>
      <c r="C12" s="11"/>
      <c r="D12" s="11"/>
      <c r="E12" s="11"/>
      <c r="F12" s="11"/>
      <c r="G12" s="11"/>
      <c r="H12" s="11"/>
      <c r="I12" s="11"/>
      <c r="J12" s="11"/>
      <c r="K12" s="11"/>
      <c r="L12" s="11"/>
      <c r="M12" s="11"/>
      <c r="N12" s="11"/>
      <c r="O12" s="11"/>
      <c r="P12" s="11"/>
      <c r="Q12" s="11"/>
      <c r="R12" s="11"/>
      <c r="S12" s="11"/>
      <c r="T12" s="11"/>
      <c r="U12" s="11"/>
      <c r="V12" s="11"/>
      <c r="W12" s="11"/>
      <c r="X12" s="11"/>
      <c r="Y12" s="11"/>
      <c r="Z12" s="11"/>
    </row>
    <row r="13">
      <c r="A13" s="11"/>
      <c r="B13" s="11"/>
      <c r="C13" s="11"/>
      <c r="D13" s="11"/>
      <c r="E13" s="11"/>
      <c r="F13" s="11"/>
      <c r="G13" s="11"/>
      <c r="H13" s="11"/>
      <c r="I13" s="11"/>
      <c r="J13" s="11"/>
      <c r="K13" s="11"/>
      <c r="L13" s="11"/>
      <c r="M13" s="11"/>
      <c r="N13" s="11"/>
      <c r="O13" s="11"/>
      <c r="P13" s="11"/>
      <c r="Q13" s="11"/>
      <c r="R13" s="11"/>
      <c r="S13" s="11"/>
      <c r="T13" s="11"/>
      <c r="U13" s="11"/>
      <c r="V13" s="11"/>
      <c r="W13" s="11"/>
      <c r="X13" s="11"/>
      <c r="Y13" s="11"/>
      <c r="Z13" s="11"/>
    </row>
    <row r="14">
      <c r="A14" s="11"/>
      <c r="B14" s="11"/>
      <c r="C14" s="11"/>
      <c r="D14" s="11"/>
      <c r="E14" s="11"/>
      <c r="F14" s="11"/>
      <c r="G14" s="11"/>
      <c r="H14" s="11"/>
      <c r="I14" s="11"/>
      <c r="J14" s="11"/>
      <c r="K14" s="11"/>
      <c r="L14" s="11"/>
      <c r="M14" s="11"/>
      <c r="N14" s="11"/>
      <c r="O14" s="11"/>
      <c r="P14" s="11"/>
      <c r="Q14" s="11"/>
      <c r="R14" s="11"/>
      <c r="S14" s="11"/>
      <c r="T14" s="11"/>
      <c r="U14" s="11"/>
      <c r="V14" s="11"/>
      <c r="W14" s="11"/>
      <c r="X14" s="11"/>
      <c r="Y14" s="11"/>
      <c r="Z14" s="11"/>
    </row>
    <row r="15">
      <c r="A15" s="11"/>
      <c r="B15" s="11"/>
      <c r="C15" s="11"/>
      <c r="D15" s="11"/>
      <c r="E15" s="11"/>
      <c r="F15" s="11"/>
      <c r="G15" s="11"/>
      <c r="H15" s="11"/>
      <c r="I15" s="11"/>
      <c r="J15" s="11"/>
      <c r="K15" s="11"/>
      <c r="L15" s="11"/>
      <c r="M15" s="11"/>
      <c r="N15" s="11"/>
      <c r="O15" s="11"/>
      <c r="P15" s="11"/>
      <c r="Q15" s="11"/>
      <c r="R15" s="11"/>
      <c r="S15" s="11"/>
      <c r="T15" s="11"/>
      <c r="U15" s="11"/>
      <c r="V15" s="11"/>
      <c r="W15" s="11"/>
      <c r="X15" s="11"/>
      <c r="Y15" s="11"/>
      <c r="Z15" s="11"/>
    </row>
    <row r="16">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1"/>
    </row>
    <row r="17">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row>
    <row r="18">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row>
    <row r="19">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row>
    <row r="20">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row>
    <row r="21">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row>
    <row r="22">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row>
    <row r="23">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row>
    <row r="24">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row>
    <row r="25">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row>
    <row r="26">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row>
    <row r="27">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row>
    <row r="28">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row>
    <row r="29">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row>
    <row r="30">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row>
    <row r="31">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row>
    <row r="32">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row>
    <row r="33">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r="34">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row>
    <row r="35">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r="36">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r="37">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r="38">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tr">
        <f>IFERROR(__xludf.DUMMYFUNCTION("IMPORTHTML(""https://fr.wikipedia.org/wiki/Liste_des_capitales_du_monde"",""table"", 1)"),"État")</f>
        <v>État</v>
      </c>
      <c r="B1" s="2" t="str">
        <f>IFERROR(__xludf.DUMMYFUNCTION("""COMPUTED_VALUE"""),"Capitale")</f>
        <v>Capitale</v>
      </c>
      <c r="C1" s="2" t="str">
        <f>IFERROR(__xludf.DUMMYFUNCTION("""COMPUTED_VALUE"""),"Notes")</f>
        <v>Notes</v>
      </c>
    </row>
    <row r="2">
      <c r="A2" s="2" t="str">
        <f>IFERROR(__xludf.DUMMYFUNCTION("""COMPUTED_VALUE"""),"Émirats arabes unis")</f>
        <v>Émirats arabes unis</v>
      </c>
      <c r="B2" s="2" t="str">
        <f>IFERROR(__xludf.DUMMYFUNCTION("""COMPUTED_VALUE"""),"Abou Dabi")</f>
        <v>Abou Dabi</v>
      </c>
      <c r="C2" s="2"/>
    </row>
    <row r="3">
      <c r="A3" s="2" t="str">
        <f>IFERROR(__xludf.DUMMYFUNCTION("""COMPUTED_VALUE"""),"Nigeria")</f>
        <v>Nigeria</v>
      </c>
      <c r="B3" s="2" t="str">
        <f>IFERROR(__xludf.DUMMYFUNCTION("""COMPUTED_VALUE"""),"Abuja")</f>
        <v>Abuja</v>
      </c>
      <c r="C3" s="2" t="str">
        <f>IFERROR(__xludf.DUMMYFUNCTION("""COMPUTED_VALUE"""),"Abuja est la capitale depuis 1991, en remplacement de Lagos.")</f>
        <v>Abuja est la capitale depuis 1991, en remplacement de Lagos.</v>
      </c>
    </row>
    <row r="4">
      <c r="A4" s="2" t="str">
        <f>IFERROR(__xludf.DUMMYFUNCTION("""COMPUTED_VALUE"""),"Ghana")</f>
        <v>Ghana</v>
      </c>
      <c r="B4" s="2" t="str">
        <f>IFERROR(__xludf.DUMMYFUNCTION("""COMPUTED_VALUE"""),"Accra")</f>
        <v>Accra</v>
      </c>
      <c r="C4" s="2"/>
    </row>
    <row r="5">
      <c r="A5" s="2" t="str">
        <f>IFERROR(__xludf.DUMMYFUNCTION("""COMPUTED_VALUE"""),"Turkménistan")</f>
        <v>Turkménistan</v>
      </c>
      <c r="B5" s="2" t="str">
        <f>IFERROR(__xludf.DUMMYFUNCTION("""COMPUTED_VALUE"""),"Achgabat")</f>
        <v>Achgabat</v>
      </c>
      <c r="C5" s="2"/>
    </row>
    <row r="6">
      <c r="A6" s="2" t="str">
        <f>IFERROR(__xludf.DUMMYFUNCTION("""COMPUTED_VALUE"""),"Éthiopie")</f>
        <v>Éthiopie</v>
      </c>
      <c r="B6" s="2" t="str">
        <f>IFERROR(__xludf.DUMMYFUNCTION("""COMPUTED_VALUE"""),"Addis-Abeba")</f>
        <v>Addis-Abeba</v>
      </c>
      <c r="C6" s="2"/>
    </row>
    <row r="7">
      <c r="A7" s="2" t="str">
        <f>IFERROR(__xludf.DUMMYFUNCTION("""COMPUTED_VALUE"""),"Yémen")</f>
        <v>Yémen</v>
      </c>
      <c r="B7" s="2" t="str">
        <f>IFERROR(__xludf.DUMMYFUNCTION("""COMPUTED_VALUE"""),"Sanaa(contesté)")</f>
        <v>Sanaa(contesté)</v>
      </c>
      <c r="C7" s="2" t="str">
        <f>IFERROR(__xludf.DUMMYFUNCTION("""COMPUTED_VALUE"""),"Sanaa sert de capitale au Conseil politique suprême. Aden sert de capitale 
au Conseil de transition du Sud. Les deux factions ont participé à la guerre 
civile.")</f>
        <v>Sanaa sert de capitale au Conseil politique suprême. Aden sert de capitale 
au Conseil de transition du Sud. Les deux factions ont participé à la guerre 
civile.</v>
      </c>
    </row>
    <row r="8">
      <c r="A8" s="2"/>
      <c r="B8" s="2" t="str">
        <f>IFERROR(__xludf.DUMMYFUNCTION("""COMPUTED_VALUE"""),"Aden(contesté)")</f>
        <v>Aden(contesté)</v>
      </c>
      <c r="C8" s="2"/>
    </row>
    <row r="9">
      <c r="A9" s="2" t="str">
        <f>IFERROR(__xludf.DUMMYFUNCTION("""COMPUTED_VALUE"""),"Algérie")</f>
        <v>Algérie</v>
      </c>
      <c r="B9" s="2" t="str">
        <f>IFERROR(__xludf.DUMMYFUNCTION("""COMPUTED_VALUE"""),"Alger")</f>
        <v>Alger</v>
      </c>
      <c r="C9" s="2"/>
    </row>
    <row r="10">
      <c r="A10" s="2" t="str">
        <f>IFERROR(__xludf.DUMMYFUNCTION("""COMPUTED_VALUE"""),"Niue")</f>
        <v>Niue</v>
      </c>
      <c r="B10" s="2" t="str">
        <f>IFERROR(__xludf.DUMMYFUNCTION("""COMPUTED_VALUE"""),"Alofi")</f>
        <v>Alofi</v>
      </c>
      <c r="C10" s="2"/>
    </row>
    <row r="11">
      <c r="A11" s="2" t="str">
        <f>IFERROR(__xludf.DUMMYFUNCTION("""COMPUTED_VALUE"""),"Jordanie")</f>
        <v>Jordanie</v>
      </c>
      <c r="B11" s="2" t="str">
        <f>IFERROR(__xludf.DUMMYFUNCTION("""COMPUTED_VALUE"""),"Amman")</f>
        <v>Amman</v>
      </c>
      <c r="C11" s="2"/>
    </row>
    <row r="12">
      <c r="A12" s="2" t="str">
        <f>IFERROR(__xludf.DUMMYFUNCTION("""COMPUTED_VALUE"""),"Pays-Bas")</f>
        <v>Pays-Bas</v>
      </c>
      <c r="B12" s="2" t="str">
        <f>IFERROR(__xludf.DUMMYFUNCTION("""COMPUTED_VALUE"""),"Amsterdam(officielle)")</f>
        <v>Amsterdam(officielle)</v>
      </c>
      <c r="C12" s="2" t="str">
        <f>IFERROR(__xludf.DUMMYFUNCTION("""COMPUTED_VALUE"""),"La constitution du royaume des Pays-Bas désigne Amsterdam comme 
« capitale ». Le gouvernement néerlandais, le roi, les ministères, la 
magistrature et les missions diplomatiques sont néanmoins situées à La Haye.")</f>
        <v>La constitution du royaume des Pays-Bas désigne Amsterdam comme 
« capitale ». Le gouvernement néerlandais, le roi, les ministères, la 
magistrature et les missions diplomatiques sont néanmoins situées à La Haye.</v>
      </c>
    </row>
    <row r="13">
      <c r="A13" s="2"/>
      <c r="B13" s="2" t="str">
        <f>IFERROR(__xludf.DUMMYFUNCTION("""COMPUTED_VALUE"""),"La Haye(*de facto*)")</f>
        <v>La Haye(*de facto*)</v>
      </c>
      <c r="C13" s="2"/>
    </row>
    <row r="14">
      <c r="A14" s="2" t="str">
        <f>IFERROR(__xludf.DUMMYFUNCTION("""COMPUTED_VALUE"""),"Andorre")</f>
        <v>Andorre</v>
      </c>
      <c r="B14" s="2" t="str">
        <f>IFERROR(__xludf.DUMMYFUNCTION("""COMPUTED_VALUE"""),"Andorre-la-Vieille")</f>
        <v>Andorre-la-Vieille</v>
      </c>
      <c r="C14" s="2"/>
    </row>
    <row r="15">
      <c r="A15" s="2" t="str">
        <f>IFERROR(__xludf.DUMMYFUNCTION("""COMPUTED_VALUE"""),"Turquie")</f>
        <v>Turquie</v>
      </c>
      <c r="B15" s="2" t="str">
        <f>IFERROR(__xludf.DUMMYFUNCTION("""COMPUTED_VALUE"""),"Ankara")</f>
        <v>Ankara</v>
      </c>
      <c r="C15" s="2"/>
    </row>
    <row r="16">
      <c r="A16" s="2" t="str">
        <f>IFERROR(__xludf.DUMMYFUNCTION("""COMPUTED_VALUE"""),"Madagascar")</f>
        <v>Madagascar</v>
      </c>
      <c r="B16" s="2" t="str">
        <f>IFERROR(__xludf.DUMMYFUNCTION("""COMPUTED_VALUE"""),"Antananarivo ou Tananarive")</f>
        <v>Antananarivo ou Tananarive</v>
      </c>
      <c r="C16" s="2"/>
    </row>
    <row r="17">
      <c r="A17" s="2" t="str">
        <f>IFERROR(__xludf.DUMMYFUNCTION("""COMPUTED_VALUE"""),"Samoa")</f>
        <v>Samoa</v>
      </c>
      <c r="B17" s="2" t="str">
        <f>IFERROR(__xludf.DUMMYFUNCTION("""COMPUTED_VALUE"""),"Apia")</f>
        <v>Apia</v>
      </c>
      <c r="C17" s="2"/>
    </row>
    <row r="18">
      <c r="A18" s="2" t="str">
        <f>IFERROR(__xludf.DUMMYFUNCTION("""COMPUTED_VALUE"""),"Érythrée")</f>
        <v>Érythrée</v>
      </c>
      <c r="B18" s="2" t="str">
        <f>IFERROR(__xludf.DUMMYFUNCTION("""COMPUTED_VALUE"""),"Asmara")</f>
        <v>Asmara</v>
      </c>
      <c r="C18" s="2"/>
    </row>
    <row r="19">
      <c r="A19" s="2" t="str">
        <f>IFERROR(__xludf.DUMMYFUNCTION("""COMPUTED_VALUE"""),"Kazakhstan")</f>
        <v>Kazakhstan</v>
      </c>
      <c r="B19" s="2" t="str">
        <f>IFERROR(__xludf.DUMMYFUNCTION("""COMPUTED_VALUE"""),"Astana")</f>
        <v>Astana</v>
      </c>
      <c r="C19" s="2" t="str">
        <f>IFERROR(__xludf.DUMMYFUNCTION("""COMPUTED_VALUE"""),"Précédemment nommée « Akmola » jusqu'en 1998, puis « Nour-Soultan » de 2019 
à 2022. Almaty était la capitale de 1991 à 1997.")</f>
        <v>Précédemment nommée « Akmola » jusqu'en 1998, puis « Nour-Soultan » de 2019 
à 2022. Almaty était la capitale de 1991 à 1997.</v>
      </c>
    </row>
    <row r="20">
      <c r="A20" s="2" t="str">
        <f>IFERROR(__xludf.DUMMYFUNCTION("""COMPUTED_VALUE"""),"Paraguay")</f>
        <v>Paraguay</v>
      </c>
      <c r="B20" s="2" t="str">
        <f>IFERROR(__xludf.DUMMYFUNCTION("""COMPUTED_VALUE"""),"Asuncion")</f>
        <v>Asuncion</v>
      </c>
      <c r="C20" s="2"/>
    </row>
    <row r="21">
      <c r="A21" s="2" t="str">
        <f>IFERROR(__xludf.DUMMYFUNCTION("""COMPUTED_VALUE"""),"Grèce")</f>
        <v>Grèce</v>
      </c>
      <c r="B21" s="2" t="str">
        <f>IFERROR(__xludf.DUMMYFUNCTION("""COMPUTED_VALUE"""),"Athènes")</f>
        <v>Athènes</v>
      </c>
      <c r="C21" s="2"/>
    </row>
    <row r="22">
      <c r="A22" s="2" t="str">
        <f>IFERROR(__xludf.DUMMYFUNCTION("""COMPUTED_VALUE"""),"Îles Cook")</f>
        <v>Îles Cook</v>
      </c>
      <c r="B22" s="2" t="str">
        <f>IFERROR(__xludf.DUMMYFUNCTION("""COMPUTED_VALUE"""),"Avarua")</f>
        <v>Avarua</v>
      </c>
      <c r="C22" s="2"/>
    </row>
    <row r="23">
      <c r="A23" s="2" t="str">
        <f>IFERROR(__xludf.DUMMYFUNCTION("""COMPUTED_VALUE"""),"Irak")</f>
        <v>Irak</v>
      </c>
      <c r="B23" s="2" t="str">
        <f>IFERROR(__xludf.DUMMYFUNCTION("""COMPUTED_VALUE"""),"Bagdad")</f>
        <v>Bagdad</v>
      </c>
      <c r="C23" s="2"/>
    </row>
    <row r="24">
      <c r="A24" s="2" t="str">
        <f>IFERROR(__xludf.DUMMYFUNCTION("""COMPUTED_VALUE"""),"Azerbaïdjan")</f>
        <v>Azerbaïdjan</v>
      </c>
      <c r="B24" s="2" t="str">
        <f>IFERROR(__xludf.DUMMYFUNCTION("""COMPUTED_VALUE"""),"Bakou")</f>
        <v>Bakou</v>
      </c>
      <c r="C24" s="2"/>
    </row>
    <row r="25">
      <c r="A25" s="2" t="str">
        <f>IFERROR(__xludf.DUMMYFUNCTION("""COMPUTED_VALUE"""),"Mali")</f>
        <v>Mali</v>
      </c>
      <c r="B25" s="2" t="str">
        <f>IFERROR(__xludf.DUMMYFUNCTION("""COMPUTED_VALUE"""),"Bamako")</f>
        <v>Bamako</v>
      </c>
      <c r="C25" s="2"/>
    </row>
    <row r="26">
      <c r="A26" s="2" t="str">
        <f>IFERROR(__xludf.DUMMYFUNCTION("""COMPUTED_VALUE"""),"Brunei")</f>
        <v>Brunei</v>
      </c>
      <c r="B26" s="2" t="str">
        <f>IFERROR(__xludf.DUMMYFUNCTION("""COMPUTED_VALUE"""),"Bandar Seri Begawan")</f>
        <v>Bandar Seri Begawan</v>
      </c>
      <c r="C26" s="2"/>
    </row>
    <row r="27">
      <c r="A27" s="2" t="str">
        <f>IFERROR(__xludf.DUMMYFUNCTION("""COMPUTED_VALUE"""),"Thaïlande")</f>
        <v>Thaïlande</v>
      </c>
      <c r="B27" s="2" t="str">
        <f>IFERROR(__xludf.DUMMYFUNCTION("""COMPUTED_VALUE"""),"Bangkok")</f>
        <v>Bangkok</v>
      </c>
      <c r="C27" s="2"/>
    </row>
    <row r="28">
      <c r="A28" s="2" t="str">
        <f>IFERROR(__xludf.DUMMYFUNCTION("""COMPUTED_VALUE"""),"République centrafricaine")</f>
        <v>République centrafricaine</v>
      </c>
      <c r="B28" s="2" t="str">
        <f>IFERROR(__xludf.DUMMYFUNCTION("""COMPUTED_VALUE"""),"Bangui")</f>
        <v>Bangui</v>
      </c>
      <c r="C28" s="2"/>
    </row>
    <row r="29">
      <c r="A29" s="2" t="str">
        <f>IFERROR(__xludf.DUMMYFUNCTION("""COMPUTED_VALUE"""),"Gambie")</f>
        <v>Gambie</v>
      </c>
      <c r="B29" s="2" t="str">
        <f>IFERROR(__xludf.DUMMYFUNCTION("""COMPUTED_VALUE"""),"Banjul")</f>
        <v>Banjul</v>
      </c>
      <c r="C29" s="2"/>
    </row>
    <row r="30">
      <c r="A30" s="2" t="str">
        <f>IFERROR(__xludf.DUMMYFUNCTION("""COMPUTED_VALUE"""),"Saint-Christophe-et-Niévès")</f>
        <v>Saint-Christophe-et-Niévès</v>
      </c>
      <c r="B30" s="2" t="str">
        <f>IFERROR(__xludf.DUMMYFUNCTION("""COMPUTED_VALUE"""),"Basseterre")</f>
        <v>Basseterre</v>
      </c>
      <c r="C30" s="2"/>
    </row>
    <row r="31">
      <c r="A31" s="2" t="str">
        <f>IFERROR(__xludf.DUMMYFUNCTION("""COMPUTED_VALUE"""),"Serbie")</f>
        <v>Serbie</v>
      </c>
      <c r="B31" s="2" t="str">
        <f>IFERROR(__xludf.DUMMYFUNCTION("""COMPUTED_VALUE"""),"Belgrade")</f>
        <v>Belgrade</v>
      </c>
      <c r="C31" s="2"/>
    </row>
    <row r="32">
      <c r="A32" s="2" t="str">
        <f>IFERROR(__xludf.DUMMYFUNCTION("""COMPUTED_VALUE"""),"Belize")</f>
        <v>Belize</v>
      </c>
      <c r="B32" s="2" t="str">
        <f>IFERROR(__xludf.DUMMYFUNCTION("""COMPUTED_VALUE"""),"Belmopan")</f>
        <v>Belmopan</v>
      </c>
      <c r="C32" s="2"/>
    </row>
    <row r="33">
      <c r="A33" s="2" t="str">
        <f>IFERROR(__xludf.DUMMYFUNCTION("""COMPUTED_VALUE"""),"Allemagne")</f>
        <v>Allemagne</v>
      </c>
      <c r="B33" s="2" t="str">
        <f>IFERROR(__xludf.DUMMYFUNCTION("""COMPUTED_VALUE"""),"Berlin")</f>
        <v>Berlin</v>
      </c>
      <c r="C33" s="2" t="str">
        <f>IFERROR(__xludf.DUMMYFUNCTION("""COMPUTED_VALUE"""),"Bonn était la capitale d'Allemagne de l'Ouest et est demeurée le siège du 
gouvernement de l'Allemagne réunifiée jusqu'en 1999.")</f>
        <v>Bonn était la capitale d'Allemagne de l'Ouest et est demeurée le siège du 
gouvernement de l'Allemagne réunifiée jusqu'en 1999.</v>
      </c>
    </row>
    <row r="34">
      <c r="A34" s="2" t="str">
        <f>IFERROR(__xludf.DUMMYFUNCTION("""COMPUTED_VALUE"""),"Suisse")</f>
        <v>Suisse</v>
      </c>
      <c r="B34" s="2" t="str">
        <f>IFERROR(__xludf.DUMMYFUNCTION("""COMPUTED_VALUE"""),"Berne(*de facto*)")</f>
        <v>Berne(*de facto*)</v>
      </c>
      <c r="C34" s="2" t="str">
        <f>IFERROR(__xludf.DUMMYFUNCTION("""COMPUTED_VALUE"""),"La Suisse n'a aucune capitale officielle ; Berne est la ville fédérale, 
c'est-à-dire le siège du gouvernement fédéral.")</f>
        <v>La Suisse n'a aucune capitale officielle ; Berne est la ville fédérale, 
c'est-à-dire le siège du gouvernement fédéral.</v>
      </c>
    </row>
    <row r="35">
      <c r="A35" s="2" t="str">
        <f>IFERROR(__xludf.DUMMYFUNCTION("""COMPUTED_VALUE"""),"Liban")</f>
        <v>Liban</v>
      </c>
      <c r="B35" s="2" t="str">
        <f>IFERROR(__xludf.DUMMYFUNCTION("""COMPUTED_VALUE"""),"Beyrouth")</f>
        <v>Beyrouth</v>
      </c>
      <c r="C35" s="2"/>
    </row>
    <row r="36">
      <c r="A36" s="2" t="str">
        <f>IFERROR(__xludf.DUMMYFUNCTION("""COMPUTED_VALUE"""),"Kirghizistan")</f>
        <v>Kirghizistan</v>
      </c>
      <c r="B36" s="2" t="str">
        <f>IFERROR(__xludf.DUMMYFUNCTION("""COMPUTED_VALUE"""),"Bichkek")</f>
        <v>Bichkek</v>
      </c>
      <c r="C36" s="2"/>
    </row>
    <row r="37">
      <c r="A37" s="2" t="str">
        <f>IFERROR(__xludf.DUMMYFUNCTION("""COMPUTED_VALUE"""),"Guinée-Bissau")</f>
        <v>Guinée-Bissau</v>
      </c>
      <c r="B37" s="2" t="str">
        <f>IFERROR(__xludf.DUMMYFUNCTION("""COMPUTED_VALUE"""),"Bissau")</f>
        <v>Bissau</v>
      </c>
      <c r="C37" s="2"/>
    </row>
    <row r="38">
      <c r="A38" s="2" t="str">
        <f>IFERROR(__xludf.DUMMYFUNCTION("""COMPUTED_VALUE"""),"Afrique du Sud")</f>
        <v>Afrique du Sud</v>
      </c>
      <c r="B38" s="2" t="str">
        <f>IFERROR(__xludf.DUMMYFUNCTION("""COMPUTED_VALUE"""),"Bloemfontein(judiciaire)")</f>
        <v>Bloemfontein(judiciaire)</v>
      </c>
      <c r="C38" s="2" t="str">
        <f>IFERROR(__xludf.DUMMYFUNCTION("""COMPUTED_VALUE"""),"L'Afrique du Sud compte trois capitales : Pretoria est la capitale 
administrative et le siège du gouvernement, Le Cap est le siège du 
Parlement et Bloemfontein la capitale judiciaire.")</f>
        <v>L'Afrique du Sud compte trois capitales : Pretoria est la capitale 
administrative et le siège du gouvernement, Le Cap est le siège du 
Parlement et Bloemfontein la capitale judiciaire.</v>
      </c>
    </row>
    <row r="39">
      <c r="A39" s="2"/>
      <c r="B39" s="2" t="str">
        <f>IFERROR(__xludf.DUMMYFUNCTION("""COMPUTED_VALUE"""),"Le Cap(législative)")</f>
        <v>Le Cap(législative)</v>
      </c>
      <c r="C39" s="2"/>
    </row>
    <row r="40">
      <c r="A40" s="2"/>
      <c r="B40" s="2" t="str">
        <f>IFERROR(__xludf.DUMMYFUNCTION("""COMPUTED_VALUE"""),"Pretoria(administrative)")</f>
        <v>Pretoria(administrative)</v>
      </c>
      <c r="C40" s="2"/>
    </row>
    <row r="41">
      <c r="A41" s="2" t="str">
        <f>IFERROR(__xludf.DUMMYFUNCTION("""COMPUTED_VALUE"""),"Colombie")</f>
        <v>Colombie</v>
      </c>
      <c r="B41" s="2" t="str">
        <f>IFERROR(__xludf.DUMMYFUNCTION("""COMPUTED_VALUE"""),"Bogota")</f>
        <v>Bogota</v>
      </c>
      <c r="C41" s="2"/>
    </row>
    <row r="42">
      <c r="A42" s="2" t="str">
        <f>IFERROR(__xludf.DUMMYFUNCTION("""COMPUTED_VALUE"""),"Brésil")</f>
        <v>Brésil</v>
      </c>
      <c r="B42" s="2" t="str">
        <f>IFERROR(__xludf.DUMMYFUNCTION("""COMPUTED_VALUE"""),"Brasilia")</f>
        <v>Brasilia</v>
      </c>
      <c r="C42" s="2" t="str">
        <f>IFERROR(__xludf.DUMMYFUNCTION("""COMPUTED_VALUE"""),"Rio de Janeiro était la capitale jusqu’en 1960. Belém a été temporairement 
capitale en novembre 2025 à l’occasion de la COP 30[3],[4].")</f>
        <v>Rio de Janeiro était la capitale jusqu’en 1960. Belém a été temporairement 
capitale en novembre 2025 à l’occasion de la COP 30[3],[4].</v>
      </c>
    </row>
    <row r="43">
      <c r="A43" s="2" t="str">
        <f>IFERROR(__xludf.DUMMYFUNCTION("""COMPUTED_VALUE"""),"Slovaquie")</f>
        <v>Slovaquie</v>
      </c>
      <c r="B43" s="2" t="str">
        <f>IFERROR(__xludf.DUMMYFUNCTION("""COMPUTED_VALUE"""),"Bratislava")</f>
        <v>Bratislava</v>
      </c>
      <c r="C43" s="2"/>
    </row>
    <row r="44">
      <c r="A44" s="2" t="str">
        <f>IFERROR(__xludf.DUMMYFUNCTION("""COMPUTED_VALUE"""),"République du Congo")</f>
        <v>République du Congo</v>
      </c>
      <c r="B44" s="2" t="str">
        <f>IFERROR(__xludf.DUMMYFUNCTION("""COMPUTED_VALUE"""),"Brazzaville")</f>
        <v>Brazzaville</v>
      </c>
      <c r="C44" s="2"/>
    </row>
    <row r="45">
      <c r="A45" s="2" t="str">
        <f>IFERROR(__xludf.DUMMYFUNCTION("""COMPUTED_VALUE"""),"Barbade")</f>
        <v>Barbade</v>
      </c>
      <c r="B45" s="2" t="str">
        <f>IFERROR(__xludf.DUMMYFUNCTION("""COMPUTED_VALUE"""),"Bridgetown")</f>
        <v>Bridgetown</v>
      </c>
      <c r="C45" s="2"/>
    </row>
    <row r="46">
      <c r="A46" s="2" t="str">
        <f>IFERROR(__xludf.DUMMYFUNCTION("""COMPUTED_VALUE"""),"Belgique")</f>
        <v>Belgique</v>
      </c>
      <c r="B46" s="2" t="str">
        <f>IFERROR(__xludf.DUMMYFUNCTION("""COMPUTED_VALUE"""),"Bruxelles")</f>
        <v>Bruxelles</v>
      </c>
      <c r="C46" s="2"/>
    </row>
    <row r="47">
      <c r="A47" s="2" t="str">
        <f>IFERROR(__xludf.DUMMYFUNCTION("""COMPUTED_VALUE"""),"Roumanie")</f>
        <v>Roumanie</v>
      </c>
      <c r="B47" s="2" t="str">
        <f>IFERROR(__xludf.DUMMYFUNCTION("""COMPUTED_VALUE"""),"Bucarest")</f>
        <v>Bucarest</v>
      </c>
      <c r="C47" s="2"/>
    </row>
    <row r="48">
      <c r="A48" s="2" t="str">
        <f>IFERROR(__xludf.DUMMYFUNCTION("""COMPUTED_VALUE"""),"Hongrie")</f>
        <v>Hongrie</v>
      </c>
      <c r="B48" s="2" t="str">
        <f>IFERROR(__xludf.DUMMYFUNCTION("""COMPUTED_VALUE"""),"Budapest")</f>
        <v>Budapest</v>
      </c>
      <c r="C48" s="2"/>
    </row>
    <row r="49">
      <c r="A49" s="2" t="str">
        <f>IFERROR(__xludf.DUMMYFUNCTION("""COMPUTED_VALUE"""),"Argentine")</f>
        <v>Argentine</v>
      </c>
      <c r="B49" s="2" t="str">
        <f>IFERROR(__xludf.DUMMYFUNCTION("""COMPUTED_VALUE"""),"Buenos Aires")</f>
        <v>Buenos Aires</v>
      </c>
      <c r="C49" s="2"/>
    </row>
    <row r="50">
      <c r="A50" s="2" t="str">
        <f>IFERROR(__xludf.DUMMYFUNCTION("""COMPUTED_VALUE"""),"Burundi")</f>
        <v>Burundi</v>
      </c>
      <c r="B50" s="2" t="str">
        <f>IFERROR(__xludf.DUMMYFUNCTION("""COMPUTED_VALUE"""),"Bujumbura(*de facto*)")</f>
        <v>Bujumbura(*de facto*)</v>
      </c>
      <c r="C50" s="2" t="str">
        <f>IFERROR(__xludf.DUMMYFUNCTION("""COMPUTED_VALUE"""),"Gitega est la capitale officielle depuis 2018. Bujumbura conserve néanmoins 
certaines institutions et missions diplomatiques.")</f>
        <v>Gitega est la capitale officielle depuis 2018. Bujumbura conserve néanmoins 
certaines institutions et missions diplomatiques.</v>
      </c>
    </row>
    <row r="51">
      <c r="A51" s="2"/>
      <c r="B51" s="2" t="str">
        <f>IFERROR(__xludf.DUMMYFUNCTION("""COMPUTED_VALUE"""),"Gitega(officielle)")</f>
        <v>Gitega(officielle)</v>
      </c>
      <c r="C51" s="2"/>
    </row>
    <row r="52">
      <c r="A52" s="2" t="str">
        <f>IFERROR(__xludf.DUMMYFUNCTION("""COMPUTED_VALUE"""),"Égypte")</f>
        <v>Égypte</v>
      </c>
      <c r="B52" s="2" t="str">
        <f>IFERROR(__xludf.DUMMYFUNCTION("""COMPUTED_VALUE"""),"Le Caire")</f>
        <v>Le Caire</v>
      </c>
      <c r="C52" s="2" t="str">
        <f>IFERROR(__xludf.DUMMYFUNCTION("""COMPUTED_VALUE"""),"En 2023, une nouvelle capitale est en construction.")</f>
        <v>En 2023, une nouvelle capitale est en construction.</v>
      </c>
    </row>
    <row r="53">
      <c r="A53" s="2" t="str">
        <f>IFERROR(__xludf.DUMMYFUNCTION("""COMPUTED_VALUE"""),"Australie")</f>
        <v>Australie</v>
      </c>
      <c r="B53" s="2" t="str">
        <f>IFERROR(__xludf.DUMMYFUNCTION("""COMPUTED_VALUE"""),"Canberra")</f>
        <v>Canberra</v>
      </c>
      <c r="C53" s="2"/>
    </row>
    <row r="54">
      <c r="A54" s="2" t="str">
        <f>IFERROR(__xludf.DUMMYFUNCTION("""COMPUTED_VALUE"""),"Venezuela")</f>
        <v>Venezuela</v>
      </c>
      <c r="B54" s="2" t="str">
        <f>IFERROR(__xludf.DUMMYFUNCTION("""COMPUTED_VALUE"""),"Caracas")</f>
        <v>Caracas</v>
      </c>
      <c r="C54" s="2"/>
    </row>
    <row r="55">
      <c r="A55" s="2" t="str">
        <f>IFERROR(__xludf.DUMMYFUNCTION("""COMPUTED_VALUE"""),"Sainte-Lucie")</f>
        <v>Sainte-Lucie</v>
      </c>
      <c r="B55" s="2" t="str">
        <f>IFERROR(__xludf.DUMMYFUNCTION("""COMPUTED_VALUE"""),"Castries")</f>
        <v>Castries</v>
      </c>
      <c r="C55" s="2"/>
    </row>
    <row r="56">
      <c r="A56" s="2" t="str">
        <f>IFERROR(__xludf.DUMMYFUNCTION("""COMPUTED_VALUE"""),"Monténégro")</f>
        <v>Monténégro</v>
      </c>
      <c r="B56" s="2" t="str">
        <f>IFERROR(__xludf.DUMMYFUNCTION("""COMPUTED_VALUE"""),"Cetinje(présidentielle)")</f>
        <v>Cetinje(présidentielle)</v>
      </c>
      <c r="C56" s="2" t="str">
        <f>IFERROR(__xludf.DUMMYFUNCTION("""COMPUTED_VALUE"""),"Podgorica est la capitale administrative, Cetinje est le siège du 
président.")</f>
        <v>Podgorica est la capitale administrative, Cetinje est le siège du 
président.</v>
      </c>
    </row>
    <row r="57">
      <c r="A57" s="2"/>
      <c r="B57" s="2" t="str">
        <f>IFERROR(__xludf.DUMMYFUNCTION("""COMPUTED_VALUE"""),"Podgorica(administrative)")</f>
        <v>Podgorica(administrative)</v>
      </c>
      <c r="C57" s="2"/>
    </row>
    <row r="58">
      <c r="A58" s="2" t="str">
        <f>IFERROR(__xludf.DUMMYFUNCTION("""COMPUTED_VALUE"""),"Moldavie")</f>
        <v>Moldavie</v>
      </c>
      <c r="B58" s="2" t="str">
        <f>IFERROR(__xludf.DUMMYFUNCTION("""COMPUTED_VALUE"""),"Chisinau")</f>
        <v>Chisinau</v>
      </c>
      <c r="C58" s="2"/>
    </row>
    <row r="59">
      <c r="A59" s="2" t="str">
        <f>IFERROR(__xludf.DUMMYFUNCTION("""COMPUTED_VALUE"""),"Guinée équatoriale")</f>
        <v>Guinée équatoriale</v>
      </c>
      <c r="B59" s="2" t="str">
        <f>IFERROR(__xludf.DUMMYFUNCTION("""COMPUTED_VALUE"""),"Ciudad de la Paz")</f>
        <v>Ciudad de la Paz</v>
      </c>
      <c r="C59" s="2" t="str">
        <f>IFERROR(__xludf.DUMMYFUNCTION("""COMPUTED_VALUE"""),"Malabo a été capitale jusqu’en janvier 2026[5].")</f>
        <v>Malabo a été capitale jusqu’en janvier 2026[5].</v>
      </c>
    </row>
    <row r="60">
      <c r="A60" s="2" t="str">
        <f>IFERROR(__xludf.DUMMYFUNCTION("""COMPUTED_VALUE"""),"Sri Lanka")</f>
        <v>Sri Lanka</v>
      </c>
      <c r="B60" s="2" t="str">
        <f>IFERROR(__xludf.DUMMYFUNCTION("""COMPUTED_VALUE"""),"Colombo(exécutive et judiciaire)")</f>
        <v>Colombo(exécutive et judiciaire)</v>
      </c>
      <c r="C60" s="2" t="str">
        <f>IFERROR(__xludf.DUMMYFUNCTION("""COMPUTED_VALUE"""),"Sri Jayawardenapura Kotte est la capitale officielle depuis les années 
1980, en remplacement de Colombo. Cette dernière conserve toujours 
plusieurs institutions gouvernementales importantes. L'Union européenne ne 
donne que Colombo comme capitale[réf. n"&amp;"écessaire]. L'IGN donne Sri 
Jayawardenapura Kotte comme capitale administrative et législative et 
Colombo comme capitale commerciale[réf. nécessaire].")</f>
        <v>Sri Jayawardenapura Kotte est la capitale officielle depuis les années 
1980, en remplacement de Colombo. Cette dernière conserve toujours 
plusieurs institutions gouvernementales importantes. L'Union européenne ne 
donne que Colombo comme capitale[réf. nécessaire]. L'IGN donne Sri 
Jayawardenapura Kotte comme capitale administrative et législative et 
Colombo comme capitale commerciale[réf. nécessaire].</v>
      </c>
    </row>
    <row r="61">
      <c r="A61" s="2"/>
      <c r="B61" s="2" t="str">
        <f>IFERROR(__xludf.DUMMYFUNCTION("""COMPUTED_VALUE"""),"Sri Jayawardenapura Kotte(officielle et législative)")</f>
        <v>Sri Jayawardenapura Kotte(officielle et législative)</v>
      </c>
      <c r="C61" s="2"/>
    </row>
    <row r="62">
      <c r="A62" s="2" t="str">
        <f>IFERROR(__xludf.DUMMYFUNCTION("""COMPUTED_VALUE"""),"Honduras")</f>
        <v>Honduras</v>
      </c>
      <c r="B62" s="2" t="str">
        <f>IFERROR(__xludf.DUMMYFUNCTION("""COMPUTED_VALUE"""),"Comayagüela")</f>
        <v>Comayagüela</v>
      </c>
      <c r="C62" s="2" t="str">
        <f>IFERROR(__xludf.DUMMYFUNCTION("""COMPUTED_VALUE"""),"La constitution du Honduras (es) désigne Comayagüela comme co-capitale avec 
Tegucigalpa. En 2023, les deux villes ne sont plus que deux localités de la 
municipalité du *Distrito Central* depuis 1937.")</f>
        <v>La constitution du Honduras (es) désigne Comayagüela comme co-capitale avec 
Tegucigalpa. En 2023, les deux villes ne sont plus que deux localités de la 
municipalité du *Distrito Central* depuis 1937.</v>
      </c>
    </row>
    <row r="63">
      <c r="A63" s="2"/>
      <c r="B63" s="2" t="str">
        <f>IFERROR(__xludf.DUMMYFUNCTION("""COMPUTED_VALUE"""),"Tegucigalpa")</f>
        <v>Tegucigalpa</v>
      </c>
      <c r="C63" s="2"/>
    </row>
    <row r="64">
      <c r="A64" s="2" t="str">
        <f>IFERROR(__xludf.DUMMYFUNCTION("""COMPUTED_VALUE"""),"Guinée")</f>
        <v>Guinée</v>
      </c>
      <c r="B64" s="2" t="str">
        <f>IFERROR(__xludf.DUMMYFUNCTION("""COMPUTED_VALUE"""),"Conakry")</f>
        <v>Conakry</v>
      </c>
      <c r="C64" s="2"/>
    </row>
    <row r="65">
      <c r="A65" s="2" t="str">
        <f>IFERROR(__xludf.DUMMYFUNCTION("""COMPUTED_VALUE"""),"Danemark")</f>
        <v>Danemark</v>
      </c>
      <c r="B65" s="2" t="str">
        <f>IFERROR(__xludf.DUMMYFUNCTION("""COMPUTED_VALUE"""),"Copenhague")</f>
        <v>Copenhague</v>
      </c>
      <c r="C65" s="2"/>
    </row>
    <row r="66">
      <c r="A66" s="2" t="str">
        <f>IFERROR(__xludf.DUMMYFUNCTION("""COMPUTED_VALUE"""),"Bénin")</f>
        <v>Bénin</v>
      </c>
      <c r="B66" s="2" t="str">
        <f>IFERROR(__xludf.DUMMYFUNCTION("""COMPUTED_VALUE"""),"Cotonou(*de facto*)")</f>
        <v>Cotonou(*de facto*)</v>
      </c>
      <c r="C66" s="2" t="str">
        <f>IFERROR(__xludf.DUMMYFUNCTION("""COMPUTED_VALUE"""),"Porto-Novo est la capitale constitutionnelle, Cotonou est le siège du 
gouvernement et des ambassades.")</f>
        <v>Porto-Novo est la capitale constitutionnelle, Cotonou est le siège du 
gouvernement et des ambassades.</v>
      </c>
    </row>
    <row r="67">
      <c r="A67" s="2"/>
      <c r="B67" s="2" t="str">
        <f>IFERROR(__xludf.DUMMYFUNCTION("""COMPUTED_VALUE"""),"Porto-Novo(officielle)")</f>
        <v>Porto-Novo(officielle)</v>
      </c>
      <c r="C67" s="2"/>
    </row>
    <row r="68">
      <c r="A68" s="2" t="str">
        <f>IFERROR(__xludf.DUMMYFUNCTION("""COMPUTED_VALUE"""),"Sénégal")</f>
        <v>Sénégal</v>
      </c>
      <c r="B68" s="2" t="str">
        <f>IFERROR(__xludf.DUMMYFUNCTION("""COMPUTED_VALUE"""),"Dakar")</f>
        <v>Dakar</v>
      </c>
      <c r="C68" s="2"/>
    </row>
    <row r="69">
      <c r="A69" s="2" t="str">
        <f>IFERROR(__xludf.DUMMYFUNCTION("""COMPUTED_VALUE"""),"Syrie")</f>
        <v>Syrie</v>
      </c>
      <c r="B69" s="2" t="str">
        <f>IFERROR(__xludf.DUMMYFUNCTION("""COMPUTED_VALUE"""),"Damas")</f>
        <v>Damas</v>
      </c>
      <c r="C69" s="2"/>
    </row>
    <row r="70">
      <c r="A70" s="2" t="str">
        <f>IFERROR(__xludf.DUMMYFUNCTION("""COMPUTED_VALUE"""),"Bangladesh")</f>
        <v>Bangladesh</v>
      </c>
      <c r="B70" s="2" t="str">
        <f>IFERROR(__xludf.DUMMYFUNCTION("""COMPUTED_VALUE"""),"Dacca")</f>
        <v>Dacca</v>
      </c>
      <c r="C70" s="2"/>
    </row>
    <row r="71">
      <c r="A71" s="2" t="str">
        <f>IFERROR(__xludf.DUMMYFUNCTION("""COMPUTED_VALUE"""),"Tanzanie")</f>
        <v>Tanzanie</v>
      </c>
      <c r="B71" s="2" t="str">
        <f>IFERROR(__xludf.DUMMYFUNCTION("""COMPUTED_VALUE"""),"Dar es Salam(*de facto*, judiciaire)")</f>
        <v>Dar es Salam(*de facto*, judiciaire)</v>
      </c>
      <c r="C71" s="2" t="str">
        <f>IFERROR(__xludf.DUMMYFUNCTION("""COMPUTED_VALUE"""),"Dodoma est la capitale officielle depuis 1996. Dar es Salaam, l'ancienne 
capitale et la plus grande ville du pays, continue toutefois à héberger *de 
facto* le gouvernement, la présidence, les ministères, la magistrature et 
les missions diplomatiques.")</f>
        <v>Dodoma est la capitale officielle depuis 1996. Dar es Salaam, l'ancienne 
capitale et la plus grande ville du pays, continue toutefois à héberger *de 
facto* le gouvernement, la présidence, les ministères, la magistrature et 
les missions diplomatiques.</v>
      </c>
    </row>
    <row r="72">
      <c r="A72" s="2"/>
      <c r="B72" s="2" t="str">
        <f>IFERROR(__xludf.DUMMYFUNCTION("""COMPUTED_VALUE"""),"Dodoma(officielle, législative)")</f>
        <v>Dodoma(officielle, législative)</v>
      </c>
      <c r="C72" s="2"/>
    </row>
    <row r="73">
      <c r="A73" s="2" t="str">
        <f>IFERROR(__xludf.DUMMYFUNCTION("""COMPUTED_VALUE"""),"Timor oriental")</f>
        <v>Timor oriental</v>
      </c>
      <c r="B73" s="2" t="str">
        <f>IFERROR(__xludf.DUMMYFUNCTION("""COMPUTED_VALUE"""),"Dili")</f>
        <v>Dili</v>
      </c>
      <c r="C73" s="2"/>
    </row>
    <row r="74">
      <c r="A74" s="2" t="str">
        <f>IFERROR(__xludf.DUMMYFUNCTION("""COMPUTED_VALUE"""),"Djibouti")</f>
        <v>Djibouti</v>
      </c>
      <c r="B74" s="2" t="str">
        <f>IFERROR(__xludf.DUMMYFUNCTION("""COMPUTED_VALUE"""),"Djibouti")</f>
        <v>Djibouti</v>
      </c>
      <c r="C74" s="2"/>
    </row>
    <row r="75">
      <c r="A75" s="2" t="str">
        <f>IFERROR(__xludf.DUMMYFUNCTION("""COMPUTED_VALUE"""),"Soudan du Sud")</f>
        <v>Soudan du Sud</v>
      </c>
      <c r="B75" s="2" t="str">
        <f>IFERROR(__xludf.DUMMYFUNCTION("""COMPUTED_VALUE"""),"Djouba")</f>
        <v>Djouba</v>
      </c>
      <c r="C75" s="2"/>
    </row>
    <row r="76">
      <c r="A76" s="2" t="str">
        <f>IFERROR(__xludf.DUMMYFUNCTION("""COMPUTED_VALUE"""),"Qatar")</f>
        <v>Qatar</v>
      </c>
      <c r="B76" s="2" t="str">
        <f>IFERROR(__xludf.DUMMYFUNCTION("""COMPUTED_VALUE"""),"Doha")</f>
        <v>Doha</v>
      </c>
      <c r="C76" s="2"/>
    </row>
    <row r="77">
      <c r="A77" s="2" t="str">
        <f>IFERROR(__xludf.DUMMYFUNCTION("""COMPUTED_VALUE"""),"Tadjikistan")</f>
        <v>Tadjikistan</v>
      </c>
      <c r="B77" s="2" t="str">
        <f>IFERROR(__xludf.DUMMYFUNCTION("""COMPUTED_VALUE"""),"Douchanbé")</f>
        <v>Douchanbé</v>
      </c>
      <c r="C77" s="2"/>
    </row>
    <row r="78">
      <c r="A78" s="2" t="str">
        <f>IFERROR(__xludf.DUMMYFUNCTION("""COMPUTED_VALUE"""),"Irlande")</f>
        <v>Irlande</v>
      </c>
      <c r="B78" s="2" t="str">
        <f>IFERROR(__xludf.DUMMYFUNCTION("""COMPUTED_VALUE"""),"Dublin")</f>
        <v>Dublin</v>
      </c>
      <c r="C78" s="2"/>
    </row>
    <row r="79">
      <c r="A79" s="2" t="str">
        <f>IFERROR(__xludf.DUMMYFUNCTION("""COMPUTED_VALUE"""),"Arménie")</f>
        <v>Arménie</v>
      </c>
      <c r="B79" s="2" t="str">
        <f>IFERROR(__xludf.DUMMYFUNCTION("""COMPUTED_VALUE"""),"Erevan")</f>
        <v>Erevan</v>
      </c>
      <c r="C79" s="2"/>
    </row>
    <row r="80">
      <c r="A80" s="2" t="str">
        <f>IFERROR(__xludf.DUMMYFUNCTION("""COMPUTED_VALUE"""),"Sierra Leone")</f>
        <v>Sierra Leone</v>
      </c>
      <c r="B80" s="2" t="str">
        <f>IFERROR(__xludf.DUMMYFUNCTION("""COMPUTED_VALUE"""),"Freetown")</f>
        <v>Freetown</v>
      </c>
      <c r="C80" s="2"/>
    </row>
    <row r="81">
      <c r="A81" s="2" t="str">
        <f>IFERROR(__xludf.DUMMYFUNCTION("""COMPUTED_VALUE"""),"Tuvalu")</f>
        <v>Tuvalu</v>
      </c>
      <c r="B81" s="2" t="str">
        <f>IFERROR(__xludf.DUMMYFUNCTION("""COMPUTED_VALUE"""),"Funafuti (Vaiaku)")</f>
        <v>Funafuti (Vaiaku)</v>
      </c>
      <c r="C81" s="2" t="str">
        <f>IFERROR(__xludf.DUMMYFUNCTION("""COMPUTED_VALUE"""),"Vaiaku est le centre administratif de l'atoll de Funafuti.")</f>
        <v>Vaiaku est le centre administratif de l'atoll de Funafuti.</v>
      </c>
    </row>
    <row r="82">
      <c r="A82" s="2" t="str">
        <f>IFERROR(__xludf.DUMMYFUNCTION("""COMPUTED_VALUE"""),"Botswana")</f>
        <v>Botswana</v>
      </c>
      <c r="B82" s="2" t="str">
        <f>IFERROR(__xludf.DUMMYFUNCTION("""COMPUTED_VALUE"""),"Gaborone")</f>
        <v>Gaborone</v>
      </c>
      <c r="C82" s="2"/>
    </row>
    <row r="83">
      <c r="A83" s="2" t="str">
        <f>IFERROR(__xludf.DUMMYFUNCTION("""COMPUTED_VALUE"""),"Guyana")</f>
        <v>Guyana</v>
      </c>
      <c r="B83" s="2" t="str">
        <f>IFERROR(__xludf.DUMMYFUNCTION("""COMPUTED_VALUE"""),"Georgetown")</f>
        <v>Georgetown</v>
      </c>
      <c r="C83" s="2"/>
    </row>
    <row r="84">
      <c r="A84" s="2" t="str">
        <f>IFERROR(__xludf.DUMMYFUNCTION("""COMPUTED_VALUE"""),"Guatemala")</f>
        <v>Guatemala</v>
      </c>
      <c r="B84" s="2" t="str">
        <f>IFERROR(__xludf.DUMMYFUNCTION("""COMPUTED_VALUE"""),"Guatemala")</f>
        <v>Guatemala</v>
      </c>
      <c r="C84" s="2"/>
    </row>
    <row r="85">
      <c r="A85" s="2" t="str">
        <f>IFERROR(__xludf.DUMMYFUNCTION("""COMPUTED_VALUE"""),"Vietnam")</f>
        <v>Vietnam</v>
      </c>
      <c r="B85" s="2" t="str">
        <f>IFERROR(__xludf.DUMMYFUNCTION("""COMPUTED_VALUE"""),"Hanoï")</f>
        <v>Hanoï</v>
      </c>
      <c r="C85" s="2"/>
    </row>
    <row r="86">
      <c r="A86" s="2" t="str">
        <f>IFERROR(__xludf.DUMMYFUNCTION("""COMPUTED_VALUE"""),"Zimbabwe")</f>
        <v>Zimbabwe</v>
      </c>
      <c r="B86" s="2" t="str">
        <f>IFERROR(__xludf.DUMMYFUNCTION("""COMPUTED_VALUE"""),"Harare")</f>
        <v>Harare</v>
      </c>
      <c r="C86" s="2"/>
    </row>
    <row r="87">
      <c r="A87" s="2" t="str">
        <f>IFERROR(__xludf.DUMMYFUNCTION("""COMPUTED_VALUE"""),"Cuba")</f>
        <v>Cuba</v>
      </c>
      <c r="B87" s="2" t="str">
        <f>IFERROR(__xludf.DUMMYFUNCTION("""COMPUTED_VALUE"""),"La Havane")</f>
        <v>La Havane</v>
      </c>
      <c r="C87" s="2"/>
    </row>
    <row r="88">
      <c r="A88" s="2" t="str">
        <f>IFERROR(__xludf.DUMMYFUNCTION("""COMPUTED_VALUE"""),"Finlande")</f>
        <v>Finlande</v>
      </c>
      <c r="B88" s="2" t="str">
        <f>IFERROR(__xludf.DUMMYFUNCTION("""COMPUTED_VALUE"""),"Helsinki")</f>
        <v>Helsinki</v>
      </c>
      <c r="C88" s="2"/>
    </row>
    <row r="89">
      <c r="A89" s="2" t="str">
        <f>IFERROR(__xludf.DUMMYFUNCTION("""COMPUTED_VALUE"""),"Îles Salomon")</f>
        <v>Îles Salomon</v>
      </c>
      <c r="B89" s="2" t="str">
        <f>IFERROR(__xludf.DUMMYFUNCTION("""COMPUTED_VALUE"""),"Honiara")</f>
        <v>Honiara</v>
      </c>
      <c r="C89" s="2"/>
    </row>
    <row r="90">
      <c r="A90" s="2" t="str">
        <f>IFERROR(__xludf.DUMMYFUNCTION("""COMPUTED_VALUE"""),"Pakistan")</f>
        <v>Pakistan</v>
      </c>
      <c r="B90" s="2" t="str">
        <f>IFERROR(__xludf.DUMMYFUNCTION("""COMPUTED_VALUE"""),"Islamabad")</f>
        <v>Islamabad</v>
      </c>
      <c r="C90" s="2" t="str">
        <f>IFERROR(__xludf.DUMMYFUNCTION("""COMPUTED_VALUE"""),"Islamabad est la capitale depuis les années 1960, en remplacement de 
Rawalpindi, laquelle avait déjà remplacé Karachi en 1958.")</f>
        <v>Islamabad est la capitale depuis les années 1960, en remplacement de 
Rawalpindi, laquelle avait déjà remplacé Karachi en 1958.</v>
      </c>
    </row>
    <row r="91">
      <c r="A91" s="2" t="str">
        <f>IFERROR(__xludf.DUMMYFUNCTION("""COMPUTED_VALUE"""),"Indonésie")</f>
        <v>Indonésie</v>
      </c>
      <c r="B91" s="2" t="str">
        <f>IFERROR(__xludf.DUMMYFUNCTION("""COMPUTED_VALUE"""),"Jakarta (*de facto*)")</f>
        <v>Jakarta (*de facto*)</v>
      </c>
      <c r="C91" s="2" t="str">
        <f>IFERROR(__xludf.DUMMYFUNCTION("""COMPUTED_VALUE"""),"Nusantara est la capitale officielle de l'Indonésie depuis le 17 août 2024, 
en remplacement de Jakarta, à la suite de l'entrée en vigueur de la loi sur 
la région spéciale de Jakarta (en)[6],[7]. Jakarta était la capitale du 
pays en remplacement de Yogy"&amp;"akarta, *de facto* depuis le 17 août 1950 et *de 
jure* depuis le 28 août 1961. Malgré le transfert de la capitale, Jakarta 
continue d'héberger de nombreuses administrations pendant une phase de 
transition.")</f>
        <v>Nusantara est la capitale officielle de l'Indonésie depuis le 17 août 2024, 
en remplacement de Jakarta, à la suite de l'entrée en vigueur de la loi sur 
la région spéciale de Jakarta (en)[6],[7]. Jakarta était la capitale du 
pays en remplacement de Yogyakarta, *de facto* depuis le 17 août 1950 et *de 
jure* depuis le 28 août 1961. Malgré le transfert de la capitale, Jakarta 
continue d'héberger de nombreuses administrations pendant une phase de 
transition.</v>
      </c>
    </row>
    <row r="92">
      <c r="A92" s="2"/>
      <c r="B92" s="2" t="str">
        <f>IFERROR(__xludf.DUMMYFUNCTION("""COMPUTED_VALUE"""),"Nusantara (*de jure*)")</f>
        <v>Nusantara (*de jure*)</v>
      </c>
      <c r="C92" s="2"/>
    </row>
    <row r="93">
      <c r="A93" s="2" t="str">
        <f>IFERROR(__xludf.DUMMYFUNCTION("""COMPUTED_VALUE"""),"Israël")</f>
        <v>Israël</v>
      </c>
      <c r="B93" s="2" t="str">
        <f>IFERROR(__xludf.DUMMYFUNCTION("""COMPUTED_VALUE"""),"Jérusalem(non reconnue internationalement)")</f>
        <v>Jérusalem(non reconnue internationalement)</v>
      </c>
      <c r="C93" s="2" t="str">
        <f>IFERROR(__xludf.DUMMYFUNCTION("""COMPUTED_VALUE"""),"Israël considère Jérusalem comme sa capitale depuis 1949 [8] fait reaffirmé 
pour la ville entière par la Loi de Jérusalem en 1980, une position 
fortement contestée internationalement, notamment par la résolution 478 du 
Conseil de sécurité des Nations u"&amp;"nies qui considère cette dernière loi 
israélienne « nulle et non avenue » et demande aux Etats membres de l'ONU 
de retirer leurs ambassades de la ville ; la plupart des ambassades sont 
situées à Tel Aviv-Jaffa[note 1], à l'exception notable de celle de"&amp;"s 
États-Unis[13].")</f>
        <v>Israël considère Jérusalem comme sa capitale depuis 1949 [8] fait reaffirmé 
pour la ville entière par la Loi de Jérusalem en 1980, une position 
fortement contestée internationalement, notamment par la résolution 478 du 
Conseil de sécurité des Nations unies qui considère cette dernière loi 
israélienne « nulle et non avenue » et demande aux Etats membres de l'ONU 
de retirer leurs ambassades de la ville ; la plupart des ambassades sont 
situées à Tel Aviv-Jaffa[note 1], à l'exception notable de celle des 
États-Unis[13].</v>
      </c>
    </row>
    <row r="94">
      <c r="A94" s="2"/>
      <c r="B94" s="2" t="str">
        <f>IFERROR(__xludf.DUMMYFUNCTION("""COMPUTED_VALUE"""),"Tel Aviv(siège des ambassades)")</f>
        <v>Tel Aviv(siège des ambassades)</v>
      </c>
      <c r="C94" s="2"/>
    </row>
    <row r="95">
      <c r="A95" s="2" t="str">
        <f>IFERROR(__xludf.DUMMYFUNCTION("""COMPUTED_VALUE"""),"Palestine[2]")</f>
        <v>Palestine[2]</v>
      </c>
      <c r="B95" s="2" t="str">
        <f>IFERROR(__xludf.DUMMYFUNCTION("""COMPUTED_VALUE"""),"Jérusalem(proclamée)")</f>
        <v>Jérusalem(proclamée)</v>
      </c>
      <c r="C95" s="2" t="str">
        <f>IFERROR(__xludf.DUMMYFUNCTION("""COMPUTED_VALUE"""),"Jérusalem est la capitale proclamée de l'État de Palestine (article 3 de la 
loi fondamentale palestinienne, votée en 1997[14],[15],[16]). L'entité 
gouvernementale palestinienne administre une grande partie de la Cisjordanie 
et la bande de Gaza[17] à la"&amp;" suite des accords d'Oslo[18],[19], mais non 
Jérusalem-Est, annexée par Israël[20]. Le siège administratif *de facto*[21]
,[22] du pouvoir palestinien est provisoirement situé à Ramallah[23].")</f>
        <v>Jérusalem est la capitale proclamée de l'État de Palestine (article 3 de la 
loi fondamentale palestinienne, votée en 1997[14],[15],[16]). L'entité 
gouvernementale palestinienne administre une grande partie de la Cisjordanie 
et la bande de Gaza[17] à la suite des accords d'Oslo[18],[19], mais non 
Jérusalem-Est, annexée par Israël[20]. Le siège administratif *de facto*[21]
,[22] du pouvoir palestinien est provisoirement situé à Ramallah[23].</v>
      </c>
    </row>
    <row r="96">
      <c r="A96" s="2"/>
      <c r="B96" s="2" t="str">
        <f>IFERROR(__xludf.DUMMYFUNCTION("""COMPUTED_VALUE"""),"Ramallah(*de facto*)")</f>
        <v>Ramallah(*de facto*)</v>
      </c>
      <c r="C96" s="2"/>
    </row>
    <row r="97">
      <c r="A97" s="2" t="str">
        <f>IFERROR(__xludf.DUMMYFUNCTION("""COMPUTED_VALUE"""),"Afghanistan")</f>
        <v>Afghanistan</v>
      </c>
      <c r="B97" s="2" t="str">
        <f>IFERROR(__xludf.DUMMYFUNCTION("""COMPUTED_VALUE"""),"Kaboul")</f>
        <v>Kaboul</v>
      </c>
      <c r="C97" s="2"/>
    </row>
    <row r="98">
      <c r="A98" s="2" t="str">
        <f>IFERROR(__xludf.DUMMYFUNCTION("""COMPUTED_VALUE"""),"Ouganda")</f>
        <v>Ouganda</v>
      </c>
      <c r="B98" s="2" t="str">
        <f>IFERROR(__xludf.DUMMYFUNCTION("""COMPUTED_VALUE"""),"Kampala")</f>
        <v>Kampala</v>
      </c>
      <c r="C98" s="2"/>
    </row>
    <row r="99">
      <c r="A99" s="2" t="str">
        <f>IFERROR(__xludf.DUMMYFUNCTION("""COMPUTED_VALUE"""),"Népal")</f>
        <v>Népal</v>
      </c>
      <c r="B99" s="2" t="str">
        <f>IFERROR(__xludf.DUMMYFUNCTION("""COMPUTED_VALUE"""),"Katmandou")</f>
        <v>Katmandou</v>
      </c>
      <c r="C99" s="2"/>
    </row>
    <row r="100">
      <c r="A100" s="2" t="str">
        <f>IFERROR(__xludf.DUMMYFUNCTION("""COMPUTED_VALUE"""),"Soudan")</f>
        <v>Soudan</v>
      </c>
      <c r="B100" s="2" t="str">
        <f>IFERROR(__xludf.DUMMYFUNCTION("""COMPUTED_VALUE"""),"Khartoum")</f>
        <v>Khartoum</v>
      </c>
      <c r="C100" s="2"/>
    </row>
    <row r="101">
      <c r="A101" s="2" t="str">
        <f>IFERROR(__xludf.DUMMYFUNCTION("""COMPUTED_VALUE"""),"Ukraine")</f>
        <v>Ukraine</v>
      </c>
      <c r="B101" s="2" t="str">
        <f>IFERROR(__xludf.DUMMYFUNCTION("""COMPUTED_VALUE"""),"Kiev")</f>
        <v>Kiev</v>
      </c>
      <c r="C101" s="2"/>
    </row>
    <row r="102">
      <c r="A102" s="2" t="str">
        <f>IFERROR(__xludf.DUMMYFUNCTION("""COMPUTED_VALUE"""),"Rwanda")</f>
        <v>Rwanda</v>
      </c>
      <c r="B102" s="2" t="str">
        <f>IFERROR(__xludf.DUMMYFUNCTION("""COMPUTED_VALUE"""),"Kigali")</f>
        <v>Kigali</v>
      </c>
      <c r="C102" s="2"/>
    </row>
    <row r="103">
      <c r="A103" s="2" t="str">
        <f>IFERROR(__xludf.DUMMYFUNCTION("""COMPUTED_VALUE"""),"Jamaïque")</f>
        <v>Jamaïque</v>
      </c>
      <c r="B103" s="2" t="str">
        <f>IFERROR(__xludf.DUMMYFUNCTION("""COMPUTED_VALUE"""),"Kingston")</f>
        <v>Kingston</v>
      </c>
      <c r="C103" s="2"/>
    </row>
    <row r="104">
      <c r="A104" s="2" t="str">
        <f>IFERROR(__xludf.DUMMYFUNCTION("""COMPUTED_VALUE"""),"Saint-Vincent-et-les-Grenadines")</f>
        <v>Saint-Vincent-et-les-Grenadines</v>
      </c>
      <c r="B104" s="2" t="str">
        <f>IFERROR(__xludf.DUMMYFUNCTION("""COMPUTED_VALUE"""),"Kingstown")</f>
        <v>Kingstown</v>
      </c>
      <c r="C104" s="2"/>
    </row>
    <row r="105">
      <c r="A105" s="2" t="str">
        <f>IFERROR(__xludf.DUMMYFUNCTION("""COMPUTED_VALUE"""),"République démocratique du Congo")</f>
        <v>République démocratique du Congo</v>
      </c>
      <c r="B105" s="2" t="str">
        <f>IFERROR(__xludf.DUMMYFUNCTION("""COMPUTED_VALUE"""),"Kinshasa")</f>
        <v>Kinshasa</v>
      </c>
      <c r="C105" s="2"/>
    </row>
    <row r="106">
      <c r="A106" s="2" t="str">
        <f>IFERROR(__xludf.DUMMYFUNCTION("""COMPUTED_VALUE"""),"Palaos")</f>
        <v>Palaos</v>
      </c>
      <c r="B106" s="2" t="str">
        <f>IFERROR(__xludf.DUMMYFUNCTION("""COMPUTED_VALUE"""),"Melekeok (Ngerulmud)")</f>
        <v>Melekeok (Ngerulmud)</v>
      </c>
      <c r="C106" s="2" t="str">
        <f>IFERROR(__xludf.DUMMYFUNCTION("""COMPUTED_VALUE"""),"Melekeok, dont le lieu-dit Ngerulmud accueille le Capitole, est la capitale 
depuis le 7 octobre 2006, en remplacement de Koror.")</f>
        <v>Melekeok, dont le lieu-dit Ngerulmud accueille le Capitole, est la capitale 
depuis le 7 octobre 2006, en remplacement de Koror.</v>
      </c>
    </row>
    <row r="107">
      <c r="A107" s="2" t="str">
        <f>IFERROR(__xludf.DUMMYFUNCTION("""COMPUTED_VALUE"""),"Koweït")</f>
        <v>Koweït</v>
      </c>
      <c r="B107" s="2" t="str">
        <f>IFERROR(__xludf.DUMMYFUNCTION("""COMPUTED_VALUE"""),"Koweït")</f>
        <v>Koweït</v>
      </c>
      <c r="C107" s="2"/>
    </row>
    <row r="108">
      <c r="A108" s="2" t="str">
        <f>IFERROR(__xludf.DUMMYFUNCTION("""COMPUTED_VALUE"""),"Malaisie")</f>
        <v>Malaisie</v>
      </c>
      <c r="B108" s="2" t="str">
        <f>IFERROR(__xludf.DUMMYFUNCTION("""COMPUTED_VALUE"""),"Kuala Lumpur(officielle)")</f>
        <v>Kuala Lumpur(officielle)</v>
      </c>
      <c r="C108" s="2" t="str">
        <f>IFERROR(__xludf.DUMMYFUNCTION("""COMPUTED_VALUE"""),"Kuala Lumpur est la capitale de la Malaisie et accueille le parlement et la résidence 
royale (en). Putrajaya, située à 20 km, est la nouvelle capitale 
administrative.")</f>
        <v>Kuala Lumpur est la capitale de la Malaisie et accueille le parlement et la résidence 
royale (en). Putrajaya, située à 20 km, est la nouvelle capitale 
administrative.</v>
      </c>
    </row>
    <row r="109">
      <c r="A109" s="2"/>
      <c r="B109" s="2" t="str">
        <f>IFERROR(__xludf.DUMMYFUNCTION("""COMPUTED_VALUE"""),"Putrajaya(administrative)")</f>
        <v>Putrajaya(administrative)</v>
      </c>
      <c r="C109" s="2"/>
    </row>
    <row r="110">
      <c r="A110" s="2" t="str">
        <f>IFERROR(__xludf.DUMMYFUNCTION("""COMPUTED_VALUE"""),"Gabon")</f>
        <v>Gabon</v>
      </c>
      <c r="B110" s="2" t="str">
        <f>IFERROR(__xludf.DUMMYFUNCTION("""COMPUTED_VALUE"""),"Libreville")</f>
        <v>Libreville</v>
      </c>
      <c r="C110" s="2"/>
    </row>
    <row r="111">
      <c r="A111" s="2" t="str">
        <f>IFERROR(__xludf.DUMMYFUNCTION("""COMPUTED_VALUE"""),"Malawi")</f>
        <v>Malawi</v>
      </c>
      <c r="B111" s="2" t="str">
        <f>IFERROR(__xludf.DUMMYFUNCTION("""COMPUTED_VALUE"""),"Lilongwe")</f>
        <v>Lilongwe</v>
      </c>
      <c r="C111" s="2"/>
    </row>
    <row r="112">
      <c r="A112" s="2" t="str">
        <f>IFERROR(__xludf.DUMMYFUNCTION("""COMPUTED_VALUE"""),"Pérou")</f>
        <v>Pérou</v>
      </c>
      <c r="B112" s="2" t="str">
        <f>IFERROR(__xludf.DUMMYFUNCTION("""COMPUTED_VALUE"""),"Lima")</f>
        <v>Lima</v>
      </c>
      <c r="C112" s="2" t="str">
        <f>IFERROR(__xludf.DUMMYFUNCTION("""COMPUTED_VALUE"""),"Cuzco est désignée « capitale historique » (*espagnol : Capital Historica*), 
une déclaration symbolique, dans l'article 49 de la constitution (es). 
Arequipa est surnommée « capitale judiciaire » car elle abrite le siège du tribunal 
constitutionnel (es)"&amp;".")</f>
        <v>Cuzco est désignée « capitale historique » (*espagnol : Capital Historica*), 
une déclaration symbolique, dans l'article 49 de la constitution (es). 
Arequipa est surnommée « capitale judiciaire » car elle abrite le siège du tribunal 
constitutionnel (es).</v>
      </c>
    </row>
    <row r="113">
      <c r="A113" s="2" t="str">
        <f>IFERROR(__xludf.DUMMYFUNCTION("""COMPUTED_VALUE"""),"Portugal")</f>
        <v>Portugal</v>
      </c>
      <c r="B113" s="2" t="str">
        <f>IFERROR(__xludf.DUMMYFUNCTION("""COMPUTED_VALUE"""),"Lisbonne")</f>
        <v>Lisbonne</v>
      </c>
      <c r="C113" s="2"/>
    </row>
    <row r="114">
      <c r="A114" s="2" t="str">
        <f>IFERROR(__xludf.DUMMYFUNCTION("""COMPUTED_VALUE"""),"Slovénie")</f>
        <v>Slovénie</v>
      </c>
      <c r="B114" s="2" t="str">
        <f>IFERROR(__xludf.DUMMYFUNCTION("""COMPUTED_VALUE"""),"Ljubljana")</f>
        <v>Ljubljana</v>
      </c>
      <c r="C114" s="2"/>
    </row>
    <row r="115">
      <c r="A115" s="2" t="str">
        <f>IFERROR(__xludf.DUMMYFUNCTION("""COMPUTED_VALUE"""),"Togo")</f>
        <v>Togo</v>
      </c>
      <c r="B115" s="2" t="str">
        <f>IFERROR(__xludf.DUMMYFUNCTION("""COMPUTED_VALUE"""),"Lomé")</f>
        <v>Lomé</v>
      </c>
      <c r="C115" s="2"/>
    </row>
    <row r="116">
      <c r="A116" s="2" t="str">
        <f>IFERROR(__xludf.DUMMYFUNCTION("""COMPUTED_VALUE"""),"Royaume-Uni")</f>
        <v>Royaume-Uni</v>
      </c>
      <c r="B116" s="2" t="str">
        <f>IFERROR(__xludf.DUMMYFUNCTION("""COMPUTED_VALUE"""),"Londres")</f>
        <v>Londres</v>
      </c>
      <c r="C116" s="2" t="str">
        <f>IFERROR(__xludf.DUMMYFUNCTION("""COMPUTED_VALUE"""),"Avant les Actes d'Union de 1707, Londres était la capitale de l'Angleterre 
seulement et Édimbourg la capitale du royaume d'Écosse. 
Le Royaume-Uni comprend l'Angleterre (capitale : Londres), l'Écosse 
(capitale : Édimbourg), le Pays de Galles (capitale "&amp;": Cardiff) et l'Irlande 
du Nord (capitale : Belfast).")</f>
        <v>Avant les Actes d'Union de 1707, Londres était la capitale de l'Angleterre 
seulement et Édimbourg la capitale du royaume d'Écosse. 
Le Royaume-Uni comprend l'Angleterre (capitale : Londres), l'Écosse 
(capitale : Édimbourg), le Pays de Galles (capitale : Cardiff) et l'Irlande 
du Nord (capitale : Belfast).</v>
      </c>
    </row>
    <row r="117">
      <c r="A117" s="2" t="str">
        <f>IFERROR(__xludf.DUMMYFUNCTION("""COMPUTED_VALUE"""),"Angola")</f>
        <v>Angola</v>
      </c>
      <c r="B117" s="2" t="str">
        <f>IFERROR(__xludf.DUMMYFUNCTION("""COMPUTED_VALUE"""),"Luanda")</f>
        <v>Luanda</v>
      </c>
      <c r="C117" s="2"/>
    </row>
    <row r="118">
      <c r="A118" s="2" t="str">
        <f>IFERROR(__xludf.DUMMYFUNCTION("""COMPUTED_VALUE"""),"Zambie")</f>
        <v>Zambie</v>
      </c>
      <c r="B118" s="2" t="str">
        <f>IFERROR(__xludf.DUMMYFUNCTION("""COMPUTED_VALUE"""),"Lusaka")</f>
        <v>Lusaka</v>
      </c>
      <c r="C118" s="2"/>
    </row>
    <row r="119">
      <c r="A119" s="2" t="str">
        <f>IFERROR(__xludf.DUMMYFUNCTION("""COMPUTED_VALUE"""),"Luxembourg")</f>
        <v>Luxembourg</v>
      </c>
      <c r="B119" s="2" t="str">
        <f>IFERROR(__xludf.DUMMYFUNCTION("""COMPUTED_VALUE"""),"Luxembourg")</f>
        <v>Luxembourg</v>
      </c>
      <c r="C119" s="2"/>
    </row>
    <row r="120">
      <c r="A120" s="2" t="str">
        <f>IFERROR(__xludf.DUMMYFUNCTION("""COMPUTED_VALUE"""),"Espagne")</f>
        <v>Espagne</v>
      </c>
      <c r="B120" s="2" t="str">
        <f>IFERROR(__xludf.DUMMYFUNCTION("""COMPUTED_VALUE"""),"Madrid")</f>
        <v>Madrid</v>
      </c>
      <c r="C120" s="2"/>
    </row>
    <row r="121">
      <c r="A121" s="2" t="str">
        <f>IFERROR(__xludf.DUMMYFUNCTION("""COMPUTED_VALUE"""),"Îles Marshall")</f>
        <v>Îles Marshall</v>
      </c>
      <c r="B121" s="2" t="str">
        <f>IFERROR(__xludf.DUMMYFUNCTION("""COMPUTED_VALUE"""),"Majuro (Delap-Uliga-Darrit)")</f>
        <v>Majuro (Delap-Uliga-Darrit)</v>
      </c>
      <c r="C121" s="2" t="str">
        <f>IFERROR(__xludf.DUMMYFUNCTION("""COMPUTED_VALUE"""),"Delap-Uliga-Darrit est la principale localité de l'atoll de Majuro. Majuro 
est une municipalité.")</f>
        <v>Delap-Uliga-Darrit est la principale localité de l'atoll de Majuro. Majuro 
est une municipalité.</v>
      </c>
    </row>
    <row r="122">
      <c r="A122" s="2" t="str">
        <f>IFERROR(__xludf.DUMMYFUNCTION("""COMPUTED_VALUE"""),"Maldives")</f>
        <v>Maldives</v>
      </c>
      <c r="B122" s="2" t="str">
        <f>IFERROR(__xludf.DUMMYFUNCTION("""COMPUTED_VALUE"""),"Malé")</f>
        <v>Malé</v>
      </c>
      <c r="C122" s="2"/>
    </row>
    <row r="123">
      <c r="A123" s="2" t="str">
        <f>IFERROR(__xludf.DUMMYFUNCTION("""COMPUTED_VALUE"""),"Nicaragua")</f>
        <v>Nicaragua</v>
      </c>
      <c r="B123" s="2" t="str">
        <f>IFERROR(__xludf.DUMMYFUNCTION("""COMPUTED_VALUE"""),"Managua")</f>
        <v>Managua</v>
      </c>
      <c r="C123" s="2"/>
    </row>
    <row r="124">
      <c r="A124" s="2" t="str">
        <f>IFERROR(__xludf.DUMMYFUNCTION("""COMPUTED_VALUE"""),"Bahreïn")</f>
        <v>Bahreïn</v>
      </c>
      <c r="B124" s="2" t="str">
        <f>IFERROR(__xludf.DUMMYFUNCTION("""COMPUTED_VALUE"""),"Manama")</f>
        <v>Manama</v>
      </c>
      <c r="C124" s="2"/>
    </row>
    <row r="125">
      <c r="A125" s="2" t="str">
        <f>IFERROR(__xludf.DUMMYFUNCTION("""COMPUTED_VALUE"""),"Philippines")</f>
        <v>Philippines</v>
      </c>
      <c r="B125" s="2" t="str">
        <f>IFERROR(__xludf.DUMMYFUNCTION("""COMPUTED_VALUE"""),"Manille")</f>
        <v>Manille</v>
      </c>
      <c r="C125" s="2"/>
    </row>
    <row r="126">
      <c r="A126" s="2" t="str">
        <f>IFERROR(__xludf.DUMMYFUNCTION("""COMPUTED_VALUE"""),"Mozambique")</f>
        <v>Mozambique</v>
      </c>
      <c r="B126" s="2" t="str">
        <f>IFERROR(__xludf.DUMMYFUNCTION("""COMPUTED_VALUE"""),"Maputo")</f>
        <v>Maputo</v>
      </c>
      <c r="C126" s="2"/>
    </row>
    <row r="127">
      <c r="A127" s="2" t="str">
        <f>IFERROR(__xludf.DUMMYFUNCTION("""COMPUTED_VALUE"""),"Oman")</f>
        <v>Oman</v>
      </c>
      <c r="B127" s="2" t="str">
        <f>IFERROR(__xludf.DUMMYFUNCTION("""COMPUTED_VALUE"""),"Mascate")</f>
        <v>Mascate</v>
      </c>
      <c r="C127" s="2"/>
    </row>
    <row r="128">
      <c r="A128" s="2" t="str">
        <f>IFERROR(__xludf.DUMMYFUNCTION("""COMPUTED_VALUE"""),"Lesotho")</f>
        <v>Lesotho</v>
      </c>
      <c r="B128" s="2" t="str">
        <f>IFERROR(__xludf.DUMMYFUNCTION("""COMPUTED_VALUE"""),"Maseru")</f>
        <v>Maseru</v>
      </c>
      <c r="C128" s="2"/>
    </row>
    <row r="129">
      <c r="A129" s="2" t="str">
        <f>IFERROR(__xludf.DUMMYFUNCTION("""COMPUTED_VALUE"""),"Eswatini")</f>
        <v>Eswatini</v>
      </c>
      <c r="B129" s="2" t="str">
        <f>IFERROR(__xludf.DUMMYFUNCTION("""COMPUTED_VALUE"""),"Mbabane")</f>
        <v>Mbabane</v>
      </c>
      <c r="C129" s="2"/>
    </row>
    <row r="130">
      <c r="A130" s="2" t="str">
        <f>IFERROR(__xludf.DUMMYFUNCTION("""COMPUTED_VALUE"""),"Mexique")</f>
        <v>Mexique</v>
      </c>
      <c r="B130" s="2" t="str">
        <f>IFERROR(__xludf.DUMMYFUNCTION("""COMPUTED_VALUE"""),"Mexico")</f>
        <v>Mexico</v>
      </c>
      <c r="C130" s="2"/>
    </row>
    <row r="131">
      <c r="A131" s="2" t="str">
        <f>IFERROR(__xludf.DUMMYFUNCTION("""COMPUTED_VALUE"""),"Biélorussie")</f>
        <v>Biélorussie</v>
      </c>
      <c r="B131" s="2" t="str">
        <f>IFERROR(__xludf.DUMMYFUNCTION("""COMPUTED_VALUE"""),"Minsk")</f>
        <v>Minsk</v>
      </c>
      <c r="C131" s="2"/>
    </row>
    <row r="132">
      <c r="A132" s="2" t="str">
        <f>IFERROR(__xludf.DUMMYFUNCTION("""COMPUTED_VALUE"""),"Somalie")</f>
        <v>Somalie</v>
      </c>
      <c r="B132" s="2" t="str">
        <f>IFERROR(__xludf.DUMMYFUNCTION("""COMPUTED_VALUE"""),"Mogadiscio")</f>
        <v>Mogadiscio</v>
      </c>
      <c r="C132" s="2"/>
    </row>
    <row r="133">
      <c r="A133" s="2" t="str">
        <f>IFERROR(__xludf.DUMMYFUNCTION("""COMPUTED_VALUE"""),"Monaco")</f>
        <v>Monaco</v>
      </c>
      <c r="B133" s="2" t="str">
        <f>IFERROR(__xludf.DUMMYFUNCTION("""COMPUTED_VALUE"""),"Monaco")</f>
        <v>Monaco</v>
      </c>
      <c r="C133" s="2" t="str">
        <f>IFERROR(__xludf.DUMMYFUNCTION("""COMPUTED_VALUE"""),"Cité-État : le pays est sa propre capitale.")</f>
        <v>Cité-État : le pays est sa propre capitale.</v>
      </c>
    </row>
    <row r="134">
      <c r="A134" s="2" t="str">
        <f>IFERROR(__xludf.DUMMYFUNCTION("""COMPUTED_VALUE"""),"Liberia")</f>
        <v>Liberia</v>
      </c>
      <c r="B134" s="2" t="str">
        <f>IFERROR(__xludf.DUMMYFUNCTION("""COMPUTED_VALUE"""),"Monrovia")</f>
        <v>Monrovia</v>
      </c>
      <c r="C134" s="2"/>
    </row>
    <row r="135">
      <c r="A135" s="2" t="str">
        <f>IFERROR(__xludf.DUMMYFUNCTION("""COMPUTED_VALUE"""),"Uruguay")</f>
        <v>Uruguay</v>
      </c>
      <c r="B135" s="2" t="str">
        <f>IFERROR(__xludf.DUMMYFUNCTION("""COMPUTED_VALUE"""),"Montevideo")</f>
        <v>Montevideo</v>
      </c>
      <c r="C135" s="2"/>
    </row>
    <row r="136">
      <c r="A136" s="2" t="str">
        <f>IFERROR(__xludf.DUMMYFUNCTION("""COMPUTED_VALUE"""),"Comores")</f>
        <v>Comores</v>
      </c>
      <c r="B136" s="2" t="str">
        <f>IFERROR(__xludf.DUMMYFUNCTION("""COMPUTED_VALUE"""),"Moroni")</f>
        <v>Moroni</v>
      </c>
      <c r="C136" s="2"/>
    </row>
    <row r="137">
      <c r="A137" s="2" t="str">
        <f>IFERROR(__xludf.DUMMYFUNCTION("""COMPUTED_VALUE"""),"Russie")</f>
        <v>Russie</v>
      </c>
      <c r="B137" s="2" t="str">
        <f>IFERROR(__xludf.DUMMYFUNCTION("""COMPUTED_VALUE"""),"Moscou")</f>
        <v>Moscou</v>
      </c>
      <c r="C137" s="2"/>
    </row>
    <row r="138">
      <c r="A138" s="2" t="str">
        <f>IFERROR(__xludf.DUMMYFUNCTION("""COMPUTED_VALUE"""),"Kenya")</f>
        <v>Kenya</v>
      </c>
      <c r="B138" s="2" t="str">
        <f>IFERROR(__xludf.DUMMYFUNCTION("""COMPUTED_VALUE"""),"Nairobi")</f>
        <v>Nairobi</v>
      </c>
      <c r="C138" s="2"/>
    </row>
    <row r="139">
      <c r="A139" s="2" t="str">
        <f>IFERROR(__xludf.DUMMYFUNCTION("""COMPUTED_VALUE"""),"Bahamas")</f>
        <v>Bahamas</v>
      </c>
      <c r="B139" s="2" t="str">
        <f>IFERROR(__xludf.DUMMYFUNCTION("""COMPUTED_VALUE"""),"Nassau")</f>
        <v>Nassau</v>
      </c>
      <c r="C139" s="2"/>
    </row>
    <row r="140">
      <c r="A140" s="2" t="str">
        <f>IFERROR(__xludf.DUMMYFUNCTION("""COMPUTED_VALUE"""),"Birmanie")</f>
        <v>Birmanie</v>
      </c>
      <c r="B140" s="2" t="str">
        <f>IFERROR(__xludf.DUMMYFUNCTION("""COMPUTED_VALUE"""),"Naypyidaw")</f>
        <v>Naypyidaw</v>
      </c>
      <c r="C140" s="2" t="str">
        <f>IFERROR(__xludf.DUMMYFUNCTION("""COMPUTED_VALUE"""),"Naypyidaw est la capitale officielle en replacement de Rangoun depuis le 7 
novembre 2005[note 2]")</f>
        <v>Naypyidaw est la capitale officielle en replacement de Rangoun depuis le 7 
novembre 2005[note 2]</v>
      </c>
    </row>
    <row r="141">
      <c r="A141" s="2" t="str">
        <f>IFERROR(__xludf.DUMMYFUNCTION("""COMPUTED_VALUE"""),"Tchad")</f>
        <v>Tchad</v>
      </c>
      <c r="B141" s="2" t="str">
        <f>IFERROR(__xludf.DUMMYFUNCTION("""COMPUTED_VALUE"""),"N'Djaména")</f>
        <v>N'Djaména</v>
      </c>
      <c r="C141" s="2"/>
    </row>
    <row r="142">
      <c r="A142" s="2" t="str">
        <f>IFERROR(__xludf.DUMMYFUNCTION("""COMPUTED_VALUE"""),"Inde")</f>
        <v>Inde</v>
      </c>
      <c r="B142" s="2" t="str">
        <f>IFERROR(__xludf.DUMMYFUNCTION("""COMPUTED_VALUE"""),"New Delhi")</f>
        <v>New Delhi</v>
      </c>
      <c r="C142" s="2"/>
    </row>
    <row r="143">
      <c r="A143" s="2" t="str">
        <f>IFERROR(__xludf.DUMMYFUNCTION("""COMPUTED_VALUE"""),"Niger")</f>
        <v>Niger</v>
      </c>
      <c r="B143" s="2" t="str">
        <f>IFERROR(__xludf.DUMMYFUNCTION("""COMPUTED_VALUE"""),"Niamey")</f>
        <v>Niamey</v>
      </c>
      <c r="C143" s="2"/>
    </row>
    <row r="144">
      <c r="A144" s="2" t="str">
        <f>IFERROR(__xludf.DUMMYFUNCTION("""COMPUTED_VALUE"""),"Chypre")</f>
        <v>Chypre</v>
      </c>
      <c r="B144" s="2" t="str">
        <f>IFERROR(__xludf.DUMMYFUNCTION("""COMPUTED_VALUE"""),"Nicosie")</f>
        <v>Nicosie</v>
      </c>
      <c r="C144" s="2"/>
    </row>
    <row r="145">
      <c r="A145" s="2" t="str">
        <f>IFERROR(__xludf.DUMMYFUNCTION("""COMPUTED_VALUE"""),"Mauritanie")</f>
        <v>Mauritanie</v>
      </c>
      <c r="B145" s="2" t="str">
        <f>IFERROR(__xludf.DUMMYFUNCTION("""COMPUTED_VALUE"""),"Nouakchott")</f>
        <v>Nouakchott</v>
      </c>
      <c r="C145" s="2"/>
    </row>
    <row r="146">
      <c r="A146" s="2" t="str">
        <f>IFERROR(__xludf.DUMMYFUNCTION("""COMPUTED_VALUE"""),"Tonga")</f>
        <v>Tonga</v>
      </c>
      <c r="B146" s="2" t="str">
        <f>IFERROR(__xludf.DUMMYFUNCTION("""COMPUTED_VALUE"""),"Nukuʻalofa")</f>
        <v>Nukuʻalofa</v>
      </c>
      <c r="C146" s="2"/>
    </row>
    <row r="147">
      <c r="A147" s="2" t="str">
        <f>IFERROR(__xludf.DUMMYFUNCTION("""COMPUTED_VALUE"""),"Norvège")</f>
        <v>Norvège</v>
      </c>
      <c r="B147" s="2" t="str">
        <f>IFERROR(__xludf.DUMMYFUNCTION("""COMPUTED_VALUE"""),"Oslo")</f>
        <v>Oslo</v>
      </c>
      <c r="C147" s="2"/>
    </row>
    <row r="148">
      <c r="A148" s="2" t="str">
        <f>IFERROR(__xludf.DUMMYFUNCTION("""COMPUTED_VALUE"""),"Canada")</f>
        <v>Canada</v>
      </c>
      <c r="B148" s="2" t="str">
        <f>IFERROR(__xludf.DUMMYFUNCTION("""COMPUTED_VALUE"""),"Ottawa")</f>
        <v>Ottawa</v>
      </c>
      <c r="C148" s="2"/>
    </row>
    <row r="149">
      <c r="A149" s="2" t="str">
        <f>IFERROR(__xludf.DUMMYFUNCTION("""COMPUTED_VALUE"""),"Burkina Faso")</f>
        <v>Burkina Faso</v>
      </c>
      <c r="B149" s="2" t="str">
        <f>IFERROR(__xludf.DUMMYFUNCTION("""COMPUTED_VALUE"""),"Ouagadougou")</f>
        <v>Ouagadougou</v>
      </c>
      <c r="C149" s="2"/>
    </row>
    <row r="150">
      <c r="A150" s="2" t="str">
        <f>IFERROR(__xludf.DUMMYFUNCTION("""COMPUTED_VALUE"""),"Mongolie")</f>
        <v>Mongolie</v>
      </c>
      <c r="B150" s="2" t="str">
        <f>IFERROR(__xludf.DUMMYFUNCTION("""COMPUTED_VALUE"""),"Oulan-Bator")</f>
        <v>Oulan-Bator</v>
      </c>
      <c r="C150" s="2"/>
    </row>
    <row r="151">
      <c r="A151" s="2" t="str">
        <f>IFERROR(__xludf.DUMMYFUNCTION("""COMPUTED_VALUE"""),"États fédérés de Micronésie")</f>
        <v>États fédérés de Micronésie</v>
      </c>
      <c r="B151" s="2" t="str">
        <f>IFERROR(__xludf.DUMMYFUNCTION("""COMPUTED_VALUE"""),"Palikir")</f>
        <v>Palikir</v>
      </c>
      <c r="C151" s="2" t="str">
        <f>IFERROR(__xludf.DUMMYFUNCTION("""COMPUTED_VALUE"""),"Kolonia était la capitale jusqu'en 1989 ; les ambassades d'Australie, Chine, 
États-Unis et Japon y sont toujours situées.")</f>
        <v>Kolonia était la capitale jusqu'en 1989 ; les ambassades d'Australie, Chine, 
États-Unis et Japon y sont toujours situées.</v>
      </c>
    </row>
    <row r="152">
      <c r="A152" s="2" t="str">
        <f>IFERROR(__xludf.DUMMYFUNCTION("""COMPUTED_VALUE"""),"Panama")</f>
        <v>Panama</v>
      </c>
      <c r="B152" s="2" t="str">
        <f>IFERROR(__xludf.DUMMYFUNCTION("""COMPUTED_VALUE"""),"Panama")</f>
        <v>Panama</v>
      </c>
      <c r="C152" s="2"/>
    </row>
    <row r="153">
      <c r="A153" s="2" t="str">
        <f>IFERROR(__xludf.DUMMYFUNCTION("""COMPUTED_VALUE"""),"Suriname")</f>
        <v>Suriname</v>
      </c>
      <c r="B153" s="2" t="str">
        <f>IFERROR(__xludf.DUMMYFUNCTION("""COMPUTED_VALUE"""),"Paramaribo")</f>
        <v>Paramaribo</v>
      </c>
      <c r="C153" s="2"/>
    </row>
    <row r="154">
      <c r="A154" s="2" t="str">
        <f>IFERROR(__xludf.DUMMYFUNCTION("""COMPUTED_VALUE"""),"France")</f>
        <v>France</v>
      </c>
      <c r="B154" s="2" t="str">
        <f>IFERROR(__xludf.DUMMYFUNCTION("""COMPUTED_VALUE"""),"Paris")</f>
        <v>Paris</v>
      </c>
      <c r="C154" s="2"/>
    </row>
    <row r="155">
      <c r="A155" s="2" t="str">
        <f>IFERROR(__xludf.DUMMYFUNCTION("""COMPUTED_VALUE"""),"Bolivie")</f>
        <v>Bolivie</v>
      </c>
      <c r="B155" s="2" t="str">
        <f>IFERROR(__xludf.DUMMYFUNCTION("""COMPUTED_VALUE"""),"La Paz(gouvernement et ambassades)")</f>
        <v>La Paz(gouvernement et ambassades)</v>
      </c>
      <c r="C155" s="2" t="str">
        <f>IFERROR(__xludf.DUMMYFUNCTION("""COMPUTED_VALUE"""),"Sucre est la capitale constitutionnelle, La Paz est le siège du 
gouvernement et des ambassades.")</f>
        <v>Sucre est la capitale constitutionnelle, La Paz est le siège du 
gouvernement et des ambassades.</v>
      </c>
    </row>
    <row r="156">
      <c r="A156" s="2"/>
      <c r="B156" s="2" t="str">
        <f>IFERROR(__xludf.DUMMYFUNCTION("""COMPUTED_VALUE"""),"Sucre(constitutionnelle)")</f>
        <v>Sucre(constitutionnelle)</v>
      </c>
      <c r="C156" s="2"/>
    </row>
    <row r="157">
      <c r="A157" s="2" t="str">
        <f>IFERROR(__xludf.DUMMYFUNCTION("""COMPUTED_VALUE"""),"Chine")</f>
        <v>Chine</v>
      </c>
      <c r="B157" s="2" t="str">
        <f>IFERROR(__xludf.DUMMYFUNCTION("""COMPUTED_VALUE"""),"Pékin")</f>
        <v>Pékin</v>
      </c>
      <c r="C157" s="2"/>
    </row>
    <row r="158">
      <c r="A158" s="2" t="str">
        <f>IFERROR(__xludf.DUMMYFUNCTION("""COMPUTED_VALUE"""),"Cambodge")</f>
        <v>Cambodge</v>
      </c>
      <c r="B158" s="2" t="str">
        <f>IFERROR(__xludf.DUMMYFUNCTION("""COMPUTED_VALUE"""),"Phnom Penh")</f>
        <v>Phnom Penh</v>
      </c>
      <c r="C158" s="2"/>
    </row>
    <row r="159">
      <c r="A159" s="2" t="str">
        <f>IFERROR(__xludf.DUMMYFUNCTION("""COMPUTED_VALUE"""),"Papouasie-Nouvelle-Guinée")</f>
        <v>Papouasie-Nouvelle-Guinée</v>
      </c>
      <c r="B159" s="2" t="str">
        <f>IFERROR(__xludf.DUMMYFUNCTION("""COMPUTED_VALUE"""),"Port Moresby")</f>
        <v>Port Moresby</v>
      </c>
      <c r="C159" s="2"/>
    </row>
    <row r="160">
      <c r="A160" s="2" t="str">
        <f>IFERROR(__xludf.DUMMYFUNCTION("""COMPUTED_VALUE"""),"Haïti")</f>
        <v>Haïti</v>
      </c>
      <c r="B160" s="2" t="str">
        <f>IFERROR(__xludf.DUMMYFUNCTION("""COMPUTED_VALUE"""),"Port-au-Prince")</f>
        <v>Port-au-Prince</v>
      </c>
      <c r="C160" s="2"/>
    </row>
    <row r="161">
      <c r="A161" s="2" t="str">
        <f>IFERROR(__xludf.DUMMYFUNCTION("""COMPUTED_VALUE"""),"Trinité-et-Tobago")</f>
        <v>Trinité-et-Tobago</v>
      </c>
      <c r="B161" s="2" t="str">
        <f>IFERROR(__xludf.DUMMYFUNCTION("""COMPUTED_VALUE"""),"Port-d'Espagne")</f>
        <v>Port-d'Espagne</v>
      </c>
      <c r="C161" s="2"/>
    </row>
    <row r="162">
      <c r="A162" s="2" t="str">
        <f>IFERROR(__xludf.DUMMYFUNCTION("""COMPUTED_VALUE"""),"Maurice")</f>
        <v>Maurice</v>
      </c>
      <c r="B162" s="2" t="str">
        <f>IFERROR(__xludf.DUMMYFUNCTION("""COMPUTED_VALUE"""),"Port-Louis")</f>
        <v>Port-Louis</v>
      </c>
      <c r="C162" s="2"/>
    </row>
    <row r="163">
      <c r="A163" s="2" t="str">
        <f>IFERROR(__xludf.DUMMYFUNCTION("""COMPUTED_VALUE"""),"Vanuatu")</f>
        <v>Vanuatu</v>
      </c>
      <c r="B163" s="2" t="str">
        <f>IFERROR(__xludf.DUMMYFUNCTION("""COMPUTED_VALUE"""),"Port-Vila")</f>
        <v>Port-Vila</v>
      </c>
      <c r="C163" s="2"/>
    </row>
    <row r="164">
      <c r="A164" s="2" t="str">
        <f>IFERROR(__xludf.DUMMYFUNCTION("""COMPUTED_VALUE"""),"République tchèque")</f>
        <v>République tchèque</v>
      </c>
      <c r="B164" s="2" t="str">
        <f>IFERROR(__xludf.DUMMYFUNCTION("""COMPUTED_VALUE"""),"Prague")</f>
        <v>Prague</v>
      </c>
      <c r="C164" s="2"/>
    </row>
    <row r="165">
      <c r="A165" s="2" t="str">
        <f>IFERROR(__xludf.DUMMYFUNCTION("""COMPUTED_VALUE"""),"Cap-Vert")</f>
        <v>Cap-Vert</v>
      </c>
      <c r="B165" s="2" t="str">
        <f>IFERROR(__xludf.DUMMYFUNCTION("""COMPUTED_VALUE"""),"Praia")</f>
        <v>Praia</v>
      </c>
      <c r="C165" s="2"/>
    </row>
    <row r="166">
      <c r="A166" s="2" t="str">
        <f>IFERROR(__xludf.DUMMYFUNCTION("""COMPUTED_VALUE"""),"Corée du Nord")</f>
        <v>Corée du Nord</v>
      </c>
      <c r="B166" s="2" t="str">
        <f>IFERROR(__xludf.DUMMYFUNCTION("""COMPUTED_VALUE"""),"Pyongyang")</f>
        <v>Pyongyang</v>
      </c>
      <c r="C166" s="2"/>
    </row>
    <row r="167">
      <c r="A167" s="2" t="str">
        <f>IFERROR(__xludf.DUMMYFUNCTION("""COMPUTED_VALUE"""),"Équateur")</f>
        <v>Équateur</v>
      </c>
      <c r="B167" s="2" t="str">
        <f>IFERROR(__xludf.DUMMYFUNCTION("""COMPUTED_VALUE"""),"Quito")</f>
        <v>Quito</v>
      </c>
      <c r="C167" s="2"/>
    </row>
    <row r="168">
      <c r="A168" s="2" t="str">
        <f>IFERROR(__xludf.DUMMYFUNCTION("""COMPUTED_VALUE"""),"Maroc")</f>
        <v>Maroc</v>
      </c>
      <c r="B168" s="2" t="str">
        <f>IFERROR(__xludf.DUMMYFUNCTION("""COMPUTED_VALUE"""),"Rabat")</f>
        <v>Rabat</v>
      </c>
      <c r="C168" s="2"/>
    </row>
    <row r="169">
      <c r="A169" s="2" t="str">
        <f>IFERROR(__xludf.DUMMYFUNCTION("""COMPUTED_VALUE"""),"Islande")</f>
        <v>Islande</v>
      </c>
      <c r="B169" s="2" t="str">
        <f>IFERROR(__xludf.DUMMYFUNCTION("""COMPUTED_VALUE"""),"Reykjavik")</f>
        <v>Reykjavik</v>
      </c>
      <c r="C169" s="2"/>
    </row>
    <row r="170">
      <c r="A170" s="2" t="str">
        <f>IFERROR(__xludf.DUMMYFUNCTION("""COMPUTED_VALUE"""),"Lettonie")</f>
        <v>Lettonie</v>
      </c>
      <c r="B170" s="2" t="str">
        <f>IFERROR(__xludf.DUMMYFUNCTION("""COMPUTED_VALUE"""),"Riga")</f>
        <v>Riga</v>
      </c>
      <c r="C170" s="2"/>
    </row>
    <row r="171">
      <c r="A171" s="2" t="str">
        <f>IFERROR(__xludf.DUMMYFUNCTION("""COMPUTED_VALUE"""),"Arabie saoudite")</f>
        <v>Arabie saoudite</v>
      </c>
      <c r="B171" s="2" t="str">
        <f>IFERROR(__xludf.DUMMYFUNCTION("""COMPUTED_VALUE"""),"Riyad")</f>
        <v>Riyad</v>
      </c>
      <c r="C171" s="2"/>
    </row>
    <row r="172">
      <c r="A172" s="2" t="str">
        <f>IFERROR(__xludf.DUMMYFUNCTION("""COMPUTED_VALUE"""),"Italie")</f>
        <v>Italie</v>
      </c>
      <c r="B172" s="2" t="str">
        <f>IFERROR(__xludf.DUMMYFUNCTION("""COMPUTED_VALUE"""),"Rome")</f>
        <v>Rome</v>
      </c>
      <c r="C172" s="2"/>
    </row>
    <row r="173">
      <c r="A173" s="2" t="str">
        <f>IFERROR(__xludf.DUMMYFUNCTION("""COMPUTED_VALUE"""),"Dominique")</f>
        <v>Dominique</v>
      </c>
      <c r="B173" s="2" t="str">
        <f>IFERROR(__xludf.DUMMYFUNCTION("""COMPUTED_VALUE"""),"Roseau")</f>
        <v>Roseau</v>
      </c>
      <c r="C173" s="2"/>
    </row>
    <row r="174">
      <c r="A174" s="2" t="str">
        <f>IFERROR(__xludf.DUMMYFUNCTION("""COMPUTED_VALUE"""),"Antigua-et-Barbuda")</f>
        <v>Antigua-et-Barbuda</v>
      </c>
      <c r="B174" s="2" t="str">
        <f>IFERROR(__xludf.DUMMYFUNCTION("""COMPUTED_VALUE"""),"Saint John's")</f>
        <v>Saint John's</v>
      </c>
      <c r="C174" s="2"/>
    </row>
    <row r="175">
      <c r="A175" s="2" t="str">
        <f>IFERROR(__xludf.DUMMYFUNCTION("""COMPUTED_VALUE"""),"République dominicaine")</f>
        <v>République dominicaine</v>
      </c>
      <c r="B175" s="2" t="str">
        <f>IFERROR(__xludf.DUMMYFUNCTION("""COMPUTED_VALUE"""),"Saint-Domingue")</f>
        <v>Saint-Domingue</v>
      </c>
      <c r="C175" s="2"/>
    </row>
    <row r="176">
      <c r="A176" s="2" t="str">
        <f>IFERROR(__xludf.DUMMYFUNCTION("""COMPUTED_VALUE"""),"Grenade")</f>
        <v>Grenade</v>
      </c>
      <c r="B176" s="2" t="str">
        <f>IFERROR(__xludf.DUMMYFUNCTION("""COMPUTED_VALUE"""),"Saint-Georges")</f>
        <v>Saint-Georges</v>
      </c>
      <c r="C176" s="2"/>
    </row>
    <row r="177">
      <c r="A177" s="2" t="str">
        <f>IFERROR(__xludf.DUMMYFUNCTION("""COMPUTED_VALUE"""),"Saint-Marin")</f>
        <v>Saint-Marin</v>
      </c>
      <c r="B177" s="2" t="str">
        <f>IFERROR(__xludf.DUMMYFUNCTION("""COMPUTED_VALUE"""),"Saint-Marin")</f>
        <v>Saint-Marin</v>
      </c>
      <c r="C177" s="2"/>
    </row>
    <row r="178">
      <c r="A178" s="2" t="str">
        <f>IFERROR(__xludf.DUMMYFUNCTION("""COMPUTED_VALUE"""),"Costa Rica")</f>
        <v>Costa Rica</v>
      </c>
      <c r="B178" s="2" t="str">
        <f>IFERROR(__xludf.DUMMYFUNCTION("""COMPUTED_VALUE"""),"San José")</f>
        <v>San José</v>
      </c>
      <c r="C178" s="2"/>
    </row>
    <row r="179">
      <c r="A179" s="2" t="str">
        <f>IFERROR(__xludf.DUMMYFUNCTION("""COMPUTED_VALUE"""),"Salvador")</f>
        <v>Salvador</v>
      </c>
      <c r="B179" s="2" t="str">
        <f>IFERROR(__xludf.DUMMYFUNCTION("""COMPUTED_VALUE"""),"San Salvador")</f>
        <v>San Salvador</v>
      </c>
      <c r="C179" s="2"/>
    </row>
    <row r="180">
      <c r="A180" s="2" t="str">
        <f>IFERROR(__xludf.DUMMYFUNCTION("""COMPUTED_VALUE"""),"Chili")</f>
        <v>Chili</v>
      </c>
      <c r="B180" s="2" t="str">
        <f>IFERROR(__xludf.DUMMYFUNCTION("""COMPUTED_VALUE"""),"Santiago(officielle)")</f>
        <v>Santiago(officielle)</v>
      </c>
      <c r="C180" s="2" t="str">
        <f>IFERROR(__xludf.DUMMYFUNCTION("""COMPUTED_VALUE"""),"Le Congrès national est situé à Valparaíso, le reste des institutions à 
Santiago.")</f>
        <v>Le Congrès national est situé à Valparaíso, le reste des institutions à 
Santiago.</v>
      </c>
    </row>
    <row r="181">
      <c r="A181" s="2"/>
      <c r="B181" s="2" t="str">
        <f>IFERROR(__xludf.DUMMYFUNCTION("""COMPUTED_VALUE"""),"Valparaíso(législative)")</f>
        <v>Valparaíso(législative)</v>
      </c>
      <c r="C181" s="2"/>
    </row>
    <row r="182">
      <c r="A182" s="2" t="str">
        <f>IFERROR(__xludf.DUMMYFUNCTION("""COMPUTED_VALUE"""),"Sao Tomé-et-Principe")</f>
        <v>Sao Tomé-et-Principe</v>
      </c>
      <c r="B182" s="2" t="str">
        <f>IFERROR(__xludf.DUMMYFUNCTION("""COMPUTED_VALUE"""),"São Tomé")</f>
        <v>São Tomé</v>
      </c>
      <c r="C182" s="2"/>
    </row>
    <row r="183">
      <c r="A183" s="2" t="str">
        <f>IFERROR(__xludf.DUMMYFUNCTION("""COMPUTED_VALUE"""),"Bosnie-Herzégovine")</f>
        <v>Bosnie-Herzégovine</v>
      </c>
      <c r="B183" s="2" t="str">
        <f>IFERROR(__xludf.DUMMYFUNCTION("""COMPUTED_VALUE"""),"Sarajevo")</f>
        <v>Sarajevo</v>
      </c>
      <c r="C183" s="2"/>
    </row>
    <row r="184">
      <c r="A184" s="2" t="str">
        <f>IFERROR(__xludf.DUMMYFUNCTION("""COMPUTED_VALUE"""),"Corée du Sud")</f>
        <v>Corée du Sud</v>
      </c>
      <c r="B184" s="2" t="str">
        <f>IFERROR(__xludf.DUMMYFUNCTION("""COMPUTED_VALUE"""),"Sejong(*de facto*)")</f>
        <v>Sejong(*de facto*)</v>
      </c>
      <c r="C184" s="2" t="str">
        <f>IFERROR(__xludf.DUMMYFUNCTION("""COMPUTED_VALUE"""),"Certaines fonctions gouvernementales ont été transférées à Sejong en 2012 ; 
Séoul héberge néanmoins la quasi-totalité des institutions.")</f>
        <v>Certaines fonctions gouvernementales ont été transférées à Sejong en 2012 ; 
Séoul héberge néanmoins la quasi-totalité des institutions.</v>
      </c>
    </row>
    <row r="185">
      <c r="A185" s="2"/>
      <c r="B185" s="2" t="str">
        <f>IFERROR(__xludf.DUMMYFUNCTION("""COMPUTED_VALUE"""),"Séoul")</f>
        <v>Séoul</v>
      </c>
      <c r="C185" s="2"/>
    </row>
    <row r="186">
      <c r="A186" s="2" t="str">
        <f>IFERROR(__xludf.DUMMYFUNCTION("""COMPUTED_VALUE"""),"Singapour")</f>
        <v>Singapour</v>
      </c>
      <c r="B186" s="2" t="str">
        <f>IFERROR(__xludf.DUMMYFUNCTION("""COMPUTED_VALUE"""),"Singapour")</f>
        <v>Singapour</v>
      </c>
      <c r="C186" s="2" t="str">
        <f>IFERROR(__xludf.DUMMYFUNCTION("""COMPUTED_VALUE"""),"Cité-État : le pays est sa propre capitale.")</f>
        <v>Cité-État : le pays est sa propre capitale.</v>
      </c>
    </row>
    <row r="187">
      <c r="A187" s="2" t="str">
        <f>IFERROR(__xludf.DUMMYFUNCTION("""COMPUTED_VALUE"""),"Macédoine du Nord")</f>
        <v>Macédoine du Nord</v>
      </c>
      <c r="B187" s="2" t="str">
        <f>IFERROR(__xludf.DUMMYFUNCTION("""COMPUTED_VALUE"""),"Skopje")</f>
        <v>Skopje</v>
      </c>
      <c r="C187" s="2"/>
    </row>
    <row r="188">
      <c r="A188" s="2" t="str">
        <f>IFERROR(__xludf.DUMMYFUNCTION("""COMPUTED_VALUE"""),"Bulgarie")</f>
        <v>Bulgarie</v>
      </c>
      <c r="B188" s="2" t="str">
        <f>IFERROR(__xludf.DUMMYFUNCTION("""COMPUTED_VALUE"""),"Sofia")</f>
        <v>Sofia</v>
      </c>
      <c r="C188" s="2"/>
    </row>
    <row r="189">
      <c r="A189" s="2" t="str">
        <f>IFERROR(__xludf.DUMMYFUNCTION("""COMPUTED_VALUE"""),"Suède")</f>
        <v>Suède</v>
      </c>
      <c r="B189" s="2" t="str">
        <f>IFERROR(__xludf.DUMMYFUNCTION("""COMPUTED_VALUE"""),"Stockholm")</f>
        <v>Stockholm</v>
      </c>
      <c r="C189" s="2"/>
    </row>
    <row r="190">
      <c r="A190" s="2" t="str">
        <f>IFERROR(__xludf.DUMMYFUNCTION("""COMPUTED_VALUE"""),"Fidji")</f>
        <v>Fidji</v>
      </c>
      <c r="B190" s="2" t="str">
        <f>IFERROR(__xludf.DUMMYFUNCTION("""COMPUTED_VALUE"""),"Suva")</f>
        <v>Suva</v>
      </c>
      <c r="C190" s="2"/>
    </row>
    <row r="191">
      <c r="A191" s="2" t="str">
        <f>IFERROR(__xludf.DUMMYFUNCTION("""COMPUTED_VALUE"""),"Ouzbékistan")</f>
        <v>Ouzbékistan</v>
      </c>
      <c r="B191" s="2" t="str">
        <f>IFERROR(__xludf.DUMMYFUNCTION("""COMPUTED_VALUE"""),"Tachkent")</f>
        <v>Tachkent</v>
      </c>
      <c r="C191" s="2"/>
    </row>
    <row r="192">
      <c r="A192" s="2" t="str">
        <f>IFERROR(__xludf.DUMMYFUNCTION("""COMPUTED_VALUE"""),"Estonie")</f>
        <v>Estonie</v>
      </c>
      <c r="B192" s="2" t="str">
        <f>IFERROR(__xludf.DUMMYFUNCTION("""COMPUTED_VALUE"""),"Tallinn")</f>
        <v>Tallinn</v>
      </c>
      <c r="C192" s="2"/>
    </row>
    <row r="193">
      <c r="A193" s="2" t="str">
        <f>IFERROR(__xludf.DUMMYFUNCTION("""COMPUTED_VALUE"""),"Kiribati")</f>
        <v>Kiribati</v>
      </c>
      <c r="B193" s="2" t="str">
        <f>IFERROR(__xludf.DUMMYFUNCTION("""COMPUTED_VALUE"""),"Tarawa-Sud")</f>
        <v>Tarawa-Sud</v>
      </c>
      <c r="C193" s="2" t="str">
        <f>IFERROR(__xludf.DUMMYFUNCTION("""COMPUTED_VALUE"""),"Tarawa-Sud est une communauté urbaine de l'atoll de Tarawa. Bairiki, un 
lieu-dit de Tarawa-Sud, accueille de nombreuses institutions et ambassades.")</f>
        <v>Tarawa-Sud est une communauté urbaine de l'atoll de Tarawa. Bairiki, un 
lieu-dit de Tarawa-Sud, accueille de nombreuses institutions et ambassades.</v>
      </c>
    </row>
    <row r="194">
      <c r="A194" s="2" t="str">
        <f>IFERROR(__xludf.DUMMYFUNCTION("""COMPUTED_VALUE"""),"Géorgie")</f>
        <v>Géorgie</v>
      </c>
      <c r="B194" s="2" t="str">
        <f>IFERROR(__xludf.DUMMYFUNCTION("""COMPUTED_VALUE"""),"Tbilissi")</f>
        <v>Tbilissi</v>
      </c>
      <c r="C194" s="2"/>
    </row>
    <row r="195">
      <c r="A195" s="2" t="str">
        <f>IFERROR(__xludf.DUMMYFUNCTION("""COMPUTED_VALUE"""),"Iran")</f>
        <v>Iran</v>
      </c>
      <c r="B195" s="2" t="str">
        <f>IFERROR(__xludf.DUMMYFUNCTION("""COMPUTED_VALUE"""),"Téhéran")</f>
        <v>Téhéran</v>
      </c>
      <c r="C195" s="2"/>
    </row>
    <row r="196">
      <c r="A196" s="2" t="str">
        <f>IFERROR(__xludf.DUMMYFUNCTION("""COMPUTED_VALUE"""),"Bhoutan")</f>
        <v>Bhoutan</v>
      </c>
      <c r="B196" s="2" t="str">
        <f>IFERROR(__xludf.DUMMYFUNCTION("""COMPUTED_VALUE"""),"Thimphou")</f>
        <v>Thimphou</v>
      </c>
      <c r="C196" s="2"/>
    </row>
    <row r="197">
      <c r="A197" s="2" t="str">
        <f>IFERROR(__xludf.DUMMYFUNCTION("""COMPUTED_VALUE"""),"Albanie")</f>
        <v>Albanie</v>
      </c>
      <c r="B197" s="2" t="str">
        <f>IFERROR(__xludf.DUMMYFUNCTION("""COMPUTED_VALUE"""),"Tirana")</f>
        <v>Tirana</v>
      </c>
      <c r="C197" s="2"/>
    </row>
    <row r="198">
      <c r="A198" s="2" t="str">
        <f>IFERROR(__xludf.DUMMYFUNCTION("""COMPUTED_VALUE"""),"Japon")</f>
        <v>Japon</v>
      </c>
      <c r="B198" s="2" t="str">
        <f>IFERROR(__xludf.DUMMYFUNCTION("""COMPUTED_VALUE"""),"Tokyo")</f>
        <v>Tokyo</v>
      </c>
      <c r="C198" s="2"/>
    </row>
    <row r="199">
      <c r="A199" s="2" t="str">
        <f>IFERROR(__xludf.DUMMYFUNCTION("""COMPUTED_VALUE"""),"Libye")</f>
        <v>Libye</v>
      </c>
      <c r="B199" s="2" t="str">
        <f>IFERROR(__xludf.DUMMYFUNCTION("""COMPUTED_VALUE"""),"Tripoli")</f>
        <v>Tripoli</v>
      </c>
      <c r="C199" s="2"/>
    </row>
    <row r="200">
      <c r="A200" s="2" t="str">
        <f>IFERROR(__xludf.DUMMYFUNCTION("""COMPUTED_VALUE"""),"Tunisie")</f>
        <v>Tunisie</v>
      </c>
      <c r="B200" s="2" t="str">
        <f>IFERROR(__xludf.DUMMYFUNCTION("""COMPUTED_VALUE"""),"Tunis")</f>
        <v>Tunis</v>
      </c>
      <c r="C200" s="2"/>
    </row>
    <row r="201">
      <c r="A201" s="2" t="str">
        <f>IFERROR(__xludf.DUMMYFUNCTION("""COMPUTED_VALUE"""),"Liechtenstein")</f>
        <v>Liechtenstein</v>
      </c>
      <c r="B201" s="2" t="str">
        <f>IFERROR(__xludf.DUMMYFUNCTION("""COMPUTED_VALUE"""),"Vaduz")</f>
        <v>Vaduz</v>
      </c>
      <c r="C201" s="2"/>
    </row>
    <row r="202">
      <c r="A202" s="2" t="str">
        <f>IFERROR(__xludf.DUMMYFUNCTION("""COMPUTED_VALUE"""),"Malte")</f>
        <v>Malte</v>
      </c>
      <c r="B202" s="2" t="str">
        <f>IFERROR(__xludf.DUMMYFUNCTION("""COMPUTED_VALUE"""),"La Valette")</f>
        <v>La Valette</v>
      </c>
      <c r="C202" s="2"/>
    </row>
    <row r="203">
      <c r="A203" s="2" t="str">
        <f>IFERROR(__xludf.DUMMYFUNCTION("""COMPUTED_VALUE"""),"Pologne")</f>
        <v>Pologne</v>
      </c>
      <c r="B203" s="2" t="str">
        <f>IFERROR(__xludf.DUMMYFUNCTION("""COMPUTED_VALUE"""),"Varsovie")</f>
        <v>Varsovie</v>
      </c>
      <c r="C203" s="2"/>
    </row>
    <row r="204">
      <c r="A204" s="2" t="str">
        <f>IFERROR(__xludf.DUMMYFUNCTION("""COMPUTED_VALUE"""),"Vatican[2]")</f>
        <v>Vatican[2]</v>
      </c>
      <c r="B204" s="2" t="str">
        <f>IFERROR(__xludf.DUMMYFUNCTION("""COMPUTED_VALUE"""),"Vatican")</f>
        <v>Vatican</v>
      </c>
      <c r="C204" s="2" t="str">
        <f>IFERROR(__xludf.DUMMYFUNCTION("""COMPUTED_VALUE"""),"Cité-État : le pays est sa propre capitale.")</f>
        <v>Cité-État : le pays est sa propre capitale.</v>
      </c>
    </row>
    <row r="205">
      <c r="A205" s="2" t="str">
        <f>IFERROR(__xludf.DUMMYFUNCTION("""COMPUTED_VALUE"""),"Seychelles")</f>
        <v>Seychelles</v>
      </c>
      <c r="B205" s="2" t="str">
        <f>IFERROR(__xludf.DUMMYFUNCTION("""COMPUTED_VALUE"""),"Victoria")</f>
        <v>Victoria</v>
      </c>
      <c r="C205" s="2"/>
    </row>
    <row r="206">
      <c r="A206" s="2" t="str">
        <f>IFERROR(__xludf.DUMMYFUNCTION("""COMPUTED_VALUE"""),"Autriche")</f>
        <v>Autriche</v>
      </c>
      <c r="B206" s="2" t="str">
        <f>IFERROR(__xludf.DUMMYFUNCTION("""COMPUTED_VALUE"""),"Vienne")</f>
        <v>Vienne</v>
      </c>
      <c r="C206" s="2"/>
    </row>
    <row r="207">
      <c r="A207" s="2" t="str">
        <f>IFERROR(__xludf.DUMMYFUNCTION("""COMPUTED_VALUE"""),"Laos")</f>
        <v>Laos</v>
      </c>
      <c r="B207" s="2" t="str">
        <f>IFERROR(__xludf.DUMMYFUNCTION("""COMPUTED_VALUE"""),"Vientiane")</f>
        <v>Vientiane</v>
      </c>
      <c r="C207" s="2"/>
    </row>
    <row r="208">
      <c r="A208" s="2" t="str">
        <f>IFERROR(__xludf.DUMMYFUNCTION("""COMPUTED_VALUE"""),"Lituanie")</f>
        <v>Lituanie</v>
      </c>
      <c r="B208" s="2" t="str">
        <f>IFERROR(__xludf.DUMMYFUNCTION("""COMPUTED_VALUE"""),"Vilnius")</f>
        <v>Vilnius</v>
      </c>
      <c r="C208" s="2"/>
    </row>
    <row r="209">
      <c r="A209" s="2" t="str">
        <f>IFERROR(__xludf.DUMMYFUNCTION("""COMPUTED_VALUE"""),"États-Unis")</f>
        <v>États-Unis</v>
      </c>
      <c r="B209" s="2" t="str">
        <f>IFERROR(__xludf.DUMMYFUNCTION("""COMPUTED_VALUE"""),"Washington")</f>
        <v>Washington</v>
      </c>
      <c r="C209" s="2"/>
    </row>
    <row r="210">
      <c r="A210" s="2" t="str">
        <f>IFERROR(__xludf.DUMMYFUNCTION("""COMPUTED_VALUE"""),"Nouvelle-Zélande")</f>
        <v>Nouvelle-Zélande</v>
      </c>
      <c r="B210" s="2" t="str">
        <f>IFERROR(__xludf.DUMMYFUNCTION("""COMPUTED_VALUE"""),"Wellington")</f>
        <v>Wellington</v>
      </c>
      <c r="C210" s="2"/>
    </row>
    <row r="211">
      <c r="A211" s="2" t="str">
        <f>IFERROR(__xludf.DUMMYFUNCTION("""COMPUTED_VALUE"""),"Namibie")</f>
        <v>Namibie</v>
      </c>
      <c r="B211" s="2" t="str">
        <f>IFERROR(__xludf.DUMMYFUNCTION("""COMPUTED_VALUE"""),"Windhoek")</f>
        <v>Windhoek</v>
      </c>
      <c r="C211" s="2"/>
    </row>
    <row r="212">
      <c r="A212" s="2" t="str">
        <f>IFERROR(__xludf.DUMMYFUNCTION("""COMPUTED_VALUE"""),"Côte d'Ivoire")</f>
        <v>Côte d'Ivoire</v>
      </c>
      <c r="B212" s="2" t="str">
        <f>IFERROR(__xludf.DUMMYFUNCTION("""COMPUTED_VALUE"""),"Yamoussoukro")</f>
        <v>Yamoussoukro</v>
      </c>
      <c r="C212" s="2" t="str">
        <f>IFERROR(__xludf.DUMMYFUNCTION("""COMPUTED_VALUE"""),"Selon l'IGN, Yamoussoukro est la capitale politique depuis 1983 ; 
l'ancienne capitale Abidjan demeure le siège des ambassades et compte 
toujours de nombreux bâtiments officiels.")</f>
        <v>Selon l'IGN, Yamoussoukro est la capitale politique depuis 1983 ; 
l'ancienne capitale Abidjan demeure le siège des ambassades et compte 
toujours de nombreux bâtiments officiels.</v>
      </c>
    </row>
    <row r="213">
      <c r="A213" s="2" t="str">
        <f>IFERROR(__xludf.DUMMYFUNCTION("""COMPUTED_VALUE"""),"Cameroun")</f>
        <v>Cameroun</v>
      </c>
      <c r="B213" s="2" t="str">
        <f>IFERROR(__xludf.DUMMYFUNCTION("""COMPUTED_VALUE"""),"Yaoundé")</f>
        <v>Yaoundé</v>
      </c>
      <c r="C213" s="2"/>
    </row>
    <row r="214">
      <c r="A214" s="2" t="str">
        <f>IFERROR(__xludf.DUMMYFUNCTION("""COMPUTED_VALUE"""),"Nauru")</f>
        <v>Nauru</v>
      </c>
      <c r="B214" s="2" t="str">
        <f>IFERROR(__xludf.DUMMYFUNCTION("""COMPUTED_VALUE"""),"Yaren(*de facto*)")</f>
        <v>Yaren(*de facto*)</v>
      </c>
      <c r="C214" s="2" t="str">
        <f>IFERROR(__xludf.DUMMYFUNCTION("""COMPUTED_VALUE"""),"Nauru ne compte aucune capitale officielle ; les institutions sont 
néanmoins situées à Yaren.")</f>
        <v>Nauru ne compte aucune capitale officielle ; les institutions sont 
néanmoins situées à Yaren.</v>
      </c>
    </row>
    <row r="215">
      <c r="A215" s="2" t="str">
        <f>IFERROR(__xludf.DUMMYFUNCTION("""COMPUTED_VALUE"""),"Croatie")</f>
        <v>Croatie</v>
      </c>
      <c r="B215" s="2" t="str">
        <f>IFERROR(__xludf.DUMMYFUNCTION("""COMPUTED_VALUE"""),"Zagreb")</f>
        <v>Zagreb</v>
      </c>
      <c r="C215" s="2"/>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tr">
        <f>IFERROR(__xludf.DUMMYFUNCTION("importhtml(""https://fr.wikipedia.org/wiki/C%C3%A9sar_du_meilleur_film"", ""table"")"),"Rang")</f>
        <v>Rang</v>
      </c>
      <c r="B1" s="2" t="str">
        <f>IFERROR(__xludf.DUMMYFUNCTION("""COMPUTED_VALUE"""),"Cérémonie")</f>
        <v>Cérémonie</v>
      </c>
      <c r="C1" s="2" t="str">
        <f>IFERROR(__xludf.DUMMYFUNCTION("""COMPUTED_VALUE"""),"César du meilleur film")</f>
        <v>César du meilleur film</v>
      </c>
      <c r="D1" s="2" t="str">
        <f>IFERROR(__xludf.DUMMYFUNCTION("""COMPUTED_VALUE"""),"Date de sortie")</f>
        <v>Date de sortie</v>
      </c>
      <c r="E1" s="2" t="str">
        <f>IFERROR(__xludf.DUMMYFUNCTION("""COMPUTED_VALUE"""),"Box-office France")</f>
        <v>Box-office France</v>
      </c>
    </row>
    <row r="2">
      <c r="A2" s="2" t="str">
        <f>IFERROR(__xludf.DUMMYFUNCTION("""COMPUTED_VALUE"""),"1er")</f>
        <v>1er</v>
      </c>
      <c r="B2" s="2">
        <f>IFERROR(__xludf.DUMMYFUNCTION("""COMPUTED_VALUE"""),1986.0)</f>
        <v>1986</v>
      </c>
      <c r="C2" s="2" t="str">
        <f>IFERROR(__xludf.DUMMYFUNCTION("""COMPUTED_VALUE"""),"*Trois Hommes et un couffin*")</f>
        <v>*Trois Hommes et un couffin*</v>
      </c>
      <c r="D2" s="2" t="str">
        <f>IFERROR(__xludf.DUMMYFUNCTION("""COMPUTED_VALUE"""),"18septembre1985")</f>
        <v>18septembre1985</v>
      </c>
      <c r="E2" s="2" t="str">
        <f>IFERROR(__xludf.DUMMYFUNCTION("""COMPUTED_VALUE"""),"10 251 465 entrées[4]")</f>
        <v>10 251 465 entrées[4]</v>
      </c>
    </row>
    <row r="3">
      <c r="A3" s="2" t="str">
        <f>IFERROR(__xludf.DUMMYFUNCTION("""COMPUTED_VALUE"""),"2e")</f>
        <v>2e</v>
      </c>
      <c r="B3" s="2">
        <f>IFERROR(__xludf.DUMMYFUNCTION("""COMPUTED_VALUE"""),2002.0)</f>
        <v>2002</v>
      </c>
      <c r="C3" s="2" t="str">
        <f>IFERROR(__xludf.DUMMYFUNCTION("""COMPUTED_VALUE"""),"*Le Fabuleux Destin d'Amélie Poulain*")</f>
        <v>*Le Fabuleux Destin d'Amélie Poulain*</v>
      </c>
      <c r="D3" s="2" t="str">
        <f>IFERROR(__xludf.DUMMYFUNCTION("""COMPUTED_VALUE"""),"25avril2001")</f>
        <v>25avril2001</v>
      </c>
      <c r="E3" s="2" t="str">
        <f>IFERROR(__xludf.DUMMYFUNCTION("""COMPUTED_VALUE"""),"8 636 041 entrées[5]")</f>
        <v>8 636 041 entrées[5]</v>
      </c>
      <c r="F3" s="1" t="s">
        <v>74</v>
      </c>
    </row>
    <row r="4">
      <c r="A4" s="2" t="str">
        <f>IFERROR(__xludf.DUMMYFUNCTION("""COMPUTED_VALUE"""),"3e")</f>
        <v>3e</v>
      </c>
      <c r="B4" s="2">
        <f>IFERROR(__xludf.DUMMYFUNCTION("""COMPUTED_VALUE"""),1985.0)</f>
        <v>1985</v>
      </c>
      <c r="C4" s="2" t="str">
        <f>IFERROR(__xludf.DUMMYFUNCTION("""COMPUTED_VALUE"""),"*Les Ripoux*")</f>
        <v>*Les Ripoux*</v>
      </c>
      <c r="D4" s="2" t="str">
        <f>IFERROR(__xludf.DUMMYFUNCTION("""COMPUTED_VALUE"""),"19septembre1984")</f>
        <v>19septembre1984</v>
      </c>
      <c r="E4" s="2" t="str">
        <f>IFERROR(__xludf.DUMMYFUNCTION("""COMPUTED_VALUE"""),"5 882 397 entrées[6]")</f>
        <v>5 882 397 entrées[6]</v>
      </c>
      <c r="I4" s="1" t="s">
        <v>868</v>
      </c>
    </row>
    <row r="5">
      <c r="A5" s="2" t="str">
        <f>IFERROR(__xludf.DUMMYFUNCTION("""COMPUTED_VALUE"""),"4e")</f>
        <v>4e</v>
      </c>
      <c r="B5" s="2">
        <f>IFERROR(__xludf.DUMMYFUNCTION("""COMPUTED_VALUE"""),1982.0)</f>
        <v>1982</v>
      </c>
      <c r="C5" s="2" t="str">
        <f>IFERROR(__xludf.DUMMYFUNCTION("""COMPUTED_VALUE"""),"*La Guerre du feu*")</f>
        <v>*La Guerre du feu*</v>
      </c>
      <c r="D5" s="2" t="str">
        <f>IFERROR(__xludf.DUMMYFUNCTION("""COMPUTED_VALUE"""),"16décembre1981")</f>
        <v>16décembre1981</v>
      </c>
      <c r="E5" s="2" t="str">
        <f>IFERROR(__xludf.DUMMYFUNCTION("""COMPUTED_VALUE"""),"4 950 005 entrées[7]")</f>
        <v>4 950 005 entrées[7]</v>
      </c>
    </row>
    <row r="6">
      <c r="A6" s="2" t="str">
        <f>IFERROR(__xludf.DUMMYFUNCTION("""COMPUTED_VALUE"""),"5e")</f>
        <v>5e</v>
      </c>
      <c r="B6" s="2">
        <f>IFERROR(__xludf.DUMMYFUNCTION("""COMPUTED_VALUE"""),1991.0)</f>
        <v>1991</v>
      </c>
      <c r="C6" s="2" t="str">
        <f>IFERROR(__xludf.DUMMYFUNCTION("""COMPUTED_VALUE"""),"*Cyrano de Bergerac*")</f>
        <v>*Cyrano de Bergerac*</v>
      </c>
      <c r="D6" s="2" t="str">
        <f>IFERROR(__xludf.DUMMYFUNCTION("""COMPUTED_VALUE"""),"28mars1990")</f>
        <v>28mars1990</v>
      </c>
      <c r="E6" s="2" t="str">
        <f>IFERROR(__xludf.DUMMYFUNCTION("""COMPUTED_VALUE"""),"4 732 136 entrées[8]")</f>
        <v>4 732 136 entrées[8]</v>
      </c>
    </row>
    <row r="7">
      <c r="A7" s="2" t="str">
        <f>IFERROR(__xludf.DUMMYFUNCTION("""COMPUTED_VALUE"""),"6e")</f>
        <v>6e</v>
      </c>
      <c r="B7" s="2">
        <f>IFERROR(__xludf.DUMMYFUNCTION("""COMPUTED_VALUE"""),1983.0)</f>
        <v>1983</v>
      </c>
      <c r="C7" s="2" t="str">
        <f>IFERROR(__xludf.DUMMYFUNCTION("""COMPUTED_VALUE"""),"*La Balance*")</f>
        <v>*La Balance*</v>
      </c>
      <c r="D7" s="2" t="str">
        <f>IFERROR(__xludf.DUMMYFUNCTION("""COMPUTED_VALUE"""),"10novembre1982")</f>
        <v>10novembre1982</v>
      </c>
      <c r="E7" s="2" t="str">
        <f>IFERROR(__xludf.DUMMYFUNCTION("""COMPUTED_VALUE"""),"4 192 189 entrées[9]")</f>
        <v>4 192 189 entrées[9]</v>
      </c>
    </row>
    <row r="8">
      <c r="A8" s="2" t="str">
        <f>IFERROR(__xludf.DUMMYFUNCTION("""COMPUTED_VALUE"""),"7e")</f>
        <v>7e</v>
      </c>
      <c r="B8" s="2">
        <f>IFERROR(__xludf.DUMMYFUNCTION("""COMPUTED_VALUE"""),2001.0)</f>
        <v>2001</v>
      </c>
      <c r="C8" s="2" t="str">
        <f>IFERROR(__xludf.DUMMYFUNCTION("""COMPUTED_VALUE"""),"*Le Goût des autres*")</f>
        <v>*Le Goût des autres*</v>
      </c>
      <c r="D8" s="2" t="str">
        <f>IFERROR(__xludf.DUMMYFUNCTION("""COMPUTED_VALUE"""),"1ermars2000")</f>
        <v>1ermars2000</v>
      </c>
      <c r="E8" s="2" t="str">
        <f>IFERROR(__xludf.DUMMYFUNCTION("""COMPUTED_VALUE"""),"3 859 151 entrées[10]")</f>
        <v>3 859 151 entrées[10]</v>
      </c>
    </row>
    <row r="9">
      <c r="A9" s="2" t="str">
        <f>IFERROR(__xludf.DUMMYFUNCTION("""COMPUTED_VALUE"""),"8e")</f>
        <v>8e</v>
      </c>
      <c r="B9" s="2">
        <f>IFERROR(__xludf.DUMMYFUNCTION("""COMPUTED_VALUE"""),1988.0)</f>
        <v>1988</v>
      </c>
      <c r="C9" s="2" t="str">
        <f>IFERROR(__xludf.DUMMYFUNCTION("""COMPUTED_VALUE"""),"*Au revoir les enfants*")</f>
        <v>*Au revoir les enfants*</v>
      </c>
      <c r="D9" s="2" t="str">
        <f>IFERROR(__xludf.DUMMYFUNCTION("""COMPUTED_VALUE"""),"7octobre1987")</f>
        <v>7octobre1987</v>
      </c>
      <c r="E9" s="2" t="str">
        <f>IFERROR(__xludf.DUMMYFUNCTION("""COMPUTED_VALUE"""),"3 488 460 entrées[11]")</f>
        <v>3 488 460 entrées[11]</v>
      </c>
    </row>
    <row r="10">
      <c r="A10" s="2" t="str">
        <f>IFERROR(__xludf.DUMMYFUNCTION("""COMPUTED_VALUE"""),"9e")</f>
        <v>9e</v>
      </c>
      <c r="B10" s="2">
        <f>IFERROR(__xludf.DUMMYFUNCTION("""COMPUTED_VALUE"""),1981.0)</f>
        <v>1981</v>
      </c>
      <c r="C10" s="2" t="str">
        <f>IFERROR(__xludf.DUMMYFUNCTION("""COMPUTED_VALUE"""),"*Le Dernier Métro*")</f>
        <v>*Le Dernier Métro*</v>
      </c>
      <c r="D10" s="2" t="str">
        <f>IFERROR(__xludf.DUMMYFUNCTION("""COMPUTED_VALUE"""),"17septembre1980")</f>
        <v>17septembre1980</v>
      </c>
      <c r="E10" s="2" t="str">
        <f>IFERROR(__xludf.DUMMYFUNCTION("""COMPUTED_VALUE"""),"3 384 045 entrées[12]")</f>
        <v>3 384 045 entrées[12]</v>
      </c>
      <c r="G10" s="1"/>
    </row>
    <row r="11">
      <c r="A11" s="2" t="str">
        <f>IFERROR(__xludf.DUMMYFUNCTION("""COMPUTED_VALUE"""),"10e")</f>
        <v>10e</v>
      </c>
      <c r="B11" s="2">
        <f>IFERROR(__xludf.DUMMYFUNCTION("""COMPUTED_VALUE"""),1976.0)</f>
        <v>1976</v>
      </c>
      <c r="C11" s="2" t="str">
        <f>IFERROR(__xludf.DUMMYFUNCTION("""COMPUTED_VALUE"""),"*Le Vieux Fusil*")</f>
        <v>*Le Vieux Fusil*</v>
      </c>
      <c r="D11" s="2" t="str">
        <f>IFERROR(__xludf.DUMMYFUNCTION("""COMPUTED_VALUE"""),"22aout1975")</f>
        <v>22aout1975</v>
      </c>
      <c r="E11" s="2" t="str">
        <f>IFERROR(__xludf.DUMMYFUNCTION("""COMPUTED_VALUE"""),"3 365 471 entrées[13]")</f>
        <v>3 365 471 entrées[13]</v>
      </c>
    </row>
    <row r="12">
      <c r="A12" s="2" t="str">
        <f>IFERROR(__xludf.DUMMYFUNCTION("""COMPUTED_VALUE"""),"11e")</f>
        <v>11e</v>
      </c>
      <c r="B12" s="2">
        <f>IFERROR(__xludf.DUMMYFUNCTION("""COMPUTED_VALUE"""),2011.0)</f>
        <v>2011</v>
      </c>
      <c r="C12" s="2" t="str">
        <f>IFERROR(__xludf.DUMMYFUNCTION("""COMPUTED_VALUE"""),"*Des hommes et des dieux*")</f>
        <v>*Des hommes et des dieux*</v>
      </c>
      <c r="D12" s="2" t="str">
        <f>IFERROR(__xludf.DUMMYFUNCTION("""COMPUTED_VALUE"""),"8septembre2010")</f>
        <v>8septembre2010</v>
      </c>
      <c r="E12" s="2" t="str">
        <f>IFERROR(__xludf.DUMMYFUNCTION("""COMPUTED_VALUE"""),"3 204 147 entrées[14]")</f>
        <v>3 204 147 entrées[14]</v>
      </c>
    </row>
    <row r="13">
      <c r="A13" s="2" t="str">
        <f>IFERROR(__xludf.DUMMYFUNCTION("""COMPUTED_VALUE"""),"12e")</f>
        <v>12e</v>
      </c>
      <c r="B13" s="2">
        <f>IFERROR(__xludf.DUMMYFUNCTION("""COMPUTED_VALUE"""),2012.0)</f>
        <v>2012</v>
      </c>
      <c r="C13" s="2" t="str">
        <f>IFERROR(__xludf.DUMMYFUNCTION("""COMPUTED_VALUE"""),"*The Artist*")</f>
        <v>*The Artist*</v>
      </c>
      <c r="D13" s="2" t="str">
        <f>IFERROR(__xludf.DUMMYFUNCTION("""COMPUTED_VALUE"""),"12octobre2011")</f>
        <v>12octobre2011</v>
      </c>
      <c r="E13" s="2" t="str">
        <f>IFERROR(__xludf.DUMMYFUNCTION("""COMPUTED_VALUE"""),"3 064 827 entrées[15]")</f>
        <v>3 064 827 entrées[15]</v>
      </c>
    </row>
    <row r="14">
      <c r="A14" s="2" t="str">
        <f>IFERROR(__xludf.DUMMYFUNCTION("""COMPUTED_VALUE"""),"13e")</f>
        <v>13e</v>
      </c>
      <c r="B14" s="2">
        <f>IFERROR(__xludf.DUMMYFUNCTION("""COMPUTED_VALUE"""),2014.0)</f>
        <v>2014</v>
      </c>
      <c r="C14" s="2" t="str">
        <f>IFERROR(__xludf.DUMMYFUNCTION("""COMPUTED_VALUE"""),"*Les Garçons et Guillaume, à table !*")</f>
        <v>*Les Garçons et Guillaume, à table !*</v>
      </c>
      <c r="D14" s="2" t="str">
        <f>IFERROR(__xludf.DUMMYFUNCTION("""COMPUTED_VALUE"""),"20novembre2013")</f>
        <v>20novembre2013</v>
      </c>
      <c r="E14" s="2" t="str">
        <f>IFERROR(__xludf.DUMMYFUNCTION("""COMPUTED_VALUE"""),"2 896 319 entrées[16]")</f>
        <v>2 896 319 entrées[16]</v>
      </c>
    </row>
    <row r="15">
      <c r="A15" s="2" t="str">
        <f>IFERROR(__xludf.DUMMYFUNCTION("""COMPUTED_VALUE"""),"14e")</f>
        <v>14e</v>
      </c>
      <c r="B15" s="2">
        <f>IFERROR(__xludf.DUMMYFUNCTION("""COMPUTED_VALUE"""),1993.0)</f>
        <v>1993</v>
      </c>
      <c r="C15" s="2" t="str">
        <f>IFERROR(__xludf.DUMMYFUNCTION("""COMPUTED_VALUE"""),"*Les Nuits fauves*")</f>
        <v>*Les Nuits fauves*</v>
      </c>
      <c r="D15" s="2" t="str">
        <f>IFERROR(__xludf.DUMMYFUNCTION("""COMPUTED_VALUE"""),"21octobre1992")</f>
        <v>21octobre1992</v>
      </c>
      <c r="E15" s="2" t="str">
        <f>IFERROR(__xludf.DUMMYFUNCTION("""COMPUTED_VALUE"""),"2 811 124 entrées [17]")</f>
        <v>2 811 124 entrées [17]</v>
      </c>
    </row>
    <row r="16">
      <c r="A16" s="2" t="str">
        <f>IFERROR(__xludf.DUMMYFUNCTION("""COMPUTED_VALUE"""),"15e")</f>
        <v>15e</v>
      </c>
      <c r="B16" s="2">
        <f>IFERROR(__xludf.DUMMYFUNCTION("""COMPUTED_VALUE"""),1989.0)</f>
        <v>1989</v>
      </c>
      <c r="C16" s="2" t="str">
        <f>IFERROR(__xludf.DUMMYFUNCTION("""COMPUTED_VALUE"""),"*Camille Claudel*")</f>
        <v>*Camille Claudel*</v>
      </c>
      <c r="D16" s="2" t="str">
        <f>IFERROR(__xludf.DUMMYFUNCTION("""COMPUTED_VALUE"""),"7décembre1988")</f>
        <v>7décembre1988</v>
      </c>
      <c r="E16" s="2" t="str">
        <f>IFERROR(__xludf.DUMMYFUNCTION("""COMPUTED_VALUE"""),"2 717 136 entrées[18]")</f>
        <v>2 717 136 entrées[18]</v>
      </c>
    </row>
    <row r="17">
      <c r="A17" s="2" t="str">
        <f>IFERROR(__xludf.DUMMYFUNCTION("""COMPUTED_VALUE"""),"16e")</f>
        <v>16e</v>
      </c>
      <c r="B17" s="2">
        <f>IFERROR(__xludf.DUMMYFUNCTION("""COMPUTED_VALUE"""),1998.0)</f>
        <v>1998</v>
      </c>
      <c r="C17" s="2" t="str">
        <f>IFERROR(__xludf.DUMMYFUNCTION("""COMPUTED_VALUE"""),"*On connaît la chanson*")</f>
        <v>*On connaît la chanson*</v>
      </c>
      <c r="D17" s="2" t="str">
        <f>IFERROR(__xludf.DUMMYFUNCTION("""COMPUTED_VALUE"""),"12novembre1997")</f>
        <v>12novembre1997</v>
      </c>
      <c r="E17" s="2" t="str">
        <f>IFERROR(__xludf.DUMMYFUNCTION("""COMPUTED_VALUE"""),"2 649 299 entrées[19]")</f>
        <v>2 649 299 entrées[19]</v>
      </c>
    </row>
    <row r="18">
      <c r="A18" s="2" t="str">
        <f>IFERROR(__xludf.DUMMYFUNCTION("""COMPUTED_VALUE"""),"17e")</f>
        <v>17e</v>
      </c>
      <c r="B18" s="2">
        <f>IFERROR(__xludf.DUMMYFUNCTION("""COMPUTED_VALUE"""),2020.0)</f>
        <v>2020</v>
      </c>
      <c r="C18" s="2" t="str">
        <f>IFERROR(__xludf.DUMMYFUNCTION("""COMPUTED_VALUE"""),"*Les Misérables*")</f>
        <v>*Les Misérables*</v>
      </c>
      <c r="D18" s="2" t="str">
        <f>IFERROR(__xludf.DUMMYFUNCTION("""COMPUTED_VALUE"""),"20 novembre 2019")</f>
        <v>20 novembre 2019</v>
      </c>
      <c r="E18" s="2" t="str">
        <f>IFERROR(__xludf.DUMMYFUNCTION("""COMPUTED_VALUE"""),"2 181 860 entrées[20]")</f>
        <v>2 181 860 entrées[20]</v>
      </c>
    </row>
    <row r="19">
      <c r="A19" s="2" t="str">
        <f>IFERROR(__xludf.DUMMYFUNCTION("""COMPUTED_VALUE"""),"18e")</f>
        <v>18e</v>
      </c>
      <c r="B19" s="2">
        <f>IFERROR(__xludf.DUMMYFUNCTION("""COMPUTED_VALUE"""),1992.0)</f>
        <v>1992</v>
      </c>
      <c r="C19" s="2" t="str">
        <f>IFERROR(__xludf.DUMMYFUNCTION("""COMPUTED_VALUE"""),"*Tous les matins du monde*")</f>
        <v>*Tous les matins du monde*</v>
      </c>
      <c r="D19" s="2" t="str">
        <f>IFERROR(__xludf.DUMMYFUNCTION("""COMPUTED_VALUE"""),"18décembre1991")</f>
        <v>18décembre1991</v>
      </c>
      <c r="E19" s="2" t="str">
        <f>IFERROR(__xludf.DUMMYFUNCTION("""COMPUTED_VALUE"""),"2 152 966 entrées[21]")</f>
        <v>2 152 966 entrées[21]</v>
      </c>
    </row>
    <row r="20">
      <c r="A20" s="2" t="str">
        <f>IFERROR(__xludf.DUMMYFUNCTION("""COMPUTED_VALUE"""),"19e")</f>
        <v>19e</v>
      </c>
      <c r="B20" s="2">
        <f>IFERROR(__xludf.DUMMYFUNCTION("""COMPUTED_VALUE"""),1997.0)</f>
        <v>1997</v>
      </c>
      <c r="C20" s="2" t="str">
        <f>IFERROR(__xludf.DUMMYFUNCTION("""COMPUTED_VALUE"""),"*Ridicule*")</f>
        <v>*Ridicule*</v>
      </c>
      <c r="D20" s="2" t="str">
        <f>IFERROR(__xludf.DUMMYFUNCTION("""COMPUTED_VALUE"""),"9mai1996")</f>
        <v>9mai1996</v>
      </c>
      <c r="E20" s="2" t="str">
        <f>IFERROR(__xludf.DUMMYFUNCTION("""COMPUTED_VALUE"""),"2 064 010 entrées[22]")</f>
        <v>2 064 010 entrées[22]</v>
      </c>
    </row>
    <row r="21">
      <c r="A21" s="2" t="str">
        <f>IFERROR(__xludf.DUMMYFUNCTION("""COMPUTED_VALUE"""),"20e")</f>
        <v>20e</v>
      </c>
      <c r="B21" s="2">
        <f>IFERROR(__xludf.DUMMYFUNCTION("""COMPUTED_VALUE"""),1996.0)</f>
        <v>1996</v>
      </c>
      <c r="C21" s="2" t="str">
        <f>IFERROR(__xludf.DUMMYFUNCTION("""COMPUTED_VALUE"""),"*La Haine*")</f>
        <v>*La Haine*</v>
      </c>
      <c r="D21" s="2" t="str">
        <f>IFERROR(__xludf.DUMMYFUNCTION("""COMPUTED_VALUE"""),"31mai1995")</f>
        <v>31mai1995</v>
      </c>
      <c r="E21" s="2" t="str">
        <f>IFERROR(__xludf.DUMMYFUNCTION("""COMPUTED_VALUE"""),"2 042 070 entrées[23]")</f>
        <v>2 042 070 entrées[23]</v>
      </c>
    </row>
    <row r="22">
      <c r="A22" s="2" t="str">
        <f>IFERROR(__xludf.DUMMYFUNCTION("""COMPUTED_VALUE"""),"21e")</f>
        <v>21e</v>
      </c>
      <c r="B22" s="2">
        <f>IFERROR(__xludf.DUMMYFUNCTION("""COMPUTED_VALUE"""),1990.0)</f>
        <v>1990</v>
      </c>
      <c r="C22" s="2" t="str">
        <f>IFERROR(__xludf.DUMMYFUNCTION("""COMPUTED_VALUE"""),"*Trop belle pour toi*")</f>
        <v>*Trop belle pour toi*</v>
      </c>
      <c r="D22" s="2" t="str">
        <f>IFERROR(__xludf.DUMMYFUNCTION("""COMPUTED_VALUE"""),"12mai1989")</f>
        <v>12mai1989</v>
      </c>
      <c r="E22" s="2" t="str">
        <f>IFERROR(__xludf.DUMMYFUNCTION("""COMPUTED_VALUE"""),"2 031 131 entrées[24]")</f>
        <v>2 031 131 entrées[24]</v>
      </c>
      <c r="I22" s="1" t="s">
        <v>74</v>
      </c>
    </row>
    <row r="23">
      <c r="A23" s="2" t="str">
        <f>IFERROR(__xludf.DUMMYFUNCTION("""COMPUTED_VALUE"""),"22e")</f>
        <v>22e</v>
      </c>
      <c r="B23" s="2">
        <f>IFERROR(__xludf.DUMMYFUNCTION("""COMPUTED_VALUE"""),2021.0)</f>
        <v>2021</v>
      </c>
      <c r="C23" s="2" t="str">
        <f>IFERROR(__xludf.DUMMYFUNCTION("""COMPUTED_VALUE"""),"*Adieu les cons*")</f>
        <v>*Adieu les cons*</v>
      </c>
      <c r="D23" s="2" t="str">
        <f>IFERROR(__xludf.DUMMYFUNCTION("""COMPUTED_VALUE"""),"21 octobre 2020")</f>
        <v>21 octobre 2020</v>
      </c>
      <c r="E23" s="2" t="str">
        <f>IFERROR(__xludf.DUMMYFUNCTION("""COMPUTED_VALUE"""),"1 993 197 entrées[25]")</f>
        <v>1 993 197 entrées[25]</v>
      </c>
    </row>
    <row r="24">
      <c r="A24" s="2" t="str">
        <f>IFERROR(__xludf.DUMMYFUNCTION("""COMPUTED_VALUE"""),"23e")</f>
        <v>23e</v>
      </c>
      <c r="B24" s="2">
        <f>IFERROR(__xludf.DUMMYFUNCTION("""COMPUTED_VALUE"""),2024.0)</f>
        <v>2024</v>
      </c>
      <c r="C24" s="14" t="str">
        <f>IFERROR(__xludf.DUMMYFUNCTION("""COMPUTED_VALUE"""),"*Anatomie d'une chute*")</f>
        <v>*Anatomie d'une chute*</v>
      </c>
      <c r="D24" s="2" t="str">
        <f>IFERROR(__xludf.DUMMYFUNCTION("""COMPUTED_VALUE"""),"23 août 2023")</f>
        <v>23 août 2023</v>
      </c>
      <c r="E24" s="2" t="str">
        <f>IFERROR(__xludf.DUMMYFUNCTION("""COMPUTED_VALUE"""),"1 907 961 entrées[26]")</f>
        <v>1 907 961 entrées[26]</v>
      </c>
    </row>
    <row r="25">
      <c r="A25" s="2" t="str">
        <f>IFERROR(__xludf.DUMMYFUNCTION("""COMPUTED_VALUE"""),"24e")</f>
        <v>24e</v>
      </c>
      <c r="B25" s="2">
        <f>IFERROR(__xludf.DUMMYFUNCTION("""COMPUTED_VALUE"""),1980.0)</f>
        <v>1980</v>
      </c>
      <c r="C25" s="2" t="str">
        <f>IFERROR(__xludf.DUMMYFUNCTION("""COMPUTED_VALUE"""),"*Tess*")</f>
        <v>*Tess*</v>
      </c>
      <c r="D25" s="2" t="str">
        <f>IFERROR(__xludf.DUMMYFUNCTION("""COMPUTED_VALUE"""),"31octobre1979")</f>
        <v>31octobre1979</v>
      </c>
      <c r="E25" s="2" t="str">
        <f>IFERROR(__xludf.DUMMYFUNCTION("""COMPUTED_VALUE"""),"1 912 948 entrées[27]")</f>
        <v>1 912 948 entrées[27]</v>
      </c>
    </row>
    <row r="26">
      <c r="A26" s="2" t="str">
        <f>IFERROR(__xludf.DUMMYFUNCTION("""COMPUTED_VALUE"""),"25e")</f>
        <v>25e</v>
      </c>
      <c r="B26" s="2">
        <f>IFERROR(__xludf.DUMMYFUNCTION("""COMPUTED_VALUE"""),2003.0)</f>
        <v>2003</v>
      </c>
      <c r="C26" s="2" t="str">
        <f>IFERROR(__xludf.DUMMYFUNCTION("""COMPUTED_VALUE"""),"*Le Pianiste*")</f>
        <v>*Le Pianiste*</v>
      </c>
      <c r="D26" s="2" t="str">
        <f>IFERROR(__xludf.DUMMYFUNCTION("""COMPUTED_VALUE"""),"25septembre2002")</f>
        <v>25septembre2002</v>
      </c>
      <c r="E26" s="2" t="str">
        <f>IFERROR(__xludf.DUMMYFUNCTION("""COMPUTED_VALUE"""),"1 594 548 entrées[28]")</f>
        <v>1 594 548 entrées[28]</v>
      </c>
    </row>
    <row r="27">
      <c r="A27" s="2" t="str">
        <f>IFERROR(__xludf.DUMMYFUNCTION("""COMPUTED_VALUE"""),"26e")</f>
        <v>26e</v>
      </c>
      <c r="B27" s="2">
        <f>IFERROR(__xludf.DUMMYFUNCTION("""COMPUTED_VALUE"""),1987.0)</f>
        <v>1987</v>
      </c>
      <c r="C27" s="2" t="str">
        <f>IFERROR(__xludf.DUMMYFUNCTION("""COMPUTED_VALUE"""),"*Thérèse*")</f>
        <v>*Thérèse*</v>
      </c>
      <c r="D27" s="2" t="str">
        <f>IFERROR(__xludf.DUMMYFUNCTION("""COMPUTED_VALUE"""),"24septembre1986")</f>
        <v>24septembre1986</v>
      </c>
      <c r="E27" s="2" t="str">
        <f>IFERROR(__xludf.DUMMYFUNCTION("""COMPUTED_VALUE"""),"1 474 268 entrées[29]")</f>
        <v>1 474 268 entrées[29]</v>
      </c>
    </row>
    <row r="28">
      <c r="A28" s="2" t="str">
        <f>IFERROR(__xludf.DUMMYFUNCTION("""COMPUTED_VALUE"""),"27e")</f>
        <v>27e</v>
      </c>
      <c r="B28" s="2">
        <f>IFERROR(__xludf.DUMMYFUNCTION("""COMPUTED_VALUE"""),1999.0)</f>
        <v>1999</v>
      </c>
      <c r="C28" s="2" t="str">
        <f>IFERROR(__xludf.DUMMYFUNCTION("""COMPUTED_VALUE"""),"*La Vie rêvée des anges*")</f>
        <v>*La Vie rêvée des anges*</v>
      </c>
      <c r="D28" s="2" t="str">
        <f>IFERROR(__xludf.DUMMYFUNCTION("""COMPUTED_VALUE"""),"16septembre1998")</f>
        <v>16septembre1998</v>
      </c>
      <c r="E28" s="2" t="str">
        <f>IFERROR(__xludf.DUMMYFUNCTION("""COMPUTED_VALUE"""),"1 456 456 entrées[30]")</f>
        <v>1 456 456 entrées[30]</v>
      </c>
    </row>
    <row r="29">
      <c r="A29" s="2" t="str">
        <f>IFERROR(__xludf.DUMMYFUNCTION("""COMPUTED_VALUE"""),"28e")</f>
        <v>28e</v>
      </c>
      <c r="B29" s="2">
        <f>IFERROR(__xludf.DUMMYFUNCTION("""COMPUTED_VALUE"""),2000.0)</f>
        <v>2000</v>
      </c>
      <c r="C29" s="2" t="str">
        <f>IFERROR(__xludf.DUMMYFUNCTION("""COMPUTED_VALUE"""),"*Vénus Beauté (Institut)*")</f>
        <v>*Vénus Beauté (Institut)*</v>
      </c>
      <c r="D29" s="2" t="str">
        <f>IFERROR(__xludf.DUMMYFUNCTION("""COMPUTED_VALUE"""),"3février1999")</f>
        <v>3février1999</v>
      </c>
      <c r="E29" s="2" t="str">
        <f>IFERROR(__xludf.DUMMYFUNCTION("""COMPUTED_VALUE"""),"1 327 798 entrées[31]")</f>
        <v>1 327 798 entrées[31]</v>
      </c>
    </row>
    <row r="30">
      <c r="A30" s="2" t="str">
        <f>IFERROR(__xludf.DUMMYFUNCTION("""COMPUTED_VALUE"""),"29e")</f>
        <v>29e</v>
      </c>
      <c r="B30" s="2">
        <f>IFERROR(__xludf.DUMMYFUNCTION("""COMPUTED_VALUE"""),2004.0)</f>
        <v>2004</v>
      </c>
      <c r="C30" s="2" t="str">
        <f>IFERROR(__xludf.DUMMYFUNCTION("""COMPUTED_VALUE"""),"*Les Invasions barbares*")</f>
        <v>*Les Invasions barbares*</v>
      </c>
      <c r="D30" s="2" t="str">
        <f>IFERROR(__xludf.DUMMYFUNCTION("""COMPUTED_VALUE"""),"24septembre2003")</f>
        <v>24septembre2003</v>
      </c>
      <c r="E30" s="2" t="str">
        <f>IFERROR(__xludf.DUMMYFUNCTION("""COMPUTED_VALUE"""),"1 311 204 entrées[32]")</f>
        <v>1 311 204 entrées[32]</v>
      </c>
    </row>
    <row r="31">
      <c r="A31" s="2" t="str">
        <f>IFERROR(__xludf.DUMMYFUNCTION("""COMPUTED_VALUE"""),"30e")</f>
        <v>30e</v>
      </c>
      <c r="B31" s="2">
        <f>IFERROR(__xludf.DUMMYFUNCTION("""COMPUTED_VALUE"""),2010.0)</f>
        <v>2010</v>
      </c>
      <c r="C31" s="2" t="str">
        <f>IFERROR(__xludf.DUMMYFUNCTION("""COMPUTED_VALUE"""),"*Un prophète*")</f>
        <v>*Un prophète*</v>
      </c>
      <c r="D31" s="2" t="str">
        <f>IFERROR(__xludf.DUMMYFUNCTION("""COMPUTED_VALUE"""),"26août2009")</f>
        <v>26août2009</v>
      </c>
      <c r="E31" s="2" t="str">
        <f>IFERROR(__xludf.DUMMYFUNCTION("""COMPUTED_VALUE"""),"1 309 269 entrées[33]")</f>
        <v>1 309 269 entrées[33]</v>
      </c>
    </row>
    <row r="32">
      <c r="A32" s="2" t="str">
        <f>IFERROR(__xludf.DUMMYFUNCTION("""COMPUTED_VALUE"""),"31e")</f>
        <v>31e</v>
      </c>
      <c r="B32" s="2">
        <f>IFERROR(__xludf.DUMMYFUNCTION("""COMPUTED_VALUE"""),2006.0)</f>
        <v>2006</v>
      </c>
      <c r="C32" s="2" t="str">
        <f>IFERROR(__xludf.DUMMYFUNCTION("""COMPUTED_VALUE"""),"*De battre mon cœur s'est arrêté*")</f>
        <v>*De battre mon cœur s'est arrêté*</v>
      </c>
      <c r="D32" s="2" t="str">
        <f>IFERROR(__xludf.DUMMYFUNCTION("""COMPUTED_VALUE"""),"16mars2005")</f>
        <v>16mars2005</v>
      </c>
      <c r="E32" s="2" t="str">
        <f>IFERROR(__xludf.DUMMYFUNCTION("""COMPUTED_VALUE"""),"1 231 156 entrées[34]")</f>
        <v>1 231 156 entrées[34]</v>
      </c>
    </row>
    <row r="33">
      <c r="A33" s="2" t="str">
        <f>IFERROR(__xludf.DUMMYFUNCTION("""COMPUTED_VALUE"""),"32e")</f>
        <v>32e</v>
      </c>
      <c r="B33" s="2">
        <f>IFERROR(__xludf.DUMMYFUNCTION("""COMPUTED_VALUE"""),2025.0)</f>
        <v>2025</v>
      </c>
      <c r="C33" s="2" t="str">
        <f>IFERROR(__xludf.DUMMYFUNCTION("""COMPUTED_VALUE"""),"*Emilia Pérez*")</f>
        <v>*Emilia Pérez*</v>
      </c>
      <c r="D33" s="2" t="str">
        <f>IFERROR(__xludf.DUMMYFUNCTION("""COMPUTED_VALUE"""),"12 août 2024")</f>
        <v>12 août 2024</v>
      </c>
      <c r="E33" s="2" t="str">
        <f>IFERROR(__xludf.DUMMYFUNCTION("""COMPUTED_VALUE"""),"1 190 420[35]")</f>
        <v>1 190 420[35]</v>
      </c>
    </row>
    <row r="34">
      <c r="A34" s="2" t="str">
        <f>IFERROR(__xludf.DUMMYFUNCTION("""COMPUTED_VALUE"""),"33e")</f>
        <v>33e</v>
      </c>
      <c r="B34" s="2">
        <f>IFERROR(__xludf.DUMMYFUNCTION("""COMPUTED_VALUE"""),2015.0)</f>
        <v>2015</v>
      </c>
      <c r="C34" s="2" t="str">
        <f>IFERROR(__xludf.DUMMYFUNCTION("""COMPUTED_VALUE"""),"*Timbuktu*")</f>
        <v>*Timbuktu*</v>
      </c>
      <c r="D34" s="2" t="str">
        <f>IFERROR(__xludf.DUMMYFUNCTION("""COMPUTED_VALUE"""),"10 décembre 2014")</f>
        <v>10 décembre 2014</v>
      </c>
      <c r="E34" s="2" t="str">
        <f>IFERROR(__xludf.DUMMYFUNCTION("""COMPUTED_VALUE"""),"1 080 465 entrées[36]")</f>
        <v>1 080 465 entrées[36]</v>
      </c>
    </row>
    <row r="35">
      <c r="A35" s="2" t="str">
        <f>IFERROR(__xludf.DUMMYFUNCTION("""COMPUTED_VALUE"""),"34e")</f>
        <v>34e</v>
      </c>
      <c r="B35" s="2">
        <f>IFERROR(__xludf.DUMMYFUNCTION("""COMPUTED_VALUE"""),2008.0)</f>
        <v>2008</v>
      </c>
      <c r="C35" s="2" t="str">
        <f>IFERROR(__xludf.DUMMYFUNCTION("""COMPUTED_VALUE"""),"*La Graine et le Mulet*")</f>
        <v>*La Graine et le Mulet*</v>
      </c>
      <c r="D35" s="2" t="str">
        <f>IFERROR(__xludf.DUMMYFUNCTION("""COMPUTED_VALUE"""),"12septembre2007")</f>
        <v>12septembre2007</v>
      </c>
      <c r="E35" s="2" t="str">
        <f>IFERROR(__xludf.DUMMYFUNCTION("""COMPUTED_VALUE"""),"1 010 910 entrées[37]")</f>
        <v>1 010 910 entrées[37]</v>
      </c>
    </row>
    <row r="36">
      <c r="A36" s="2" t="str">
        <f>IFERROR(__xludf.DUMMYFUNCTION("""COMPUTED_VALUE"""),"35e")</f>
        <v>35e</v>
      </c>
      <c r="B36" s="2">
        <f>IFERROR(__xludf.DUMMYFUNCTION("""COMPUTED_VALUE"""),1979.0)</f>
        <v>1979</v>
      </c>
      <c r="C36" s="2" t="str">
        <f>IFERROR(__xludf.DUMMYFUNCTION("""COMPUTED_VALUE"""),"*L'Argent des autres*")</f>
        <v>*L'Argent des autres*</v>
      </c>
      <c r="D36" s="2" t="str">
        <f>IFERROR(__xludf.DUMMYFUNCTION("""COMPUTED_VALUE"""),"27septembre1978")</f>
        <v>27septembre1978</v>
      </c>
      <c r="E36" s="2" t="str">
        <f>IFERROR(__xludf.DUMMYFUNCTION("""COMPUTED_VALUE"""),"1 007 967 entrées[38]")</f>
        <v>1 007 967 entrées[38]</v>
      </c>
    </row>
    <row r="37">
      <c r="A37" s="2" t="str">
        <f>IFERROR(__xludf.DUMMYFUNCTION("""COMPUTED_VALUE"""),"36e")</f>
        <v>36e</v>
      </c>
      <c r="B37" s="2">
        <f>IFERROR(__xludf.DUMMYFUNCTION("""COMPUTED_VALUE"""),2022.0)</f>
        <v>2022</v>
      </c>
      <c r="C37" s="2" t="str">
        <f>IFERROR(__xludf.DUMMYFUNCTION("""COMPUTED_VALUE"""),"*Illusions perdues*")</f>
        <v>*Illusions perdues*</v>
      </c>
      <c r="D37" s="2" t="str">
        <f>IFERROR(__xludf.DUMMYFUNCTION("""COMPUTED_VALUE"""),"20octobre2021")</f>
        <v>20octobre2021</v>
      </c>
      <c r="E37" s="2" t="str">
        <f>IFERROR(__xludf.DUMMYFUNCTION("""COMPUTED_VALUE"""),"991 397 entrées[39]")</f>
        <v>991 397 entrées[39]</v>
      </c>
    </row>
    <row r="38">
      <c r="A38" s="2" t="str">
        <f>IFERROR(__xludf.DUMMYFUNCTION("""COMPUTED_VALUE"""),"37e")</f>
        <v>37e</v>
      </c>
      <c r="B38" s="2">
        <f>IFERROR(__xludf.DUMMYFUNCTION("""COMPUTED_VALUE"""),1984.0)</f>
        <v>1984</v>
      </c>
      <c r="C38" s="2" t="str">
        <f>IFERROR(__xludf.DUMMYFUNCTION("""COMPUTED_VALUE"""),"*À nos amours*")</f>
        <v>*À nos amours*</v>
      </c>
      <c r="D38" s="2" t="str">
        <f>IFERROR(__xludf.DUMMYFUNCTION("""COMPUTED_VALUE"""),"16novembre1983")</f>
        <v>16novembre1983</v>
      </c>
      <c r="E38" s="2" t="str">
        <f>IFERROR(__xludf.DUMMYFUNCTION("""COMPUTED_VALUE"""),"952 082 entrées[40]")</f>
        <v>952 082 entrées[40]</v>
      </c>
    </row>
    <row r="39">
      <c r="A39" s="2" t="str">
        <f>IFERROR(__xludf.DUMMYFUNCTION("""COMPUTED_VALUE"""),"38e")</f>
        <v>38e</v>
      </c>
      <c r="B39" s="2">
        <f>IFERROR(__xludf.DUMMYFUNCTION("""COMPUTED_VALUE"""),1984.0)</f>
        <v>1984</v>
      </c>
      <c r="C39" s="2" t="str">
        <f>IFERROR(__xludf.DUMMYFUNCTION("""COMPUTED_VALUE"""),"*Le Bal*")</f>
        <v>*Le Bal*</v>
      </c>
      <c r="D39" s="2" t="str">
        <f>IFERROR(__xludf.DUMMYFUNCTION("""COMPUTED_VALUE"""),"21 décembre 1983")</f>
        <v>21 décembre 1983</v>
      </c>
      <c r="E39" s="2" t="str">
        <f>IFERROR(__xludf.DUMMYFUNCTION("""COMPUTED_VALUE"""),"834 962 entrées[41]")</f>
        <v>834 962 entrées[41]</v>
      </c>
    </row>
    <row r="40">
      <c r="A40" s="2" t="str">
        <f>IFERROR(__xludf.DUMMYFUNCTION("""COMPUTED_VALUE"""),"39e")</f>
        <v>39e</v>
      </c>
      <c r="B40" s="2">
        <f>IFERROR(__xludf.DUMMYFUNCTION("""COMPUTED_VALUE"""),2018.0)</f>
        <v>2018</v>
      </c>
      <c r="C40" s="2" t="str">
        <f>IFERROR(__xludf.DUMMYFUNCTION("""COMPUTED_VALUE"""),"*120 Battements par minute*")</f>
        <v>*120 Battements par minute*</v>
      </c>
      <c r="D40" s="2" t="str">
        <f>IFERROR(__xludf.DUMMYFUNCTION("""COMPUTED_VALUE"""),"23août2017")</f>
        <v>23août2017</v>
      </c>
      <c r="E40" s="2" t="str">
        <f>IFERROR(__xludf.DUMMYFUNCTION("""COMPUTED_VALUE"""),"834 738 entrées [42]")</f>
        <v>834 738 entrées [42]</v>
      </c>
    </row>
    <row r="41">
      <c r="A41" s="2" t="str">
        <f>IFERROR(__xludf.DUMMYFUNCTION("""COMPUTED_VALUE"""),"40e")</f>
        <v>40e</v>
      </c>
      <c r="B41" s="2">
        <f>IFERROR(__xludf.DUMMYFUNCTION("""COMPUTED_VALUE"""),2009.0)</f>
        <v>2009</v>
      </c>
      <c r="C41" s="2" t="str">
        <f>IFERROR(__xludf.DUMMYFUNCTION("""COMPUTED_VALUE"""),"*Séraphine*")</f>
        <v>*Séraphine*</v>
      </c>
      <c r="D41" s="2" t="str">
        <f>IFERROR(__xludf.DUMMYFUNCTION("""COMPUTED_VALUE"""),"1eroctobre2008")</f>
        <v>1eroctobre2008</v>
      </c>
      <c r="E41" s="2" t="str">
        <f>IFERROR(__xludf.DUMMYFUNCTION("""COMPUTED_VALUE"""),"821 481 entrées [43]")</f>
        <v>821 481 entrées [43]</v>
      </c>
    </row>
    <row r="42">
      <c r="A42" s="2" t="str">
        <f>IFERROR(__xludf.DUMMYFUNCTION("""COMPUTED_VALUE"""),"41e")</f>
        <v>41e</v>
      </c>
      <c r="B42" s="2">
        <f>IFERROR(__xludf.DUMMYFUNCTION("""COMPUTED_VALUE"""),2013.0)</f>
        <v>2013</v>
      </c>
      <c r="C42" s="2" t="str">
        <f>IFERROR(__xludf.DUMMYFUNCTION("""COMPUTED_VALUE"""),"*Amour*")</f>
        <v>*Amour*</v>
      </c>
      <c r="D42" s="2" t="str">
        <f>IFERROR(__xludf.DUMMYFUNCTION("""COMPUTED_VALUE"""),"24octobre2012")</f>
        <v>24octobre2012</v>
      </c>
      <c r="E42" s="2" t="str">
        <f>IFERROR(__xludf.DUMMYFUNCTION("""COMPUTED_VALUE"""),"767 418 entrées[44]")</f>
        <v>767 418 entrées[44]</v>
      </c>
    </row>
    <row r="43">
      <c r="A43" s="2" t="str">
        <f>IFERROR(__xludf.DUMMYFUNCTION("""COMPUTED_VALUE"""),"42e")</f>
        <v>42e</v>
      </c>
      <c r="B43" s="2">
        <f>IFERROR(__xludf.DUMMYFUNCTION("""COMPUTED_VALUE"""),1994.0)</f>
        <v>1994</v>
      </c>
      <c r="C43" s="2" t="str">
        <f>IFERROR(__xludf.DUMMYFUNCTION("""COMPUTED_VALUE"""),"*Smoking / No Smoking*")</f>
        <v>*Smoking / No Smoking*</v>
      </c>
      <c r="D43" s="2" t="str">
        <f>IFERROR(__xludf.DUMMYFUNCTION("""COMPUTED_VALUE"""),"15décembre1993")</f>
        <v>15décembre1993</v>
      </c>
      <c r="E43" s="2" t="str">
        <f>IFERROR(__xludf.DUMMYFUNCTION("""COMPUTED_VALUE"""),"755 344 entrées[45]")</f>
        <v>755 344 entrées[45]</v>
      </c>
    </row>
    <row r="44">
      <c r="A44" s="2" t="str">
        <f>IFERROR(__xludf.DUMMYFUNCTION("""COMPUTED_VALUE"""),"43e")</f>
        <v>43e</v>
      </c>
      <c r="B44" s="2">
        <f>IFERROR(__xludf.DUMMYFUNCTION("""COMPUTED_VALUE"""),1977.0)</f>
        <v>1977</v>
      </c>
      <c r="C44" s="2" t="str">
        <f>IFERROR(__xludf.DUMMYFUNCTION("""COMPUTED_VALUE"""),"*Monsieur Klein*")</f>
        <v>*Monsieur Klein*</v>
      </c>
      <c r="D44" s="2" t="str">
        <f>IFERROR(__xludf.DUMMYFUNCTION("""COMPUTED_VALUE"""),"27octobre1976")</f>
        <v>27octobre1976</v>
      </c>
      <c r="E44" s="2" t="str">
        <f>IFERROR(__xludf.DUMMYFUNCTION("""COMPUTED_VALUE"""),"711 752 entrées[46]")</f>
        <v>711 752 entrées[46]</v>
      </c>
    </row>
    <row r="45">
      <c r="A45" s="2" t="str">
        <f>IFERROR(__xludf.DUMMYFUNCTION("""COMPUTED_VALUE"""),"44e")</f>
        <v>44e</v>
      </c>
      <c r="B45" s="2">
        <f>IFERROR(__xludf.DUMMYFUNCTION("""COMPUTED_VALUE"""),1978.0)</f>
        <v>1978</v>
      </c>
      <c r="C45" s="2" t="str">
        <f>IFERROR(__xludf.DUMMYFUNCTION("""COMPUTED_VALUE"""),"*Providence*")</f>
        <v>*Providence*</v>
      </c>
      <c r="D45" s="2" t="str">
        <f>IFERROR(__xludf.DUMMYFUNCTION("""COMPUTED_VALUE"""),"9février1977")</f>
        <v>9février1977</v>
      </c>
      <c r="E45" s="2" t="str">
        <f>IFERROR(__xludf.DUMMYFUNCTION("""COMPUTED_VALUE"""),"652 985 entrées[47]")</f>
        <v>652 985 entrées[47]</v>
      </c>
    </row>
    <row r="46">
      <c r="A46" s="2" t="str">
        <f>IFERROR(__xludf.DUMMYFUNCTION("""COMPUTED_VALUE"""),"45e")</f>
        <v>45e</v>
      </c>
      <c r="B46" s="2">
        <f>IFERROR(__xludf.DUMMYFUNCTION("""COMPUTED_VALUE"""),2017.0)</f>
        <v>2017</v>
      </c>
      <c r="C46" s="2" t="str">
        <f>IFERROR(__xludf.DUMMYFUNCTION("""COMPUTED_VALUE"""),"*Elle*")</f>
        <v>*Elle*</v>
      </c>
      <c r="D46" s="2" t="str">
        <f>IFERROR(__xludf.DUMMYFUNCTION("""COMPUTED_VALUE"""),"25mai2016")</f>
        <v>25mai2016</v>
      </c>
      <c r="E46" s="2" t="str">
        <f>IFERROR(__xludf.DUMMYFUNCTION("""COMPUTED_VALUE"""),"636 312 entrées[48]")</f>
        <v>636 312 entrées[48]</v>
      </c>
    </row>
    <row r="47">
      <c r="A47" s="2" t="str">
        <f>IFERROR(__xludf.DUMMYFUNCTION("""COMPUTED_VALUE"""),"46e")</f>
        <v>46e</v>
      </c>
      <c r="B47" s="2">
        <f>IFERROR(__xludf.DUMMYFUNCTION("""COMPUTED_VALUE"""),1995.0)</f>
        <v>1995</v>
      </c>
      <c r="C47" s="2" t="str">
        <f>IFERROR(__xludf.DUMMYFUNCTION("""COMPUTED_VALUE"""),"*Les Roseaux sauvages*[49]")</f>
        <v>*Les Roseaux sauvages*[49]</v>
      </c>
      <c r="D47" s="2" t="str">
        <f>IFERROR(__xludf.DUMMYFUNCTION("""COMPUTED_VALUE"""),"1erjuin1994")</f>
        <v>1erjuin1994</v>
      </c>
      <c r="E47" s="2" t="str">
        <f>IFERROR(__xludf.DUMMYFUNCTION("""COMPUTED_VALUE"""),"589 301 entrées[50]")</f>
        <v>589 301 entrées[50]</v>
      </c>
    </row>
    <row r="48">
      <c r="A48" s="2" t="str">
        <f>IFERROR(__xludf.DUMMYFUNCTION("""COMPUTED_VALUE"""),"47e")</f>
        <v>47e</v>
      </c>
      <c r="B48" s="2">
        <f>IFERROR(__xludf.DUMMYFUNCTION("""COMPUTED_VALUE"""),2023.0)</f>
        <v>2023</v>
      </c>
      <c r="C48" s="2" t="str">
        <f>IFERROR(__xludf.DUMMYFUNCTION("""COMPUTED_VALUE"""),"*La Nuit du 12*")</f>
        <v>*La Nuit du 12*</v>
      </c>
      <c r="D48" s="2" t="str">
        <f>IFERROR(__xludf.DUMMYFUNCTION("""COMPUTED_VALUE"""),"13juillet2022")</f>
        <v>13juillet2022</v>
      </c>
      <c r="E48" s="2" t="str">
        <f>IFERROR(__xludf.DUMMYFUNCTION("""COMPUTED_VALUE"""),"545 295 entrées[51]")</f>
        <v>545 295 entrées[51]</v>
      </c>
    </row>
    <row r="49">
      <c r="A49" s="2" t="str">
        <f>IFERROR(__xludf.DUMMYFUNCTION("""COMPUTED_VALUE"""),"48e")</f>
        <v>48e</v>
      </c>
      <c r="B49" s="2">
        <f>IFERROR(__xludf.DUMMYFUNCTION("""COMPUTED_VALUE"""),2007.0)</f>
        <v>2007</v>
      </c>
      <c r="C49" s="2" t="str">
        <f>IFERROR(__xludf.DUMMYFUNCTION("""COMPUTED_VALUE"""),"*Lady Chatterley*")</f>
        <v>*Lady Chatterley*</v>
      </c>
      <c r="D49" s="2" t="str">
        <f>IFERROR(__xludf.DUMMYFUNCTION("""COMPUTED_VALUE"""),"1ernovembre2006")</f>
        <v>1ernovembre2006</v>
      </c>
      <c r="E49" s="2" t="str">
        <f>IFERROR(__xludf.DUMMYFUNCTION("""COMPUTED_VALUE"""),"421 952 entrées[52]")</f>
        <v>421 952 entrées[52]</v>
      </c>
    </row>
    <row r="50">
      <c r="A50" s="2" t="str">
        <f>IFERROR(__xludf.DUMMYFUNCTION("""COMPUTED_VALUE"""),"49e")</f>
        <v>49e</v>
      </c>
      <c r="B50" s="2">
        <f>IFERROR(__xludf.DUMMYFUNCTION("""COMPUTED_VALUE"""),2016.0)</f>
        <v>2016</v>
      </c>
      <c r="C50" s="2" t="str">
        <f>IFERROR(__xludf.DUMMYFUNCTION("""COMPUTED_VALUE"""),"*Fatima*")</f>
        <v>*Fatima*</v>
      </c>
      <c r="D50" s="2" t="str">
        <f>IFERROR(__xludf.DUMMYFUNCTION("""COMPUTED_VALUE"""),"7octobre2015")</f>
        <v>7octobre2015</v>
      </c>
      <c r="E50" s="2" t="str">
        <f>IFERROR(__xludf.DUMMYFUNCTION("""COMPUTED_VALUE"""),"387 840 entrées[53]")</f>
        <v>387 840 entrées[53]</v>
      </c>
    </row>
    <row r="51">
      <c r="A51" s="2" t="str">
        <f>IFERROR(__xludf.DUMMYFUNCTION("""COMPUTED_VALUE"""),"50e")</f>
        <v>50e</v>
      </c>
      <c r="B51" s="2">
        <f>IFERROR(__xludf.DUMMYFUNCTION("""COMPUTED_VALUE"""),2019.0)</f>
        <v>2019</v>
      </c>
      <c r="C51" s="2" t="str">
        <f>IFERROR(__xludf.DUMMYFUNCTION("""COMPUTED_VALUE"""),"*Jusqu'à la garde*")</f>
        <v>*Jusqu'à la garde*</v>
      </c>
      <c r="D51" s="2" t="str">
        <f>IFERROR(__xludf.DUMMYFUNCTION("""COMPUTED_VALUE"""),"7 février 2018")</f>
        <v>7 février 2018</v>
      </c>
      <c r="E51" s="2" t="str">
        <f>IFERROR(__xludf.DUMMYFUNCTION("""COMPUTED_VALUE"""),"377 788 entrées[54]")</f>
        <v>377 788 entrées[54]</v>
      </c>
    </row>
    <row r="52">
      <c r="A52" s="2" t="str">
        <f>IFERROR(__xludf.DUMMYFUNCTION("""COMPUTED_VALUE"""),"51e")</f>
        <v>51e</v>
      </c>
      <c r="B52" s="2">
        <f>IFERROR(__xludf.DUMMYFUNCTION("""COMPUTED_VALUE"""),2005.0)</f>
        <v>2005</v>
      </c>
      <c r="C52" s="2" t="str">
        <f>IFERROR(__xludf.DUMMYFUNCTION("""COMPUTED_VALUE"""),"*L'Esquive*")</f>
        <v>*L'Esquive*</v>
      </c>
      <c r="D52" s="2" t="str">
        <f>IFERROR(__xludf.DUMMYFUNCTION("""COMPUTED_VALUE"""),"7janvier2004")</f>
        <v>7janvier2004</v>
      </c>
      <c r="E52" s="2" t="str">
        <f>IFERROR(__xludf.DUMMYFUNCTION("""COMPUTED_VALUE"""),"373 618 entrées[55],[56]")</f>
        <v>373 618 entrées[55],[56]</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5" t="str">
        <f>IFERROR(__xludf.DUMMYFUNCTION("IMPORTHTML(""https://fr.wikipedia.org/wiki/Presse_en_France"", ""table"" )"),"Titre")</f>
        <v>Titre</v>
      </c>
      <c r="B1" s="15" t="str">
        <f>IFERROR(__xludf.DUMMYFUNCTION("""COMPUTED_VALUE"""),"Diffusion 2019[52]")</f>
        <v>Diffusion 2019[52]</v>
      </c>
      <c r="C1" s="15" t="str">
        <f>IFERROR(__xludf.DUMMYFUNCTION("""COMPUTED_VALUE"""),"Diffusion 2021[53]")</f>
        <v>Diffusion 2021[53]</v>
      </c>
      <c r="D1" s="15" t="str">
        <f>IFERROR(__xludf.DUMMYFUNCTION("""COMPUTED_VALUE"""),"Type")</f>
        <v>Type</v>
      </c>
    </row>
    <row r="2">
      <c r="A2" s="15" t="str">
        <f>IFERROR(__xludf.DUMMYFUNCTION("""COMPUTED_VALUE"""),"*Dossier Familial*")</f>
        <v>*Dossier Familial*</v>
      </c>
      <c r="B2" s="15" t="str">
        <f>IFERROR(__xludf.DUMMYFUNCTION("""COMPUTED_VALUE"""),"932 276")</f>
        <v>932 276</v>
      </c>
      <c r="C2" s="2" t="str">
        <f>IFERROR(__xludf.DUMMYFUNCTION("""COMPUTED_VALUE"""),"841 841")</f>
        <v>841 841</v>
      </c>
      <c r="D2" s="16" t="str">
        <f>IFERROR(__xludf.DUMMYFUNCTION("""COMPUTED_VALUE"""),"famille")</f>
        <v>famille</v>
      </c>
      <c r="U2" s="3"/>
      <c r="V2" s="2" t="str">
        <f>U2&amp;+U8</f>
        <v/>
      </c>
    </row>
    <row r="3">
      <c r="A3" s="15" t="str">
        <f>IFERROR(__xludf.DUMMYFUNCTION("""COMPUTED_VALUE"""),"*Notre Temps*")</f>
        <v>*Notre Temps*</v>
      </c>
      <c r="B3" s="15" t="str">
        <f>IFERROR(__xludf.DUMMYFUNCTION("""COMPUTED_VALUE"""),"725 404")</f>
        <v>725 404</v>
      </c>
      <c r="C3" s="16" t="str">
        <f>IFERROR(__xludf.DUMMYFUNCTION("""COMPUTED_VALUE"""),"651 848")</f>
        <v>651 848</v>
      </c>
      <c r="D3" s="16" t="str">
        <f>IFERROR(__xludf.DUMMYFUNCTION("""COMPUTED_VALUE"""),"senior")</f>
        <v>senior</v>
      </c>
      <c r="U3" s="3"/>
    </row>
    <row r="4">
      <c r="A4" s="15" t="str">
        <f>IFERROR(__xludf.DUMMYFUNCTION("""COMPUTED_VALUE"""),"*Pleine Vie*")</f>
        <v>*Pleine Vie*</v>
      </c>
      <c r="B4" s="15" t="str">
        <f>IFERROR(__xludf.DUMMYFUNCTION("""COMPUTED_VALUE"""),"533 243")</f>
        <v>533 243</v>
      </c>
      <c r="C4" s="16" t="str">
        <f>IFERROR(__xludf.DUMMYFUNCTION("""COMPUTED_VALUE"""),"445 630")</f>
        <v>445 630</v>
      </c>
      <c r="D4" s="16" t="str">
        <f>IFERROR(__xludf.DUMMYFUNCTION("""COMPUTED_VALUE"""),"senior")</f>
        <v>senior</v>
      </c>
      <c r="U4" s="3"/>
    </row>
    <row r="5">
      <c r="A5" s="15" t="str">
        <f>IFERROR(__xludf.DUMMYFUNCTION("""COMPUTED_VALUE"""),"*Avantages*")</f>
        <v>*Avantages*</v>
      </c>
      <c r="B5" s="15" t="str">
        <f>IFERROR(__xludf.DUMMYFUNCTION("""COMPUTED_VALUE"""),"352 372")</f>
        <v>352 372</v>
      </c>
      <c r="C5" s="16" t="str">
        <f>IFERROR(__xludf.DUMMYFUNCTION("""COMPUTED_VALUE"""),"367 760")</f>
        <v>367 760</v>
      </c>
      <c r="D5" s="16" t="str">
        <f>IFERROR(__xludf.DUMMYFUNCTION("""COMPUTED_VALUE"""),"famille")</f>
        <v>famille</v>
      </c>
      <c r="U5" s="3"/>
    </row>
    <row r="6">
      <c r="A6" s="15" t="str">
        <f>IFERROR(__xludf.DUMMYFUNCTION("""COMPUTED_VALUE"""),"*Le Particulier*")</f>
        <v>*Le Particulier*</v>
      </c>
      <c r="B6" s="15" t="str">
        <f>IFERROR(__xludf.DUMMYFUNCTION("""COMPUTED_VALUE"""),"317 540")</f>
        <v>317 540</v>
      </c>
      <c r="C6" s="16" t="str">
        <f>IFERROR(__xludf.DUMMYFUNCTION("""COMPUTED_VALUE"""),"295 532")</f>
        <v>295 532</v>
      </c>
      <c r="D6" s="16" t="str">
        <f>IFERROR(__xludf.DUMMYFUNCTION("""COMPUTED_VALUE"""),"patrimoine")</f>
        <v>patrimoine</v>
      </c>
    </row>
    <row r="7">
      <c r="A7" s="16" t="str">
        <f>IFERROR(__xludf.DUMMYFUNCTION("""COMPUTED_VALUE"""),"*Santé Magazine*")</f>
        <v>*Santé Magazine*</v>
      </c>
      <c r="B7" s="16" t="str">
        <f>IFERROR(__xludf.DUMMYFUNCTION("""COMPUTED_VALUE"""),"316 356")</f>
        <v>316 356</v>
      </c>
      <c r="C7" s="16" t="str">
        <f>IFERROR(__xludf.DUMMYFUNCTION("""COMPUTED_VALUE"""),"272 976")</f>
        <v>272 976</v>
      </c>
      <c r="D7" s="16" t="str">
        <f>IFERROR(__xludf.DUMMYFUNCTION("""COMPUTED_VALUE"""),"santé")</f>
        <v>santé</v>
      </c>
    </row>
    <row r="8">
      <c r="A8" s="16" t="str">
        <f>IFERROR(__xludf.DUMMYFUNCTION("""COMPUTED_VALUE"""),"*Marie Claire*")</f>
        <v>*Marie Claire*</v>
      </c>
      <c r="B8" s="16" t="str">
        <f>IFERROR(__xludf.DUMMYFUNCTION("""COMPUTED_VALUE"""),"311 700")</f>
        <v>311 700</v>
      </c>
      <c r="C8" s="16" t="str">
        <f>IFERROR(__xludf.DUMMYFUNCTION("""COMPUTED_VALUE"""),"297 917")</f>
        <v>297 917</v>
      </c>
      <c r="D8" s="16" t="str">
        <f>IFERROR(__xludf.DUMMYFUNCTION("""COMPUTED_VALUE"""),"féminin")</f>
        <v>féminin</v>
      </c>
    </row>
    <row r="9">
      <c r="A9" s="15" t="str">
        <f>IFERROR(__xludf.DUMMYFUNCTION("""COMPUTED_VALUE"""),"*L'Ancien d'Algérie*")</f>
        <v>*L'Ancien d'Algérie*</v>
      </c>
      <c r="B9" s="15" t="str">
        <f>IFERROR(__xludf.DUMMYFUNCTION("""COMPUTED_VALUE"""),"287 294")</f>
        <v>287 294</v>
      </c>
      <c r="C9" s="15" t="str">
        <f>IFERROR(__xludf.DUMMYFUNCTION("""COMPUTED_VALUE"""),"262 107")</f>
        <v>262 107</v>
      </c>
      <c r="D9" s="16" t="str">
        <f>IFERROR(__xludf.DUMMYFUNCTION("""COMPUTED_VALUE"""),"militaire")</f>
        <v>militaire</v>
      </c>
    </row>
    <row r="10">
      <c r="A10" s="15" t="str">
        <f>IFERROR(__xludf.DUMMYFUNCTION("""COMPUTED_VALUE"""),"*Top Santé*")</f>
        <v>*Top Santé*</v>
      </c>
      <c r="B10" s="15" t="str">
        <f>IFERROR(__xludf.DUMMYFUNCTION("""COMPUTED_VALUE"""),"280 315")</f>
        <v>280 315</v>
      </c>
      <c r="C10" s="15" t="str">
        <f>IFERROR(__xludf.DUMMYFUNCTION("""COMPUTED_VALUE"""),"202 217")</f>
        <v>202 217</v>
      </c>
      <c r="D10" s="16" t="str">
        <f>IFERROR(__xludf.DUMMYFUNCTION("""COMPUTED_VALUE"""),"santé")</f>
        <v>santé</v>
      </c>
    </row>
    <row r="11">
      <c r="A11" s="15" t="str">
        <f>IFERROR(__xludf.DUMMYFUNCTION("""COMPUTED_VALUE"""),"*Modes &amp; Travaux*")</f>
        <v>*Modes &amp; Travaux*</v>
      </c>
      <c r="B11" s="15" t="str">
        <f>IFERROR(__xludf.DUMMYFUNCTION("""COMPUTED_VALUE"""),"249 428")</f>
        <v>249 428</v>
      </c>
      <c r="C11" s="15" t="str">
        <f>IFERROR(__xludf.DUMMYFUNCTION("""COMPUTED_VALUE"""),"220 922")</f>
        <v>220 922</v>
      </c>
      <c r="D11" s="16" t="str">
        <f>IFERROR(__xludf.DUMMYFUNCTION("""COMPUTED_VALUE"""),"féminin")</f>
        <v>féminin</v>
      </c>
    </row>
    <row r="12">
      <c r="A12" s="15" t="str">
        <f>IFERROR(__xludf.DUMMYFUNCTION("""COMPUTED_VALUE"""),"*Cosmopolitan*")</f>
        <v>*Cosmopolitan*</v>
      </c>
      <c r="B12" s="15" t="str">
        <f>IFERROR(__xludf.DUMMYFUNCTION("""COMPUTED_VALUE"""),"247 027")</f>
        <v>247 027</v>
      </c>
      <c r="C12" s="15" t="str">
        <f>IFERROR(__xludf.DUMMYFUNCTION("""COMPUTED_VALUE"""),"203 643")</f>
        <v>203 643</v>
      </c>
      <c r="D12" s="16" t="str">
        <f>IFERROR(__xludf.DUMMYFUNCTION("""COMPUTED_VALUE"""),"féminin")</f>
        <v>féminin</v>
      </c>
    </row>
    <row r="13">
      <c r="A13" s="15" t="str">
        <f>IFERROR(__xludf.DUMMYFUNCTION("""COMPUTED_VALUE"""),"*Prima*")</f>
        <v>*Prima*</v>
      </c>
      <c r="B13" s="16" t="str">
        <f>IFERROR(__xludf.DUMMYFUNCTION("""COMPUTED_VALUE"""),"237 063")</f>
        <v>237 063</v>
      </c>
      <c r="C13" s="16" t="str">
        <f>IFERROR(__xludf.DUMMYFUNCTION("""COMPUTED_VALUE"""),"239 003")</f>
        <v>239 003</v>
      </c>
      <c r="D13" s="16" t="str">
        <f>IFERROR(__xludf.DUMMYFUNCTION("""COMPUTED_VALUE"""),"féminin")</f>
        <v>féminin</v>
      </c>
    </row>
    <row r="14">
      <c r="A14" s="15" t="str">
        <f>IFERROR(__xludf.DUMMYFUNCTION("""COMPUTED_VALUE"""),"*Sciences et Avenir*")</f>
        <v>*Sciences et Avenir*</v>
      </c>
      <c r="B14" s="16" t="str">
        <f>IFERROR(__xludf.DUMMYFUNCTION("""COMPUTED_VALUE"""),"224 655")</f>
        <v>224 655</v>
      </c>
      <c r="C14" s="16" t="str">
        <f>IFERROR(__xludf.DUMMYFUNCTION("""COMPUTED_VALUE"""),"206 784")</f>
        <v>206 784</v>
      </c>
      <c r="D14" s="16" t="str">
        <f>IFERROR(__xludf.DUMMYFUNCTION("""COMPUTED_VALUE"""),"sciences")</f>
        <v>sciences</v>
      </c>
    </row>
    <row r="15">
      <c r="A15" s="16" t="str">
        <f>IFERROR(__xludf.DUMMYFUNCTION("""COMPUTED_VALUE"""),"*Le Chasseur Français*")</f>
        <v>*Le Chasseur Français*</v>
      </c>
      <c r="B15" s="16" t="str">
        <f>IFERROR(__xludf.DUMMYFUNCTION("""COMPUTED_VALUE"""),"213 406")</f>
        <v>213 406</v>
      </c>
      <c r="C15" s="16" t="str">
        <f>IFERROR(__xludf.DUMMYFUNCTION("""COMPUTED_VALUE"""),"201 849")</f>
        <v>201 849</v>
      </c>
      <c r="D15" s="16" t="str">
        <f>IFERROR(__xludf.DUMMYFUNCTION("""COMPUTED_VALUE"""),"chasse")</f>
        <v>chasse</v>
      </c>
    </row>
    <row r="16">
      <c r="A16" s="16" t="str">
        <f>IFERROR(__xludf.DUMMYFUNCTION("""COMPUTED_VALUE"""),"*Psychologies Magazine*")</f>
        <v>*Psychologies Magazine*</v>
      </c>
      <c r="B16" s="16" t="str">
        <f>IFERROR(__xludf.DUMMYFUNCTION("""COMPUTED_VALUE"""),"202 089")</f>
        <v>202 089</v>
      </c>
      <c r="C16" s="16" t="str">
        <f>IFERROR(__xludf.DUMMYFUNCTION("""COMPUTED_VALUE"""),"160 804")</f>
        <v>160 804</v>
      </c>
      <c r="D16" s="16" t="str">
        <f>IFERROR(__xludf.DUMMYFUNCTION("""COMPUTED_VALUE"""),"santé")</f>
        <v>santé</v>
      </c>
    </row>
    <row r="17">
      <c r="A17" s="16" t="str">
        <f>IFERROR(__xludf.DUMMYFUNCTION("""COMPUTED_VALUE"""),"*Biba*")</f>
        <v>*Biba*</v>
      </c>
      <c r="B17" s="16" t="str">
        <f>IFERROR(__xludf.DUMMYFUNCTION("""COMPUTED_VALUE"""),"190 305")</f>
        <v>190 305</v>
      </c>
      <c r="C17" s="16" t="str">
        <f>IFERROR(__xludf.DUMMYFUNCTION("""COMPUTED_VALUE"""),"138 718")</f>
        <v>138 718</v>
      </c>
      <c r="D17" s="16" t="str">
        <f>IFERROR(__xludf.DUMMYFUNCTION("""COMPUTED_VALUE"""),"féminin")</f>
        <v>féminin</v>
      </c>
    </row>
    <row r="18">
      <c r="A18" s="16" t="str">
        <f>IFERROR(__xludf.DUMMYFUNCTION("""COMPUTED_VALUE"""),"*Science et Vie*")</f>
        <v>*Science et Vie*</v>
      </c>
      <c r="B18" s="16" t="str">
        <f>IFERROR(__xludf.DUMMYFUNCTION("""COMPUTED_VALUE"""),"188 004")</f>
        <v>188 004</v>
      </c>
      <c r="C18" s="16" t="str">
        <f>IFERROR(__xludf.DUMMYFUNCTION("""COMPUTED_VALUE"""),"163 345")</f>
        <v>163 345</v>
      </c>
      <c r="D18" s="16" t="str">
        <f>IFERROR(__xludf.DUMMYFUNCTION("""COMPUTED_VALUE"""),"sciences")</f>
        <v>sciences</v>
      </c>
    </row>
    <row r="19">
      <c r="A19" s="16" t="str">
        <f>IFERROR(__xludf.DUMMYFUNCTION("""COMPUTED_VALUE"""),"*Ça m'intéresse*")</f>
        <v>*Ça m'intéresse*</v>
      </c>
      <c r="B19" s="16" t="str">
        <f>IFERROR(__xludf.DUMMYFUNCTION("""COMPUTED_VALUE"""),"185 957")</f>
        <v>185 957</v>
      </c>
      <c r="C19" s="16" t="str">
        <f>IFERROR(__xludf.DUMMYFUNCTION("""COMPUTED_VALUE"""),"176 024")</f>
        <v>176 024</v>
      </c>
      <c r="D19" s="16" t="str">
        <f>IFERROR(__xludf.DUMMYFUNCTION("""COMPUTED_VALUE"""),"sciences")</f>
        <v>sciences</v>
      </c>
    </row>
    <row r="20">
      <c r="A20" s="2" t="str">
        <f>IFERROR(__xludf.DUMMYFUNCTION("""COMPUTED_VALUE"""),"*Capital*")</f>
        <v>*Capital*</v>
      </c>
      <c r="B20" s="2" t="str">
        <f>IFERROR(__xludf.DUMMYFUNCTION("""COMPUTED_VALUE"""),"157 213")</f>
        <v>157 213</v>
      </c>
      <c r="C20" s="2" t="str">
        <f>IFERROR(__xludf.DUMMYFUNCTION("""COMPUTED_VALUE"""),"122 717")</f>
        <v>122 717</v>
      </c>
      <c r="D20" s="2" t="str">
        <f>IFERROR(__xludf.DUMMYFUNCTION("""COMPUTED_VALUE"""),"économique")</f>
        <v>économique</v>
      </c>
    </row>
    <row r="21">
      <c r="A21" s="2" t="str">
        <f>IFERROR(__xludf.DUMMYFUNCTION("""COMPUTED_VALUE"""),"*J'aime Lire*")</f>
        <v>*J'aime Lire*</v>
      </c>
      <c r="B21" s="2" t="str">
        <f>IFERROR(__xludf.DUMMYFUNCTION("""COMPUTED_VALUE"""),"154 825")</f>
        <v>154 825</v>
      </c>
      <c r="C21" s="2" t="str">
        <f>IFERROR(__xludf.DUMMYFUNCTION("""COMPUTED_VALUE"""),"176 614")</f>
        <v>176 614</v>
      </c>
      <c r="D21" s="2" t="str">
        <f>IFERROR(__xludf.DUMMYFUNCTION("""COMPUTED_VALUE"""),"jeunesse")</f>
        <v>jeunesse</v>
      </c>
    </row>
    <row r="22">
      <c r="A22" s="2" t="str">
        <f>IFERROR(__xludf.DUMMYFUNCTION("""COMPUTED_VALUE"""),"*La Voix du Combattant*")</f>
        <v>*La Voix du Combattant*</v>
      </c>
      <c r="B22" s="2" t="str">
        <f>IFERROR(__xludf.DUMMYFUNCTION("""COMPUTED_VALUE"""),"149 148")</f>
        <v>149 148</v>
      </c>
      <c r="C22" s="2" t="str">
        <f>IFERROR(__xludf.DUMMYFUNCTION("""COMPUTED_VALUE"""),"132 740")</f>
        <v>132 740</v>
      </c>
      <c r="D22" s="2" t="str">
        <f>IFERROR(__xludf.DUMMYFUNCTION("""COMPUTED_VALUE"""),"militaire")</f>
        <v>militaire</v>
      </c>
    </row>
    <row r="23">
      <c r="A23" s="2" t="str">
        <f>IFERROR(__xludf.DUMMYFUNCTION("""COMPUTED_VALUE"""),"*Géo*")</f>
        <v>*Géo*</v>
      </c>
      <c r="B23" s="2" t="str">
        <f>IFERROR(__xludf.DUMMYFUNCTION("""COMPUTED_VALUE"""),"146 895")</f>
        <v>146 895</v>
      </c>
      <c r="C23" s="2" t="str">
        <f>IFERROR(__xludf.DUMMYFUNCTION("""COMPUTED_VALUE"""),"125 578")</f>
        <v>125 578</v>
      </c>
      <c r="D23" s="2" t="str">
        <f>IFERROR(__xludf.DUMMYFUNCTION("""COMPUTED_VALUE"""),"voyages")</f>
        <v>voyages</v>
      </c>
    </row>
    <row r="24">
      <c r="A24" s="2" t="str">
        <f>IFERROR(__xludf.DUMMYFUNCTION("""COMPUTED_VALUE"""),"*Le Monde diplomatique*")</f>
        <v>*Le Monde diplomatique*</v>
      </c>
      <c r="B24" s="2" t="str">
        <f>IFERROR(__xludf.DUMMYFUNCTION("""COMPUTED_VALUE"""),"143 872")</f>
        <v>143 872</v>
      </c>
      <c r="C24" s="2" t="str">
        <f>IFERROR(__xludf.DUMMYFUNCTION("""COMPUTED_VALUE"""),"153 157")</f>
        <v>153 157</v>
      </c>
      <c r="D24" s="2" t="str">
        <f>IFERROR(__xludf.DUMMYFUNCTION("""COMPUTED_VALUE"""),"actualités")</f>
        <v>actualités</v>
      </c>
    </row>
    <row r="25">
      <c r="A25" s="2" t="str">
        <f>IFERROR(__xludf.DUMMYFUNCTION("""COMPUTED_VALUE"""),"*Auto Moto*")</f>
        <v>*Auto Moto*</v>
      </c>
      <c r="B25" s="2" t="str">
        <f>IFERROR(__xludf.DUMMYFUNCTION("""COMPUTED_VALUE"""),"127 316")</f>
        <v>127 316</v>
      </c>
      <c r="C25" s="2" t="str">
        <f>IFERROR(__xludf.DUMMYFUNCTION("""COMPUTED_VALUE"""),"104 976")</f>
        <v>104 976</v>
      </c>
      <c r="D25" s="2" t="str">
        <f>IFERROR(__xludf.DUMMYFUNCTION("""COMPUTED_VALUE"""),"automobile")</f>
        <v>automobile</v>
      </c>
    </row>
    <row r="26">
      <c r="A26" s="2" t="str">
        <f>IFERROR(__xludf.DUMMYFUNCTION("""COMPUTED_VALUE"""),"*Mieux vivre votre argent*")</f>
        <v>*Mieux vivre votre argent*</v>
      </c>
      <c r="B26" s="2" t="str">
        <f>IFERROR(__xludf.DUMMYFUNCTION("""COMPUTED_VALUE"""),"123 038")</f>
        <v>123 038</v>
      </c>
      <c r="C26" s="2" t="str">
        <f>IFERROR(__xludf.DUMMYFUNCTION("""COMPUTED_VALUE"""),"128 073")</f>
        <v>128 073</v>
      </c>
      <c r="D26" s="2" t="str">
        <f>IFERROR(__xludf.DUMMYFUNCTION("""COMPUTED_VALUE"""),"patrimoine")</f>
        <v>patrimoine</v>
      </c>
    </row>
    <row r="27">
      <c r="A27" s="2" t="str">
        <f>IFERROR(__xludf.DUMMYFUNCTION("""COMPUTED_VALUE"""),"*Science et Vie junior*")</f>
        <v>*Science et Vie junior*</v>
      </c>
      <c r="B27" s="2" t="str">
        <f>IFERROR(__xludf.DUMMYFUNCTION("""COMPUTED_VALUE"""),"121 782")</f>
        <v>121 782</v>
      </c>
      <c r="C27" s="2" t="str">
        <f>IFERROR(__xludf.DUMMYFUNCTION("""COMPUTED_VALUE"""),"110 541")</f>
        <v>110 541</v>
      </c>
      <c r="D27" s="2" t="str">
        <f>IFERROR(__xludf.DUMMYFUNCTION("""COMPUTED_VALUE"""),"jeunesse")</f>
        <v>jeunesse</v>
      </c>
    </row>
    <row r="28">
      <c r="A28" s="2" t="str">
        <f>IFERROR(__xludf.DUMMYFUNCTION("""COMPUTED_VALUE"""),"*Femme Actuelle Senior*")</f>
        <v>*Femme Actuelle Senior*</v>
      </c>
      <c r="B28" s="2" t="str">
        <f>IFERROR(__xludf.DUMMYFUNCTION("""COMPUTED_VALUE"""),"116 368")</f>
        <v>116 368</v>
      </c>
      <c r="C28" s="2" t="str">
        <f>IFERROR(__xludf.DUMMYFUNCTION("""COMPUTED_VALUE"""),"98 555")</f>
        <v>98 555</v>
      </c>
      <c r="D28" s="2" t="str">
        <f>IFERROR(__xludf.DUMMYFUNCTION("""COMPUTED_VALUE"""),"senior")</f>
        <v>senior</v>
      </c>
    </row>
    <row r="29">
      <c r="A29" s="2" t="str">
        <f>IFERROR(__xludf.DUMMYFUNCTION("""COMPUTED_VALUE"""),"*Parents*")</f>
        <v>*Parents*</v>
      </c>
      <c r="B29" s="2" t="str">
        <f>IFERROR(__xludf.DUMMYFUNCTION("""COMPUTED_VALUE"""),"113 616")</f>
        <v>113 616</v>
      </c>
      <c r="C29" s="2" t="str">
        <f>IFERROR(__xludf.DUMMYFUNCTION("""COMPUTED_VALUE"""),"72 926")</f>
        <v>72 926</v>
      </c>
      <c r="D29" s="2" t="str">
        <f>IFERROR(__xludf.DUMMYFUNCTION("""COMPUTED_VALUE"""),"famille")</f>
        <v>famille</v>
      </c>
    </row>
    <row r="30">
      <c r="A30" s="2" t="str">
        <f>IFERROR(__xludf.DUMMYFUNCTION("""COMPUTED_VALUE"""),"*Le Journal de la Maison*")</f>
        <v>*Le Journal de la Maison*</v>
      </c>
      <c r="B30" s="2" t="str">
        <f>IFERROR(__xludf.DUMMYFUNCTION("""COMPUTED_VALUE"""),"111 343")</f>
        <v>111 343</v>
      </c>
      <c r="C30" s="2" t="str">
        <f>IFERROR(__xludf.DUMMYFUNCTION("""COMPUTED_VALUE"""),"99 069")</f>
        <v>99 069</v>
      </c>
      <c r="D30" s="2" t="str">
        <f>IFERROR(__xludf.DUMMYFUNCTION("""COMPUTED_VALUE"""),"bricolage")</f>
        <v>bricolage</v>
      </c>
    </row>
    <row r="31">
      <c r="A31" s="2" t="str">
        <f>IFERROR(__xludf.DUMMYFUNCTION("""COMPUTED_VALUE"""),"*Maxi Cuisine*")</f>
        <v>*Maxi Cuisine*</v>
      </c>
      <c r="B31" s="2" t="str">
        <f>IFERROR(__xludf.DUMMYFUNCTION("""COMPUTED_VALUE"""),"109 764")</f>
        <v>109 764</v>
      </c>
      <c r="C31" s="2" t="str">
        <f>IFERROR(__xludf.DUMMYFUNCTION("""COMPUTED_VALUE"""),"103 433")</f>
        <v>103 433</v>
      </c>
      <c r="D31" s="2" t="str">
        <f>IFERROR(__xludf.DUMMYFUNCTION("""COMPUTED_VALUE"""),"cuisine")</f>
        <v>cuisine</v>
      </c>
    </row>
    <row r="32">
      <c r="A32" s="2" t="str">
        <f>IFERROR(__xludf.DUMMYFUNCTION("""COMPUTED_VALUE"""),"*Télé 7 Jeux*")</f>
        <v>*Télé 7 Jeux*</v>
      </c>
      <c r="B32" s="2" t="str">
        <f>IFERROR(__xludf.DUMMYFUNCTION("""COMPUTED_VALUE"""),"104 488")</f>
        <v>104 488</v>
      </c>
      <c r="C32" s="2" t="str">
        <f>IFERROR(__xludf.DUMMYFUNCTION("""COMPUTED_VALUE"""),"96 511")</f>
        <v>96 511</v>
      </c>
      <c r="D32" s="2" t="str">
        <f>IFERROR(__xludf.DUMMYFUNCTION("""COMPUTED_VALUE"""),"jeux")</f>
        <v>jeux</v>
      </c>
    </row>
    <row r="33">
      <c r="A33" s="2" t="str">
        <f>IFERROR(__xludf.DUMMYFUNCTION("""COMPUTED_VALUE"""),"*Mon Jardin &amp; ma Maison*")</f>
        <v>*Mon Jardin &amp; ma Maison*</v>
      </c>
      <c r="B33" s="2" t="str">
        <f>IFERROR(__xludf.DUMMYFUNCTION("""COMPUTED_VALUE"""),"100 486")</f>
        <v>100 486</v>
      </c>
      <c r="C33" s="2" t="str">
        <f>IFERROR(__xludf.DUMMYFUNCTION("""COMPUTED_VALUE"""),"91 307")</f>
        <v>91 307</v>
      </c>
      <c r="D33" s="2" t="str">
        <f>IFERROR(__xludf.DUMMYFUNCTION("""COMPUTED_VALUE"""),"jardinage")</f>
        <v>jardinage</v>
      </c>
    </row>
    <row r="34">
      <c r="A34" s="2" t="str">
        <f>IFERROR(__xludf.DUMMYFUNCTION("""COMPUTED_VALUE"""),"*Marie France*")</f>
        <v>*Marie France*</v>
      </c>
      <c r="B34" s="2" t="str">
        <f>IFERROR(__xludf.DUMMYFUNCTION("""COMPUTED_VALUE"""),"100 164")</f>
        <v>100 164</v>
      </c>
      <c r="C34" s="2" t="str">
        <f>IFERROR(__xludf.DUMMYFUNCTION("""COMPUTED_VALUE"""),"82 315")</f>
        <v>82 315</v>
      </c>
      <c r="D34" s="2" t="str">
        <f>IFERROR(__xludf.DUMMYFUNCTION("""COMPUTED_VALUE"""),"féminin")</f>
        <v>féminin</v>
      </c>
    </row>
    <row r="35">
      <c r="A35" s="2" t="str">
        <f>IFERROR(__xludf.DUMMYFUNCTION("""COMPUTED_VALUE"""),"*Pomme d'Api*")</f>
        <v>*Pomme d'Api*</v>
      </c>
      <c r="B35" s="2" t="str">
        <f>IFERROR(__xludf.DUMMYFUNCTION("""COMPUTED_VALUE"""),"94 854")</f>
        <v>94 854</v>
      </c>
      <c r="C35" s="2" t="str">
        <f>IFERROR(__xludf.DUMMYFUNCTION("""COMPUTED_VALUE"""),"101 556")</f>
        <v>101 556</v>
      </c>
      <c r="D35" s="2" t="str">
        <f>IFERROR(__xludf.DUMMYFUNCTION("""COMPUTED_VALUE"""),"jeunesse")</f>
        <v>jeunesse</v>
      </c>
    </row>
    <row r="36">
      <c r="A36" s="2" t="str">
        <f>IFERROR(__xludf.DUMMYFUNCTION("""COMPUTED_VALUE"""),"*Femme Actuelle Jeux*")</f>
        <v>*Femme Actuelle Jeux*</v>
      </c>
      <c r="B36" s="2" t="str">
        <f>IFERROR(__xludf.DUMMYFUNCTION("""COMPUTED_VALUE"""),"94 850")</f>
        <v>94 850</v>
      </c>
      <c r="C36" s="2" t="str">
        <f>IFERROR(__xludf.DUMMYFUNCTION("""COMPUTED_VALUE"""),"71 064")</f>
        <v>71 064</v>
      </c>
      <c r="D36" s="2" t="str">
        <f>IFERROR(__xludf.DUMMYFUNCTION("""COMPUTED_VALUE"""),"jeux")</f>
        <v>jeux</v>
      </c>
    </row>
    <row r="37">
      <c r="A37" s="2" t="str">
        <f>IFERROR(__xludf.DUMMYFUNCTION("""COMPUTED_VALUE"""),"*Cuisine Actuelle*")</f>
        <v>*Cuisine Actuelle*</v>
      </c>
      <c r="B37" s="2" t="str">
        <f>IFERROR(__xludf.DUMMYFUNCTION("""COMPUTED_VALUE"""),"94 524")</f>
        <v>94 524</v>
      </c>
      <c r="C37" s="2" t="str">
        <f>IFERROR(__xludf.DUMMYFUNCTION("""COMPUTED_VALUE"""),"99 299")</f>
        <v>99 299</v>
      </c>
      <c r="D37" s="2" t="str">
        <f>IFERROR(__xludf.DUMMYFUNCTION("""COMPUTED_VALUE"""),"cuisine")</f>
        <v>cuisine</v>
      </c>
    </row>
    <row r="38">
      <c r="A38" s="2" t="str">
        <f>IFERROR(__xludf.DUMMYFUNCTION("""COMPUTED_VALUE"""),"*Système D*")</f>
        <v>*Système D*</v>
      </c>
      <c r="B38" s="2" t="str">
        <f>IFERROR(__xludf.DUMMYFUNCTION("""COMPUTED_VALUE"""),"92 994")</f>
        <v>92 994</v>
      </c>
      <c r="C38" s="2" t="str">
        <f>IFERROR(__xludf.DUMMYFUNCTION("""COMPUTED_VALUE"""),"81 436")</f>
        <v>81 436</v>
      </c>
      <c r="D38" s="2" t="str">
        <f>IFERROR(__xludf.DUMMYFUNCTION("""COMPUTED_VALUE"""),"bricolage")</f>
        <v>bricolage</v>
      </c>
    </row>
    <row r="39">
      <c r="A39" s="2" t="str">
        <f>IFERROR(__xludf.DUMMYFUNCTION("""COMPUTED_VALUE"""),"*L'Automobile Magazine*")</f>
        <v>*L'Automobile Magazine*</v>
      </c>
      <c r="B39" s="2" t="str">
        <f>IFERROR(__xludf.DUMMYFUNCTION("""COMPUTED_VALUE"""),"91 035")</f>
        <v>91 035</v>
      </c>
      <c r="C39" s="2" t="str">
        <f>IFERROR(__xludf.DUMMYFUNCTION("""COMPUTED_VALUE"""),"72 558")</f>
        <v>72 558</v>
      </c>
      <c r="D39" s="2" t="str">
        <f>IFERROR(__xludf.DUMMYFUNCTION("""COMPUTED_VALUE"""),"automobile")</f>
        <v>automobile</v>
      </c>
    </row>
    <row r="40">
      <c r="A40" s="2" t="str">
        <f>IFERROR(__xludf.DUMMYFUNCTION("""COMPUTED_VALUE"""),"*Vogue*")</f>
        <v>*Vogue*</v>
      </c>
      <c r="B40" s="2" t="str">
        <f>IFERROR(__xludf.DUMMYFUNCTION("""COMPUTED_VALUE"""),"88 668")</f>
        <v>88 668</v>
      </c>
      <c r="C40" s="2" t="str">
        <f>IFERROR(__xludf.DUMMYFUNCTION("""COMPUTED_VALUE"""),"81 636")</f>
        <v>81 636</v>
      </c>
      <c r="D40" s="2" t="str">
        <f>IFERROR(__xludf.DUMMYFUNCTION("""COMPUTED_VALUE"""),"féminin")</f>
        <v>féminin</v>
      </c>
    </row>
    <row r="41">
      <c r="A41" s="2" t="str">
        <f>IFERROR(__xludf.DUMMYFUNCTION("""COMPUTED_VALUE"""),"*Picsou Magazine*")</f>
        <v>*Picsou Magazine*</v>
      </c>
      <c r="B41" s="2" t="str">
        <f>IFERROR(__xludf.DUMMYFUNCTION("""COMPUTED_VALUE"""),"83 193")</f>
        <v>83 193</v>
      </c>
      <c r="C41" s="2" t="str">
        <f>IFERROR(__xludf.DUMMYFUNCTION("""COMPUTED_VALUE"""),"96 360")</f>
        <v>96 360</v>
      </c>
      <c r="D41" s="2" t="str">
        <f>IFERROR(__xludf.DUMMYFUNCTION("""COMPUTED_VALUE"""),"jeunesse")</f>
        <v>jeunesse</v>
      </c>
    </row>
    <row r="42">
      <c r="A42" s="2" t="str">
        <f>IFERROR(__xludf.DUMMYFUNCTION("""COMPUTED_VALUE"""),"*L'Ami des jardins et de la maison*")</f>
        <v>*L'Ami des jardins et de la maison*</v>
      </c>
      <c r="B42" s="2" t="str">
        <f>IFERROR(__xludf.DUMMYFUNCTION("""COMPUTED_VALUE"""),"81 536")</f>
        <v>81 536</v>
      </c>
      <c r="C42" s="2" t="str">
        <f>IFERROR(__xludf.DUMMYFUNCTION("""COMPUTED_VALUE"""),"82 303")</f>
        <v>82 303</v>
      </c>
      <c r="D42" s="2" t="str">
        <f>IFERROR(__xludf.DUMMYFUNCTION("""COMPUTED_VALUE"""),"jardinage")</f>
        <v>jardinage</v>
      </c>
    </row>
    <row r="43">
      <c r="A43" s="2" t="str">
        <f>IFERROR(__xludf.DUMMYFUNCTION("""COMPUTED_VALUE"""),"*Marie Claire Maison*")</f>
        <v>*Marie Claire Maison*</v>
      </c>
      <c r="B43" s="2" t="str">
        <f>IFERROR(__xludf.DUMMYFUNCTION("""COMPUTED_VALUE"""),"80 790")</f>
        <v>80 790</v>
      </c>
      <c r="C43" s="2" t="str">
        <f>IFERROR(__xludf.DUMMYFUNCTION("""COMPUTED_VALUE"""),"84 593")</f>
        <v>84 593</v>
      </c>
      <c r="D43" s="2" t="str">
        <f>IFERROR(__xludf.DUMMYFUNCTION("""COMPUTED_VALUE"""),"bricolage")</f>
        <v>bricolage</v>
      </c>
    </row>
    <row r="44">
      <c r="A44" s="2" t="str">
        <f>IFERROR(__xludf.DUMMYFUNCTION("""COMPUTED_VALUE"""),"*Alternatives économiques*")</f>
        <v>*Alternatives économiques*</v>
      </c>
      <c r="B44" s="2" t="str">
        <f>IFERROR(__xludf.DUMMYFUNCTION("""COMPUTED_VALUE"""),"72 342")</f>
        <v>72 342</v>
      </c>
      <c r="C44" s="2" t="str">
        <f>IFERROR(__xludf.DUMMYFUNCTION("""COMPUTED_VALUE"""),"63 344")</f>
        <v>63 344</v>
      </c>
      <c r="D44" s="2" t="str">
        <f>IFERROR(__xludf.DUMMYFUNCTION("""COMPUTED_VALUE"""),"économique")</f>
        <v>économique</v>
      </c>
    </row>
    <row r="45">
      <c r="A45" s="2" t="str">
        <f>IFERROR(__xludf.DUMMYFUNCTION("""COMPUTED_VALUE"""),"*Mickey Junior*")</f>
        <v>*Mickey Junior*</v>
      </c>
      <c r="B45" s="2" t="str">
        <f>IFERROR(__xludf.DUMMYFUNCTION("""COMPUTED_VALUE"""),"67 567")</f>
        <v>67 567</v>
      </c>
      <c r="C45" s="2"/>
      <c r="D45" s="2" t="str">
        <f>IFERROR(__xludf.DUMMYFUNCTION("""COMPUTED_VALUE"""),"jeunesse")</f>
        <v>jeunesse</v>
      </c>
    </row>
    <row r="46">
      <c r="A46" s="2" t="str">
        <f>IFERROR(__xludf.DUMMYFUNCTION("""COMPUTED_VALUE"""),"*Première*")</f>
        <v>*Première*</v>
      </c>
      <c r="B46" s="2" t="str">
        <f>IFERROR(__xludf.DUMMYFUNCTION("""COMPUTED_VALUE"""),"65 200")</f>
        <v>65 200</v>
      </c>
      <c r="C46" s="2" t="str">
        <f>IFERROR(__xludf.DUMMYFUNCTION("""COMPUTED_VALUE"""),"55 503")</f>
        <v>55 503</v>
      </c>
      <c r="D46" s="2" t="str">
        <f>IFERROR(__xludf.DUMMYFUNCTION("""COMPUTED_VALUE"""),"cinéma")</f>
        <v>cinéma</v>
      </c>
    </row>
    <row r="47">
      <c r="A47" s="2" t="str">
        <f>IFERROR(__xludf.DUMMYFUNCTION("""COMPUTED_VALUE"""),"*Beaux-Arts Magazine*")</f>
        <v>*Beaux-Arts Magazine*</v>
      </c>
      <c r="B47" s="2" t="str">
        <f>IFERROR(__xludf.DUMMYFUNCTION("""COMPUTED_VALUE"""),"62 507")</f>
        <v>62 507</v>
      </c>
      <c r="C47" s="2" t="str">
        <f>IFERROR(__xludf.DUMMYFUNCTION("""COMPUTED_VALUE"""),"64 029")</f>
        <v>64 029</v>
      </c>
      <c r="D47" s="2" t="str">
        <f>IFERROR(__xludf.DUMMYFUNCTION("""COMPUTED_VALUE"""),"arts")</f>
        <v>arts</v>
      </c>
    </row>
    <row r="48">
      <c r="A48" s="2" t="str">
        <f>IFERROR(__xludf.DUMMYFUNCTION("""COMPUTED_VALUE"""),"*Vanity Fair*")</f>
        <v>*Vanity Fair*</v>
      </c>
      <c r="B48" s="2" t="str">
        <f>IFERROR(__xludf.DUMMYFUNCTION("""COMPUTED_VALUE"""),"61 739")</f>
        <v>61 739</v>
      </c>
      <c r="C48" s="2" t="str">
        <f>IFERROR(__xludf.DUMMYFUNCTION("""COMPUTED_VALUE"""),"48 676")</f>
        <v>48 676</v>
      </c>
      <c r="D48" s="2" t="str">
        <f>IFERROR(__xludf.DUMMYFUNCTION("""COMPUTED_VALUE"""),"mode")</f>
        <v>mode</v>
      </c>
    </row>
    <row r="49">
      <c r="A49" s="2" t="str">
        <f>IFERROR(__xludf.DUMMYFUNCTION("""COMPUTED_VALUE"""),"*Epsiloon*")</f>
        <v>*Epsiloon*</v>
      </c>
      <c r="B49" s="2" t="str">
        <f>IFERROR(__xludf.DUMMYFUNCTION("""COMPUTED_VALUE"""),"*inexistant*")</f>
        <v>*inexistant*</v>
      </c>
      <c r="C49" s="2" t="str">
        <f>IFERROR(__xludf.DUMMYFUNCTION("""COMPUTED_VALUE"""),"59 520")</f>
        <v>59 520</v>
      </c>
      <c r="D49" s="2" t="str">
        <f>IFERROR(__xludf.DUMMYFUNCTION("""COMPUTED_VALUE"""),"science")</f>
        <v>science</v>
      </c>
    </row>
    <row r="50">
      <c r="A50" s="2" t="str">
        <f>IFERROR(__xludf.DUMMYFUNCTION("""COMPUTED_VALUE"""),"*Popi*")</f>
        <v>*Popi*</v>
      </c>
      <c r="B50" s="2" t="str">
        <f>IFERROR(__xludf.DUMMYFUNCTION("""COMPUTED_VALUE"""),"57 219")</f>
        <v>57 219</v>
      </c>
      <c r="C50" s="2" t="str">
        <f>IFERROR(__xludf.DUMMYFUNCTION("""COMPUTED_VALUE"""),"64 029")</f>
        <v>64 029</v>
      </c>
      <c r="D50" s="2" t="str">
        <f>IFERROR(__xludf.DUMMYFUNCTION("""COMPUTED_VALUE"""),"jeunesse")</f>
        <v>jeunesse</v>
      </c>
    </row>
    <row r="51">
      <c r="A51" s="2" t="str">
        <f>IFERROR(__xludf.DUMMYFUNCTION("""COMPUTED_VALUE"""),"*Les Belles Histoires*")</f>
        <v>*Les Belles Histoires*</v>
      </c>
      <c r="B51" s="2" t="str">
        <f>IFERROR(__xludf.DUMMYFUNCTION("""COMPUTED_VALUE"""),"57 012")</f>
        <v>57 012</v>
      </c>
      <c r="C51" s="2"/>
      <c r="D51" s="2" t="str">
        <f>IFERROR(__xludf.DUMMYFUNCTION("""COMPUTED_VALUE"""),"jeunesse")</f>
        <v>jeunesse</v>
      </c>
    </row>
    <row r="52">
      <c r="A52" s="2" t="str">
        <f>IFERROR(__xludf.DUMMYFUNCTION("""COMPUTED_VALUE"""),"*Historia*")</f>
        <v>*Historia*</v>
      </c>
      <c r="B52" s="2" t="str">
        <f>IFERROR(__xludf.DUMMYFUNCTION("""COMPUTED_VALUE"""),"55 947")</f>
        <v>55 947</v>
      </c>
      <c r="C52" s="2" t="str">
        <f>IFERROR(__xludf.DUMMYFUNCTION("""COMPUTED_VALUE"""),"60 720")</f>
        <v>60 720</v>
      </c>
      <c r="D52" s="2" t="str">
        <f>IFERROR(__xludf.DUMMYFUNCTION("""COMPUTED_VALUE"""),"histoire")</f>
        <v>histoire</v>
      </c>
    </row>
    <row r="53">
      <c r="A53" s="2" t="str">
        <f>IFERROR(__xludf.DUMMYFUNCTION("""COMPUTED_VALUE"""),"*Youpi*")</f>
        <v>*Youpi*</v>
      </c>
      <c r="B53" s="2" t="str">
        <f>IFERROR(__xludf.DUMMYFUNCTION("""COMPUTED_VALUE"""),"55 734")</f>
        <v>55 734</v>
      </c>
      <c r="C53" s="2"/>
      <c r="D53" s="2" t="str">
        <f>IFERROR(__xludf.DUMMYFUNCTION("""COMPUTED_VALUE"""),"jeunesse")</f>
        <v>jeunesse</v>
      </c>
    </row>
    <row r="54">
      <c r="A54" s="2" t="str">
        <f>IFERROR(__xludf.DUMMYFUNCTION("""COMPUTED_VALUE"""),"*30 Millions d'Amis*")</f>
        <v>*30 Millions d'Amis*</v>
      </c>
      <c r="B54" s="2" t="str">
        <f>IFERROR(__xludf.DUMMYFUNCTION("""COMPUTED_VALUE"""),"55 521")</f>
        <v>55 521</v>
      </c>
      <c r="C54" s="2" t="str">
        <f>IFERROR(__xludf.DUMMYFUNCTION("""COMPUTED_VALUE"""),"49 193")</f>
        <v>49 193</v>
      </c>
      <c r="D54" s="2" t="str">
        <f>IFERROR(__xludf.DUMMYFUNCTION("""COMPUTED_VALUE"""),"animaux")</f>
        <v>animaux</v>
      </c>
    </row>
    <row r="55">
      <c r="A55" s="2" t="str">
        <f>IFERROR(__xludf.DUMMYFUNCTION("""COMPUTED_VALUE"""),"*L'Université Syndicaliste*")</f>
        <v>*L'Université Syndicaliste*</v>
      </c>
      <c r="B55" s="2" t="str">
        <f>IFERROR(__xludf.DUMMYFUNCTION("""COMPUTED_VALUE"""),"54 477")</f>
        <v>54 477</v>
      </c>
      <c r="C55" s="2" t="str">
        <f>IFERROR(__xludf.DUMMYFUNCTION("""COMPUTED_VALUE"""),"51 635")</f>
        <v>51 635</v>
      </c>
      <c r="D55" s="2" t="str">
        <f>IFERROR(__xludf.DUMMYFUNCTION("""COMPUTED_VALUE"""),"syndicat")</f>
        <v>syndicat</v>
      </c>
    </row>
    <row r="56">
      <c r="A56" s="2" t="str">
        <f>IFERROR(__xludf.DUMMYFUNCTION("""COMPUTED_VALUE"""),"*Abricot*")</f>
        <v>*Abricot*</v>
      </c>
      <c r="B56" s="2" t="str">
        <f>IFERROR(__xludf.DUMMYFUNCTION("""COMPUTED_VALUE"""),"54 303")</f>
        <v>54 303</v>
      </c>
      <c r="C56" s="2" t="str">
        <f>IFERROR(__xludf.DUMMYFUNCTION("""COMPUTED_VALUE"""),"64 010")</f>
        <v>64 010</v>
      </c>
      <c r="D56" s="2" t="str">
        <f>IFERROR(__xludf.DUMMYFUNCTION("""COMPUTED_VALUE"""),"jeunesse")</f>
        <v>jeunesse</v>
      </c>
    </row>
    <row r="57">
      <c r="A57" s="2" t="str">
        <f>IFERROR(__xludf.DUMMYFUNCTION("""COMPUTED_VALUE"""),"*Wapiti*")</f>
        <v>*Wapiti*</v>
      </c>
      <c r="B57" s="2" t="str">
        <f>IFERROR(__xludf.DUMMYFUNCTION("""COMPUTED_VALUE"""),"53 240")</f>
        <v>53 240</v>
      </c>
      <c r="C57" s="2" t="str">
        <f>IFERROR(__xludf.DUMMYFUNCTION("""COMPUTED_VALUE"""),"59 822")</f>
        <v>59 822</v>
      </c>
      <c r="D57" s="2" t="str">
        <f>IFERROR(__xludf.DUMMYFUNCTION("""COMPUTED_VALUE"""),"jeunesse")</f>
        <v>jeunesse</v>
      </c>
    </row>
    <row r="58">
      <c r="A58" s="2" t="str">
        <f>IFERROR(__xludf.DUMMYFUNCTION("""COMPUTED_VALUE"""),"Images Doc")</f>
        <v>Images Doc</v>
      </c>
      <c r="B58" s="2" t="str">
        <f>IFERROR(__xludf.DUMMYFUNCTION("""COMPUTED_VALUE"""),"53 186")</f>
        <v>53 186</v>
      </c>
      <c r="C58" s="2" t="str">
        <f>IFERROR(__xludf.DUMMYFUNCTION("""COMPUTED_VALUE"""),"56 325")</f>
        <v>56 325</v>
      </c>
      <c r="D58" s="2" t="str">
        <f>IFERROR(__xludf.DUMMYFUNCTION("""COMPUTED_VALUE"""),"jeunesse")</f>
        <v>jeunesse</v>
      </c>
    </row>
    <row r="59">
      <c r="A59" s="2" t="str">
        <f>IFERROR(__xludf.DUMMYFUNCTION("""COMPUTED_VALUE"""),"Moto Magazine")</f>
        <v>Moto Magazine</v>
      </c>
      <c r="B59" s="2" t="str">
        <f>IFERROR(__xludf.DUMMYFUNCTION("""COMPUTED_VALUE"""),"52 619")</f>
        <v>52 619</v>
      </c>
      <c r="C59" s="2" t="str">
        <f>IFERROR(__xludf.DUMMYFUNCTION("""COMPUTED_VALUE"""),"46 711")</f>
        <v>46 711</v>
      </c>
      <c r="D59" s="2" t="str">
        <f>IFERROR(__xludf.DUMMYFUNCTION("""COMPUTED_VALUE"""),"motocyclisme")</f>
        <v>motocyclisme</v>
      </c>
    </row>
    <row r="60">
      <c r="A60" s="2" t="str">
        <f>IFERROR(__xludf.DUMMYFUNCTION("""COMPUTED_VALUE"""),"*GQ*")</f>
        <v>*GQ*</v>
      </c>
      <c r="B60" s="2" t="str">
        <f>IFERROR(__xludf.DUMMYFUNCTION("""COMPUTED_VALUE"""),"52 410")</f>
        <v>52 410</v>
      </c>
      <c r="C60" s="2"/>
      <c r="D60" s="2" t="str">
        <f>IFERROR(__xludf.DUMMYFUNCTION("""COMPUTED_VALUE"""),"masculin")</f>
        <v>masculin</v>
      </c>
    </row>
    <row r="61">
      <c r="A61" s="2" t="str">
        <f>IFERROR(__xludf.DUMMYFUNCTION("""COMPUTED_VALUE"""),"*Sélection Reader's Digest*")</f>
        <v>*Sélection Reader's Digest*</v>
      </c>
      <c r="B61" s="2" t="str">
        <f>IFERROR(__xludf.DUMMYFUNCTION("""COMPUTED_VALUE"""),"50 453")</f>
        <v>50 453</v>
      </c>
      <c r="C61" s="2"/>
      <c r="D61" s="2" t="str">
        <f>IFERROR(__xludf.DUMMYFUNCTION("""COMPUTED_VALUE"""),"généraliste")</f>
        <v>généraliste</v>
      </c>
    </row>
    <row r="62">
      <c r="A62" s="2" t="str">
        <f>IFERROR(__xludf.DUMMYFUNCTION("""COMPUTED_VALUE"""),"Saveurs Magazine")</f>
        <v>Saveurs Magazine</v>
      </c>
      <c r="B62" s="2" t="str">
        <f>IFERROR(__xludf.DUMMYFUNCTION("""COMPUTED_VALUE"""),"49 647")</f>
        <v>49 647</v>
      </c>
      <c r="C62" s="2"/>
      <c r="D62" s="2" t="str">
        <f>IFERROR(__xludf.DUMMYFUNCTION("""COMPUTED_VALUE"""),"cuisine")</f>
        <v>cuisine</v>
      </c>
    </row>
    <row r="63">
      <c r="A63" s="2" t="str">
        <f>IFERROR(__xludf.DUMMYFUNCTION("""COMPUTED_VALUE"""),"*Midi Olympique Magazine*")</f>
        <v>*Midi Olympique Magazine*</v>
      </c>
      <c r="B63" s="2" t="str">
        <f>IFERROR(__xludf.DUMMYFUNCTION("""COMPUTED_VALUE"""),"49 097")</f>
        <v>49 097</v>
      </c>
      <c r="C63" s="2"/>
      <c r="D63" s="2" t="str">
        <f>IFERROR(__xludf.DUMMYFUNCTION("""COMPUTED_VALUE"""),"sport")</f>
        <v>sport</v>
      </c>
    </row>
    <row r="64">
      <c r="A64" s="2" t="str">
        <f>IFERROR(__xludf.DUMMYFUNCTION("""COMPUTED_VALUE"""),"Vélo Magazine")</f>
        <v>Vélo Magazine</v>
      </c>
      <c r="B64" s="2" t="str">
        <f>IFERROR(__xludf.DUMMYFUNCTION("""COMPUTED_VALUE"""),"48 714")</f>
        <v>48 714</v>
      </c>
      <c r="C64" s="2"/>
      <c r="D64" s="2" t="str">
        <f>IFERROR(__xludf.DUMMYFUNCTION("""COMPUTED_VALUE"""),"cyclisme")</f>
        <v>cyclisme</v>
      </c>
    </row>
    <row r="65">
      <c r="A65" s="2" t="str">
        <f>IFERROR(__xludf.DUMMYFUNCTION("""COMPUTED_VALUE"""),"L'Histoire")</f>
        <v>L'Histoire</v>
      </c>
      <c r="B65" s="2" t="str">
        <f>IFERROR(__xludf.DUMMYFUNCTION("""COMPUTED_VALUE"""),"47 850")</f>
        <v>47 850</v>
      </c>
      <c r="C65" s="2" t="str">
        <f>IFERROR(__xludf.DUMMYFUNCTION("""COMPUTED_VALUE"""),"51 532")</f>
        <v>51 532</v>
      </c>
      <c r="D65" s="2" t="str">
        <f>IFERROR(__xludf.DUMMYFUNCTION("""COMPUTED_VALUE"""),"histoire")</f>
        <v>histoire</v>
      </c>
    </row>
    <row r="66">
      <c r="A66" s="2" t="str">
        <f>IFERROR(__xludf.DUMMYFUNCTION("""COMPUTED_VALUE"""),"So Foot")</f>
        <v>So Foot</v>
      </c>
      <c r="B66" s="2" t="str">
        <f>IFERROR(__xludf.DUMMYFUNCTION("""COMPUTED_VALUE"""),"47 537")</f>
        <v>47 537</v>
      </c>
      <c r="C66" s="2"/>
      <c r="D66" s="2" t="str">
        <f>IFERROR(__xludf.DUMMYFUNCTION("""COMPUTED_VALUE"""),"sport")</f>
        <v>sport</v>
      </c>
    </row>
    <row r="67">
      <c r="A67" s="2" t="str">
        <f>IFERROR(__xludf.DUMMYFUNCTION("""COMPUTED_VALUE"""),"Options au Cœur du Social")</f>
        <v>Options au Cœur du Social</v>
      </c>
      <c r="B67" s="2" t="str">
        <f>IFERROR(__xludf.DUMMYFUNCTION("""COMPUTED_VALUE"""),"47 231")</f>
        <v>47 231</v>
      </c>
      <c r="C67" s="2"/>
      <c r="D67" s="2" t="str">
        <f>IFERROR(__xludf.DUMMYFUNCTION("""COMPUTED_VALUE"""),"syndicat")</f>
        <v>syndicat</v>
      </c>
    </row>
    <row r="68">
      <c r="A68" s="2" t="str">
        <f>IFERROR(__xludf.DUMMYFUNCTION("""COMPUTED_VALUE"""),"*Lire*")</f>
        <v>*Lire*</v>
      </c>
      <c r="B68" s="2" t="str">
        <f>IFERROR(__xludf.DUMMYFUNCTION("""COMPUTED_VALUE"""),"46 257")</f>
        <v>46 257</v>
      </c>
      <c r="C68" s="2" t="str">
        <f>IFERROR(__xludf.DUMMYFUNCTION("""COMPUTED_VALUE"""),"46 190")</f>
        <v>46 190</v>
      </c>
      <c r="D68" s="2" t="str">
        <f>IFERROR(__xludf.DUMMYFUNCTION("""COMPUTED_VALUE"""),"littérature")</f>
        <v>littérature</v>
      </c>
    </row>
    <row r="69">
      <c r="A69" s="2" t="str">
        <f>IFERROR(__xludf.DUMMYFUNCTION("""COMPUTED_VALUE"""),"*Mes premiers J'aime lire*")</f>
        <v>*Mes premiers J'aime lire*</v>
      </c>
      <c r="B69" s="2" t="str">
        <f>IFERROR(__xludf.DUMMYFUNCTION("""COMPUTED_VALUE"""),"45 380")</f>
        <v>45 380</v>
      </c>
      <c r="C69" s="2"/>
      <c r="D69" s="2" t="str">
        <f>IFERROR(__xludf.DUMMYFUNCTION("""COMPUTED_VALUE"""),"jeunesse")</f>
        <v>jeunesse</v>
      </c>
    </row>
    <row r="70">
      <c r="A70" s="2" t="str">
        <f>IFERROR(__xludf.DUMMYFUNCTION("""COMPUTED_VALUE"""),"*National Geographic*")</f>
        <v>*National Geographic*</v>
      </c>
      <c r="B70" s="2" t="str">
        <f>IFERROR(__xludf.DUMMYFUNCTION("""COMPUTED_VALUE"""),"44 259")</f>
        <v>44 259</v>
      </c>
      <c r="C70" s="2"/>
      <c r="D70" s="2" t="str">
        <f>IFERROR(__xludf.DUMMYFUNCTION("""COMPUTED_VALUE"""),"voyages")</f>
        <v>voyages</v>
      </c>
    </row>
    <row r="71">
      <c r="A71" s="2" t="str">
        <f>IFERROR(__xludf.DUMMYFUNCTION("""COMPUTED_VALUE"""),"*Sport Auto*")</f>
        <v>*Sport Auto*</v>
      </c>
      <c r="B71" s="2" t="str">
        <f>IFERROR(__xludf.DUMMYFUNCTION("""COMPUTED_VALUE"""),"44 258")</f>
        <v>44 258</v>
      </c>
      <c r="C71" s="2"/>
      <c r="D71" s="2" t="str">
        <f>IFERROR(__xludf.DUMMYFUNCTION("""COMPUTED_VALUE"""),"automobile")</f>
        <v>automobile</v>
      </c>
    </row>
    <row r="72">
      <c r="A72" s="2" t="str">
        <f>IFERROR(__xludf.DUMMYFUNCTION("""COMPUTED_VALUE"""),"*Science et Vie Découvertes*")</f>
        <v>*Science et Vie Découvertes*</v>
      </c>
      <c r="B72" s="2" t="str">
        <f>IFERROR(__xludf.DUMMYFUNCTION("""COMPUTED_VALUE"""),"43 459")</f>
        <v>43 459</v>
      </c>
      <c r="C72" s="2"/>
      <c r="D72" s="2" t="str">
        <f>IFERROR(__xludf.DUMMYFUNCTION("""COMPUTED_VALUE"""),"sciences")</f>
        <v>sciences</v>
      </c>
    </row>
    <row r="73">
      <c r="A73" s="2" t="str">
        <f>IFERROR(__xludf.DUMMYFUNCTION("""COMPUTED_VALUE"""),"*Connaissance des arts*")</f>
        <v>*Connaissance des arts*</v>
      </c>
      <c r="B73" s="2" t="str">
        <f>IFERROR(__xludf.DUMMYFUNCTION("""COMPUTED_VALUE"""),"43 072")</f>
        <v>43 072</v>
      </c>
      <c r="C73" s="2"/>
      <c r="D73" s="2" t="str">
        <f>IFERROR(__xludf.DUMMYFUNCTION("""COMPUTED_VALUE"""),"arts")</f>
        <v>arts</v>
      </c>
    </row>
    <row r="74">
      <c r="A74" s="2" t="str">
        <f>IFERROR(__xludf.DUMMYFUNCTION("""COMPUTED_VALUE"""),"*Réponse à tout*")</f>
        <v>*Réponse à tout*</v>
      </c>
      <c r="B74" s="2" t="str">
        <f>IFERROR(__xludf.DUMMYFUNCTION("""COMPUTED_VALUE"""),"42 581")</f>
        <v>42 581</v>
      </c>
      <c r="C74" s="2"/>
      <c r="D74" s="2" t="str">
        <f>IFERROR(__xludf.DUMMYFUNCTION("""COMPUTED_VALUE"""),"sciences")</f>
        <v>sciences</v>
      </c>
    </row>
    <row r="75">
      <c r="A75" s="2" t="str">
        <f>IFERROR(__xludf.DUMMYFUNCTION("""COMPUTED_VALUE"""),"*Camping-car Magazine*")</f>
        <v>*Camping-car Magazine*</v>
      </c>
      <c r="B75" s="2" t="str">
        <f>IFERROR(__xludf.DUMMYFUNCTION("""COMPUTED_VALUE"""),"42 421")</f>
        <v>42 421</v>
      </c>
      <c r="C75" s="2"/>
      <c r="D75" s="2" t="str">
        <f>IFERROR(__xludf.DUMMYFUNCTION("""COMPUTED_VALUE"""),"voyages")</f>
        <v>voyages</v>
      </c>
    </row>
    <row r="76">
      <c r="A76" s="2" t="str">
        <f>IFERROR(__xludf.DUMMYFUNCTION("""COMPUTED_VALUE"""),"*Management*")</f>
        <v>*Management*</v>
      </c>
      <c r="B76" s="2" t="str">
        <f>IFERROR(__xludf.DUMMYFUNCTION("""COMPUTED_VALUE"""),"40 894")</f>
        <v>40 894</v>
      </c>
      <c r="C76" s="2"/>
      <c r="D76" s="2" t="str">
        <f>IFERROR(__xludf.DUMMYFUNCTION("""COMPUTED_VALUE"""),"économique")</f>
        <v>économique</v>
      </c>
    </row>
    <row r="77">
      <c r="A77" s="2" t="str">
        <f>IFERROR(__xludf.DUMMYFUNCTION("""COMPUTED_VALUE"""),"*J'Aime Lire Max*")</f>
        <v>*J'Aime Lire Max*</v>
      </c>
      <c r="B77" s="2" t="str">
        <f>IFERROR(__xludf.DUMMYFUNCTION("""COMPUTED_VALUE"""),"40 664")</f>
        <v>40 664</v>
      </c>
      <c r="C77" s="2"/>
      <c r="D77" s="2" t="str">
        <f>IFERROR(__xludf.DUMMYFUNCTION("""COMPUTED_VALUE"""),"littérature")</f>
        <v>littérature</v>
      </c>
    </row>
    <row r="78">
      <c r="A78" s="2" t="str">
        <f>IFERROR(__xludf.DUMMYFUNCTION("""COMPUTED_VALUE"""),"*Toupie*")</f>
        <v>*Toupie*</v>
      </c>
      <c r="B78" s="2" t="str">
        <f>IFERROR(__xludf.DUMMYFUNCTION("""COMPUTED_VALUE"""),"39 753")</f>
        <v>39 753</v>
      </c>
      <c r="C78" s="2"/>
      <c r="D78" s="2" t="str">
        <f>IFERROR(__xludf.DUMMYFUNCTION("""COMPUTED_VALUE"""),"jeunesse")</f>
        <v>jeunesse</v>
      </c>
    </row>
    <row r="79">
      <c r="A79" s="2" t="str">
        <f>IFERROR(__xludf.DUMMYFUNCTION("""COMPUTED_VALUE"""),"*Gazoline Magazine*")</f>
        <v>*Gazoline Magazine*</v>
      </c>
      <c r="B79" s="2" t="str">
        <f>IFERROR(__xludf.DUMMYFUNCTION("""COMPUTED_VALUE"""),"39 640")</f>
        <v>39 640</v>
      </c>
      <c r="C79" s="2"/>
      <c r="D79" s="2" t="str">
        <f>IFERROR(__xludf.DUMMYFUNCTION("""COMPUTED_VALUE"""),"automobile")</f>
        <v>automobile</v>
      </c>
    </row>
    <row r="80">
      <c r="A80" s="2" t="str">
        <f>IFERROR(__xludf.DUMMYFUNCTION("""COMPUTED_VALUE"""),"*Wakou*")</f>
        <v>*Wakou*</v>
      </c>
      <c r="B80" s="2" t="str">
        <f>IFERROR(__xludf.DUMMYFUNCTION("""COMPUTED_VALUE"""),"38 375")</f>
        <v>38 375</v>
      </c>
      <c r="C80" s="2"/>
      <c r="D80" s="2" t="str">
        <f>IFERROR(__xludf.DUMMYFUNCTION("""COMPUTED_VALUE"""),"jeunesse")</f>
        <v>jeunesse</v>
      </c>
    </row>
    <row r="81">
      <c r="A81" s="2" t="str">
        <f>IFERROR(__xludf.DUMMYFUNCTION("""COMPUTED_VALUE"""),"*La Revue Nationale de la Chasse*")</f>
        <v>*La Revue Nationale de la Chasse*</v>
      </c>
      <c r="B81" s="2" t="str">
        <f>IFERROR(__xludf.DUMMYFUNCTION("""COMPUTED_VALUE"""),"38 055")</f>
        <v>38 055</v>
      </c>
      <c r="C81" s="2"/>
      <c r="D81" s="2" t="str">
        <f>IFERROR(__xludf.DUMMYFUNCTION("""COMPUTED_VALUE"""),"chasse")</f>
        <v>chasse</v>
      </c>
    </row>
    <row r="82">
      <c r="A82" s="2" t="str">
        <f>IFERROR(__xludf.DUMMYFUNCTION("""COMPUTED_VALUE"""),"*Causette*")</f>
        <v>*Causette*</v>
      </c>
      <c r="B82" s="2" t="str">
        <f>IFERROR(__xludf.DUMMYFUNCTION("""COMPUTED_VALUE"""),"36 261")</f>
        <v>36 261</v>
      </c>
      <c r="C82" s="2"/>
      <c r="D82" s="2" t="str">
        <f>IFERROR(__xludf.DUMMYFUNCTION("""COMPUTED_VALUE"""),"féminin")</f>
        <v>féminin</v>
      </c>
    </row>
    <row r="83">
      <c r="A83" s="2" t="str">
        <f>IFERROR(__xludf.DUMMYFUNCTION("""COMPUTED_VALUE"""),"*Philosophie Magazine*")</f>
        <v>*Philosophie Magazine*</v>
      </c>
      <c r="B83" s="2" t="str">
        <f>IFERROR(__xludf.DUMMYFUNCTION("""COMPUTED_VALUE"""),"35 929")</f>
        <v>35 929</v>
      </c>
      <c r="C83" s="2"/>
      <c r="D83" s="2" t="str">
        <f>IFERROR(__xludf.DUMMYFUNCTION("""COMPUTED_VALUE"""),"culture")</f>
        <v>culture</v>
      </c>
    </row>
    <row r="84">
      <c r="A84" s="2" t="str">
        <f>IFERROR(__xludf.DUMMYFUNCTION("""COMPUTED_VALUE"""),"*Jeux vidéo Magazine*")</f>
        <v>*Jeux vidéo Magazine*</v>
      </c>
      <c r="B84" s="2" t="str">
        <f>IFERROR(__xludf.DUMMYFUNCTION("""COMPUTED_VALUE"""),"34 532")</f>
        <v>34 532</v>
      </c>
      <c r="C84" s="2"/>
      <c r="D84" s="2" t="str">
        <f>IFERROR(__xludf.DUMMYFUNCTION("""COMPUTED_VALUE"""),"jeux vidéo")</f>
        <v>jeux vidéo</v>
      </c>
    </row>
    <row r="85">
      <c r="A85" s="2" t="str">
        <f>IFERROR(__xludf.DUMMYFUNCTION("""COMPUTED_VALUE"""),"Le Cycle Magazine")</f>
        <v>Le Cycle Magazine</v>
      </c>
      <c r="B85" s="2" t="str">
        <f>IFERROR(__xludf.DUMMYFUNCTION("""COMPUTED_VALUE"""),"34 357")</f>
        <v>34 357</v>
      </c>
      <c r="C85" s="2"/>
      <c r="D85" s="2" t="str">
        <f>IFERROR(__xludf.DUMMYFUNCTION("""COMPUTED_VALUE"""),"cyclisme")</f>
        <v>cyclisme</v>
      </c>
    </row>
    <row r="86">
      <c r="A86" s="2" t="str">
        <f>IFERROR(__xludf.DUMMYFUNCTION("""COMPUTED_VALUE"""),"*Plantes &amp; Santé*")</f>
        <v>*Plantes &amp; Santé*</v>
      </c>
      <c r="B86" s="2" t="str">
        <f>IFERROR(__xludf.DUMMYFUNCTION("""COMPUTED_VALUE"""),"33 898")</f>
        <v>33 898</v>
      </c>
      <c r="C86" s="2"/>
      <c r="D86" s="2" t="str">
        <f>IFERROR(__xludf.DUMMYFUNCTION("""COMPUTED_VALUE"""),"santé")</f>
        <v>santé</v>
      </c>
    </row>
    <row r="87">
      <c r="A87" s="2" t="str">
        <f>IFERROR(__xludf.DUMMYFUNCTION("""COMPUTED_VALUE"""),"*Disney Girl*")</f>
        <v>*Disney Girl*</v>
      </c>
      <c r="B87" s="2" t="str">
        <f>IFERROR(__xludf.DUMMYFUNCTION("""COMPUTED_VALUE"""),"32 906")</f>
        <v>32 906</v>
      </c>
      <c r="C87" s="2"/>
      <c r="D87" s="2" t="str">
        <f>IFERROR(__xludf.DUMMYFUNCTION("""COMPUTED_VALUE"""),"jeunesse")</f>
        <v>jeunesse</v>
      </c>
    </row>
    <row r="88">
      <c r="A88" s="2" t="str">
        <f>IFERROR(__xludf.DUMMYFUNCTION("""COMPUTED_VALUE"""),"*Toboggan Magazine*")</f>
        <v>*Toboggan Magazine*</v>
      </c>
      <c r="B88" s="2" t="str">
        <f>IFERROR(__xludf.DUMMYFUNCTION("""COMPUTED_VALUE"""),"30 392")</f>
        <v>30 392</v>
      </c>
      <c r="C88" s="2"/>
      <c r="D88" s="2" t="str">
        <f>IFERROR(__xludf.DUMMYFUNCTION("""COMPUTED_VALUE"""),"jeunesse")</f>
        <v>jeunesse</v>
      </c>
    </row>
    <row r="89">
      <c r="A89" s="2" t="str">
        <f>IFERROR(__xludf.DUMMYFUNCTION("""COMPUTED_VALUE"""),"*Sciences Humaines*")</f>
        <v>*Sciences Humaines*</v>
      </c>
      <c r="B89" s="2" t="str">
        <f>IFERROR(__xludf.DUMMYFUNCTION("""COMPUTED_VALUE"""),"29 898")</f>
        <v>29 898</v>
      </c>
      <c r="C89" s="2"/>
      <c r="D89" s="2" t="str">
        <f>IFERROR(__xludf.DUMMYFUNCTION("""COMPUTED_VALUE"""),"sciences")</f>
        <v>sciences</v>
      </c>
    </row>
    <row r="90">
      <c r="A90" s="2" t="str">
        <f>IFERROR(__xludf.DUMMYFUNCTION("""COMPUTED_VALUE"""),"*Tout Comprendre Junior*")</f>
        <v>*Tout Comprendre Junior*</v>
      </c>
      <c r="B90" s="2" t="str">
        <f>IFERROR(__xludf.DUMMYFUNCTION("""COMPUTED_VALUE"""),"29 424")</f>
        <v>29 424</v>
      </c>
      <c r="C90" s="2"/>
      <c r="D90" s="2" t="str">
        <f>IFERROR(__xludf.DUMMYFUNCTION("""COMPUTED_VALUE"""),"jeunesse")</f>
        <v>jeunesse</v>
      </c>
    </row>
    <row r="91">
      <c r="A91" s="2" t="str">
        <f>IFERROR(__xludf.DUMMYFUNCTION("""COMPUTED_VALUE"""),"*La Pêche et les Poissons*")</f>
        <v>*La Pêche et les Poissons*</v>
      </c>
      <c r="B91" s="2" t="str">
        <f>IFERROR(__xludf.DUMMYFUNCTION("""COMPUTED_VALUE"""),"29 117")</f>
        <v>29 117</v>
      </c>
      <c r="C91" s="2"/>
      <c r="D91" s="2" t="str">
        <f>IFERROR(__xludf.DUMMYFUNCTION("""COMPUTED_VALUE"""),"pêche")</f>
        <v>pêche</v>
      </c>
    </row>
    <row r="92">
      <c r="A92" s="2" t="str">
        <f>IFERROR(__xludf.DUMMYFUNCTION("""COMPUTED_VALUE"""),"*Le Cheminot Retraité*")</f>
        <v>*Le Cheminot Retraité*</v>
      </c>
      <c r="B92" s="2" t="str">
        <f>IFERROR(__xludf.DUMMYFUNCTION("""COMPUTED_VALUE"""),"28 569")</f>
        <v>28 569</v>
      </c>
      <c r="C92" s="2"/>
      <c r="D92" s="2" t="str">
        <f>IFERROR(__xludf.DUMMYFUNCTION("""COMPUTED_VALUE"""),"ferroviaire")</f>
        <v>ferroviaire</v>
      </c>
    </row>
    <row r="93">
      <c r="A93" s="2" t="str">
        <f>IFERROR(__xludf.DUMMYFUNCTION("""COMPUTED_VALUE"""),"*J'apprends à lire*")</f>
        <v>*J'apprends à lire*</v>
      </c>
      <c r="B93" s="2" t="str">
        <f>IFERROR(__xludf.DUMMYFUNCTION("""COMPUTED_VALUE"""),"28 301")</f>
        <v>28 301</v>
      </c>
      <c r="C93" s="2"/>
      <c r="D93" s="2" t="str">
        <f>IFERROR(__xludf.DUMMYFUNCTION("""COMPUTED_VALUE"""),"jeunesse")</f>
        <v>jeunesse</v>
      </c>
    </row>
    <row r="94">
      <c r="A94" s="2" t="str">
        <f>IFERROR(__xludf.DUMMYFUNCTION("""COMPUTED_VALUE"""),"*Golf Magazine*")</f>
        <v>*Golf Magazine*</v>
      </c>
      <c r="B94" s="2" t="str">
        <f>IFERROR(__xludf.DUMMYFUNCTION("""COMPUTED_VALUE"""),"26 883")</f>
        <v>26 883</v>
      </c>
      <c r="C94" s="2"/>
      <c r="D94" s="2" t="str">
        <f>IFERROR(__xludf.DUMMYFUNCTION("""COMPUTED_VALUE"""),"sport")</f>
        <v>sport</v>
      </c>
    </row>
    <row r="95">
      <c r="A95" s="2" t="str">
        <f>IFERROR(__xludf.DUMMYFUNCTION("""COMPUTED_VALUE"""),"*Picoti*")</f>
        <v>*Picoti*</v>
      </c>
      <c r="B95" s="2" t="str">
        <f>IFERROR(__xludf.DUMMYFUNCTION("""COMPUTED_VALUE"""),"26 835")</f>
        <v>26 835</v>
      </c>
      <c r="C95" s="2"/>
      <c r="D95" s="2" t="str">
        <f>IFERROR(__xludf.DUMMYFUNCTION("""COMPUTED_VALUE"""),"jeunesse")</f>
        <v>jeunesse</v>
      </c>
    </row>
    <row r="96">
      <c r="A96" s="2" t="str">
        <f>IFERROR(__xludf.DUMMYFUNCTION("""COMPUTED_VALUE"""),"*Cars Magazine*")</f>
        <v>*Cars Magazine*</v>
      </c>
      <c r="B96" s="2" t="str">
        <f>IFERROR(__xludf.DUMMYFUNCTION("""COMPUTED_VALUE"""),"26 586")</f>
        <v>26 586</v>
      </c>
      <c r="C96" s="2"/>
      <c r="D96" s="2" t="str">
        <f>IFERROR(__xludf.DUMMYFUNCTION("""COMPUTED_VALUE"""),"jeunesse")</f>
        <v>jeunesse</v>
      </c>
    </row>
    <row r="97">
      <c r="A97" s="2" t="str">
        <f>IFERROR(__xludf.DUMMYFUNCTION("""COMPUTED_VALUE"""),"*Julie Magazine*")</f>
        <v>*Julie Magazine*</v>
      </c>
      <c r="B97" s="2" t="str">
        <f>IFERROR(__xludf.DUMMYFUNCTION("""COMPUTED_VALUE"""),"26 500")</f>
        <v>26 500</v>
      </c>
      <c r="C97" s="2"/>
      <c r="D97" s="2" t="str">
        <f>IFERROR(__xludf.DUMMYFUNCTION("""COMPUTED_VALUE"""),"jeunesse")</f>
        <v>jeunesse</v>
      </c>
    </row>
    <row r="98">
      <c r="A98" s="2" t="str">
        <f>IFERROR(__xludf.DUMMYFUNCTION("""COMPUTED_VALUE"""),"Le Mémento")</f>
        <v>Le Mémento</v>
      </c>
      <c r="B98" s="2" t="str">
        <f>IFERROR(__xludf.DUMMYFUNCTION("""COMPUTED_VALUE"""),"26 400")</f>
        <v>26 400</v>
      </c>
      <c r="C98" s="2"/>
      <c r="D98" s="2" t="str">
        <f>IFERROR(__xludf.DUMMYFUNCTION("""COMPUTED_VALUE"""),"économique")</f>
        <v>économique</v>
      </c>
    </row>
    <row r="99">
      <c r="A99" s="2" t="str">
        <f>IFERROR(__xludf.DUMMYFUNCTION("""COMPUTED_VALUE"""),"*Voiles et Voiliers*")</f>
        <v>*Voiles et Voiliers*</v>
      </c>
      <c r="B99" s="2" t="str">
        <f>IFERROR(__xludf.DUMMYFUNCTION("""COMPUTED_VALUE"""),"26 373")</f>
        <v>26 373</v>
      </c>
      <c r="C99" s="2"/>
      <c r="D99" s="2" t="str">
        <f>IFERROR(__xludf.DUMMYFUNCTION("""COMPUTED_VALUE"""),"navigation")</f>
        <v>navigation</v>
      </c>
    </row>
    <row r="100">
      <c r="A100" s="2" t="str">
        <f>IFERROR(__xludf.DUMMYFUNCTION("""COMPUTED_VALUE"""),"*Geo Ado*")</f>
        <v>*Geo Ado*</v>
      </c>
      <c r="B100" s="2" t="str">
        <f>IFERROR(__xludf.DUMMYFUNCTION("""COMPUTED_VALUE"""),"25 547")</f>
        <v>25 547</v>
      </c>
      <c r="C100" s="2"/>
      <c r="D100" s="2" t="str">
        <f>IFERROR(__xludf.DUMMYFUNCTION("""COMPUTED_VALUE"""),"jeunesse")</f>
        <v>jeunesse</v>
      </c>
    </row>
    <row r="101">
      <c r="A101" s="2" t="str">
        <f>IFERROR(__xludf.DUMMYFUNCTION("""COMPUTED_VALUE"""),"*La Recherche*")</f>
        <v>*La Recherche*</v>
      </c>
      <c r="B101" s="2" t="str">
        <f>IFERROR(__xludf.DUMMYFUNCTION("""COMPUTED_VALUE"""),"25 056")</f>
        <v>25 056</v>
      </c>
      <c r="C101" s="2"/>
      <c r="D101" s="2" t="str">
        <f>IFERROR(__xludf.DUMMYFUNCTION("""COMPUTED_VALUE"""),"sciences")</f>
        <v>sciences</v>
      </c>
    </row>
    <row r="102">
      <c r="A102" s="2" t="str">
        <f>IFERROR(__xludf.DUMMYFUNCTION("""COMPUTED_VALUE"""),"*Diapason*")</f>
        <v>*Diapason*</v>
      </c>
      <c r="B102" s="2" t="str">
        <f>IFERROR(__xludf.DUMMYFUNCTION("""COMPUTED_VALUE"""),"23 005")</f>
        <v>23 005</v>
      </c>
      <c r="C102" s="2"/>
      <c r="D102" s="2" t="str">
        <f>IFERROR(__xludf.DUMMYFUNCTION("""COMPUTED_VALUE"""),"culture")</f>
        <v>culture</v>
      </c>
    </row>
    <row r="103">
      <c r="A103" s="2" t="str">
        <f>IFERROR(__xludf.DUMMYFUNCTION("""COMPUTED_VALUE"""),"*Rock &amp; Folk*")</f>
        <v>*Rock &amp; Folk*</v>
      </c>
      <c r="B103" s="2" t="str">
        <f>IFERROR(__xludf.DUMMYFUNCTION("""COMPUTED_VALUE"""),"22 641")</f>
        <v>22 641</v>
      </c>
      <c r="C103" s="2"/>
      <c r="D103" s="2" t="str">
        <f>IFERROR(__xludf.DUMMYFUNCTION("""COMPUTED_VALUE"""),"musique")</f>
        <v>musique</v>
      </c>
    </row>
    <row r="104">
      <c r="A104" s="2" t="str">
        <f>IFERROR(__xludf.DUMMYFUNCTION("""COMPUTED_VALUE"""),"*Le Nouveau Magazine Littéraire*")</f>
        <v>*Le Nouveau Magazine Littéraire*</v>
      </c>
      <c r="B104" s="2" t="str">
        <f>IFERROR(__xludf.DUMMYFUNCTION("""COMPUTED_VALUE"""),"20 783")</f>
        <v>20 783</v>
      </c>
      <c r="C104" s="2" t="str">
        <f>IFERROR(__xludf.DUMMYFUNCTION("""COMPUTED_VALUE"""),"*disparition*")</f>
        <v>*disparition*</v>
      </c>
      <c r="D104" s="2" t="str">
        <f>IFERROR(__xludf.DUMMYFUNCTION("""COMPUTED_VALUE"""),"littérature")</f>
        <v>littérature</v>
      </c>
    </row>
    <row r="105">
      <c r="A105" s="2" t="str">
        <f>IFERROR(__xludf.DUMMYFUNCTION("""COMPUTED_VALUE"""),"*Mordelire*")</f>
        <v>*Mordelire*</v>
      </c>
      <c r="B105" s="2" t="str">
        <f>IFERROR(__xludf.DUMMYFUNCTION("""COMPUTED_VALUE"""),"20 691")</f>
        <v>20 691</v>
      </c>
      <c r="C105" s="2"/>
      <c r="D105" s="2" t="str">
        <f>IFERROR(__xludf.DUMMYFUNCTION("""COMPUTED_VALUE"""),"littéraire")</f>
        <v>littéraire</v>
      </c>
    </row>
    <row r="106">
      <c r="A106" s="2" t="str">
        <f>IFERROR(__xludf.DUMMYFUNCTION("""COMPUTED_VALUE"""),"*Moto &amp; Motards*")</f>
        <v>*Moto &amp; Motards*</v>
      </c>
      <c r="B106" s="2" t="str">
        <f>IFERROR(__xludf.DUMMYFUNCTION("""COMPUTED_VALUE"""),"19 184")</f>
        <v>19 184</v>
      </c>
      <c r="C106" s="2"/>
      <c r="D106" s="2" t="str">
        <f>IFERROR(__xludf.DUMMYFUNCTION("""COMPUTED_VALUE"""),"motocyclisme")</f>
        <v>motocyclisme</v>
      </c>
    </row>
    <row r="107">
      <c r="A107" s="2" t="str">
        <f>IFERROR(__xludf.DUMMYFUNCTION("""COMPUTED_VALUE"""),"*Manon*")</f>
        <v>*Manon*</v>
      </c>
      <c r="B107" s="2" t="str">
        <f>IFERROR(__xludf.DUMMYFUNCTION("""COMPUTED_VALUE"""),"16 920")</f>
        <v>16 920</v>
      </c>
      <c r="C107" s="2"/>
      <c r="D107" s="2" t="str">
        <f>IFERROR(__xludf.DUMMYFUNCTION("""COMPUTED_VALUE"""),"jeunesse")</f>
        <v>jeunesse</v>
      </c>
    </row>
    <row r="108">
      <c r="A108" s="2" t="str">
        <f>IFERROR(__xludf.DUMMYFUNCTION("""COMPUTED_VALUE"""),"*Tout Comprendre*")</f>
        <v>*Tout Comprendre*</v>
      </c>
      <c r="B108" s="2" t="str">
        <f>IFERROR(__xludf.DUMMYFUNCTION("""COMPUTED_VALUE"""),"15 154")</f>
        <v>15 154</v>
      </c>
      <c r="C108" s="2"/>
      <c r="D108" s="2" t="str">
        <f>IFERROR(__xludf.DUMMYFUNCTION("""COMPUTED_VALUE"""),"culturel")</f>
        <v>culturel</v>
      </c>
    </row>
    <row r="109">
      <c r="A109" s="2" t="str">
        <f>IFERROR(__xludf.DUMMYFUNCTION("""COMPUTED_VALUE"""),"*Classica*")</f>
        <v>*Classica*</v>
      </c>
      <c r="B109" s="2" t="str">
        <f>IFERROR(__xludf.DUMMYFUNCTION("""COMPUTED_VALUE"""),"14 800")</f>
        <v>14 800</v>
      </c>
      <c r="C109" s="2"/>
      <c r="D109" s="2" t="str">
        <f>IFERROR(__xludf.DUMMYFUNCTION("""COMPUTED_VALUE"""),"musique")</f>
        <v>musique</v>
      </c>
    </row>
    <row r="110">
      <c r="A110" s="2" t="str">
        <f>IFERROR(__xludf.DUMMYFUNCTION("""COMPUTED_VALUE"""),"*Cahiers du cinéma*")</f>
        <v>*Cahiers du cinéma*</v>
      </c>
      <c r="B110" s="2" t="str">
        <f>IFERROR(__xludf.DUMMYFUNCTION("""COMPUTED_VALUE"""),"12 272")</f>
        <v>12 272</v>
      </c>
      <c r="C110" s="2" t="str">
        <f>IFERROR(__xludf.DUMMYFUNCTION("""COMPUTED_VALUE"""),"10 049")</f>
        <v>10 049</v>
      </c>
      <c r="D110" s="2" t="str">
        <f>IFERROR(__xludf.DUMMYFUNCTION("""COMPUTED_VALUE"""),"cinéma")</f>
        <v>cinéma</v>
      </c>
    </row>
    <row r="111">
      <c r="A111" s="2" t="str">
        <f>IFERROR(__xludf.DUMMYFUNCTION("""COMPUTED_VALUE"""),"*Échappement*")</f>
        <v>*Échappement*</v>
      </c>
      <c r="B111" s="2" t="str">
        <f>IFERROR(__xludf.DUMMYFUNCTION("""COMPUTED_VALUE"""),"11 193")</f>
        <v>11 193</v>
      </c>
      <c r="C111" s="2"/>
      <c r="D111" s="2" t="str">
        <f>IFERROR(__xludf.DUMMYFUNCTION("""COMPUTED_VALUE"""),"automobile")</f>
        <v>automobile</v>
      </c>
    </row>
    <row r="112">
      <c r="A112" s="2" t="str">
        <f>IFERROR(__xludf.DUMMYFUNCTION("""COMPUTED_VALUE"""),"*Jazz Magazine*")</f>
        <v>*Jazz Magazine*</v>
      </c>
      <c r="B112" s="2" t="str">
        <f>IFERROR(__xludf.DUMMYFUNCTION("""COMPUTED_VALUE"""),"10 225")</f>
        <v>10 225</v>
      </c>
      <c r="C112" s="2"/>
      <c r="D112" s="2" t="str">
        <f>IFERROR(__xludf.DUMMYFUNCTION("""COMPUTED_VALUE"""),"musique")</f>
        <v>musique</v>
      </c>
    </row>
    <row r="113">
      <c r="A113" s="2" t="str">
        <f>IFERROR(__xludf.DUMMYFUNCTION("""COMPUTED_VALUE"""),"*National Geographic Kids*")</f>
        <v>*National Geographic Kids*</v>
      </c>
      <c r="B113" s="2" t="str">
        <f>IFERROR(__xludf.DUMMYFUNCTION("""COMPUTED_VALUE"""),"9 878")</f>
        <v>9 878</v>
      </c>
      <c r="C113" s="2"/>
      <c r="D113" s="2" t="str">
        <f>IFERROR(__xludf.DUMMYFUNCTION("""COMPUTED_VALUE"""),"jeunesse")</f>
        <v>jeunesse</v>
      </c>
    </row>
    <row r="114">
      <c r="A114" s="2" t="str">
        <f>IFERROR(__xludf.DUMMYFUNCTION("""COMPUTED_VALUE"""),"*VTT Magazine*")</f>
        <v>*VTT Magazine*</v>
      </c>
      <c r="B114" s="2" t="str">
        <f>IFERROR(__xludf.DUMMYFUNCTION("""COMPUTED_VALUE"""),"8 417")</f>
        <v>8 417</v>
      </c>
      <c r="C114" s="2" t="str">
        <f>IFERROR(__xludf.DUMMYFUNCTION("""COMPUTED_VALUE"""),"7 762")</f>
        <v>7 762</v>
      </c>
      <c r="D114" s="2" t="str">
        <f>IFERROR(__xludf.DUMMYFUNCTION("""COMPUTED_VALUE"""),"cyclisme")</f>
        <v>cyclisme</v>
      </c>
    </row>
    <row r="115">
      <c r="A115" s="2" t="str">
        <f>IFERROR(__xludf.DUMMYFUNCTION("""COMPUTED_VALUE"""),"*Afrique magazine*")</f>
        <v>*Afrique magazine*</v>
      </c>
      <c r="B115" s="2">
        <f>IFERROR(__xludf.DUMMYFUNCTION("""COMPUTED_VALUE"""),718.0)</f>
        <v>718</v>
      </c>
      <c r="C115" s="2"/>
      <c r="D115" s="2" t="str">
        <f>IFERROR(__xludf.DUMMYFUNCTION("""COMPUTED_VALUE"""),"actualités")</f>
        <v>actualités</v>
      </c>
    </row>
    <row r="116">
      <c r="A116" s="2" t="str">
        <f>IFERROR(__xludf.DUMMYFUNCTION("""COMPUTED_VALUE"""),"Dinopedia Découverte")</f>
        <v>Dinopedia Découverte</v>
      </c>
      <c r="B116" s="2" t="str">
        <f>IFERROR(__xludf.DUMMYFUNCTION("""COMPUTED_VALUE"""),"-")</f>
        <v>-</v>
      </c>
      <c r="C116" s="2" t="str">
        <f>IFERROR(__xludf.DUMMYFUNCTION("""COMPUTED_VALUE"""),"-")</f>
        <v>-</v>
      </c>
      <c r="D116" s="2" t="str">
        <f>IFERROR(__xludf.DUMMYFUNCTION("""COMPUTED_VALUE"""),"Paléontologie")</f>
        <v>Paléontologie</v>
      </c>
    </row>
    <row r="117">
      <c r="A117" s="2" t="str">
        <f>IFERROR(__xludf.DUMMYFUNCTION("""COMPUTED_VALUE"""),"Cahiers du Pirate")</f>
        <v>Cahiers du Pirate</v>
      </c>
      <c r="B117" s="2" t="str">
        <f>IFERROR(__xludf.DUMMYFUNCTION("""COMPUTED_VALUE"""),"-")</f>
        <v>-</v>
      </c>
      <c r="C117" s="2"/>
      <c r="D117" s="2" t="str">
        <f>IFERROR(__xludf.DUMMYFUNCTION("""COMPUTED_VALUE"""),"informatique")</f>
        <v>informatique</v>
      </c>
    </row>
    <row r="118">
      <c r="A118" s="2" t="str">
        <f>IFERROR(__xludf.DUMMYFUNCTION("""COMPUTED_VALUE"""),"*Charge utile magazine*")</f>
        <v>*Charge utile magazine*</v>
      </c>
      <c r="B118" s="2" t="str">
        <f>IFERROR(__xludf.DUMMYFUNCTION("""COMPUTED_VALUE"""),"-")</f>
        <v>-</v>
      </c>
      <c r="C118" s="2"/>
      <c r="D118" s="2" t="str">
        <f>IFERROR(__xludf.DUMMYFUNCTION("""COMPUTED_VALUE"""),"poids-lourds")</f>
        <v>poids-lourds</v>
      </c>
    </row>
    <row r="119">
      <c r="A119" s="2" t="str">
        <f>IFERROR(__xludf.DUMMYFUNCTION("""COMPUTED_VALUE"""),"*Gazette des Armes*")</f>
        <v>*Gazette des Armes*</v>
      </c>
      <c r="B119" s="2" t="str">
        <f>IFERROR(__xludf.DUMMYFUNCTION("""COMPUTED_VALUE"""),"-")</f>
        <v>-</v>
      </c>
      <c r="C119" s="2"/>
      <c r="D119" s="2" t="str">
        <f>IFERROR(__xludf.DUMMYFUNCTION("""COMPUTED_VALUE"""),"armes")</f>
        <v>armes</v>
      </c>
    </row>
    <row r="120">
      <c r="A120" s="2" t="str">
        <f>IFERROR(__xludf.DUMMYFUNCTION("""COMPUTED_VALUE"""),"*Histoire &amp; Civilisations*")</f>
        <v>*Histoire &amp; Civilisations*</v>
      </c>
      <c r="B120" s="2" t="str">
        <f>IFERROR(__xludf.DUMMYFUNCTION("""COMPUTED_VALUE"""),"-")</f>
        <v>-</v>
      </c>
      <c r="C120" s="2"/>
      <c r="D120" s="2" t="str">
        <f>IFERROR(__xludf.DUMMYFUNCTION("""COMPUTED_VALUE"""),"histoire")</f>
        <v>histoire</v>
      </c>
    </row>
    <row r="121">
      <c r="A121" s="2" t="str">
        <f>IFERROR(__xludf.DUMMYFUNCTION("""COMPUTED_VALUE"""),"*Horoscope*")</f>
        <v>*Horoscope*</v>
      </c>
      <c r="B121" s="2" t="str">
        <f>IFERROR(__xludf.DUMMYFUNCTION("""COMPUTED_VALUE"""),"-")</f>
        <v>-</v>
      </c>
      <c r="C121" s="2"/>
      <c r="D121" s="2" t="str">
        <f>IFERROR(__xludf.DUMMYFUNCTION("""COMPUTED_VALUE"""),"astrologie")</f>
        <v>astrologie</v>
      </c>
    </row>
    <row r="122">
      <c r="A122" s="2" t="str">
        <f>IFERROR(__xludf.DUMMYFUNCTION("""COMPUTED_VALUE"""),"*Mad Movies*")</f>
        <v>*Mad Movies*</v>
      </c>
      <c r="B122" s="2" t="str">
        <f>IFERROR(__xludf.DUMMYFUNCTION("""COMPUTED_VALUE"""),"-")</f>
        <v>-</v>
      </c>
      <c r="C122" s="2"/>
      <c r="D122" s="2" t="str">
        <f>IFERROR(__xludf.DUMMYFUNCTION("""COMPUTED_VALUE"""),"cinéma")</f>
        <v>cinéma</v>
      </c>
    </row>
    <row r="123">
      <c r="A123" s="2" t="str">
        <f>IFERROR(__xludf.DUMMYFUNCTION("""COMPUTED_VALUE"""),"*Matériel Agricole*")</f>
        <v>*Matériel Agricole*</v>
      </c>
      <c r="B123" s="2" t="str">
        <f>IFERROR(__xludf.DUMMYFUNCTION("""COMPUTED_VALUE"""),"-")</f>
        <v>-</v>
      </c>
      <c r="C123" s="2"/>
      <c r="D123" s="2" t="str">
        <f>IFERROR(__xludf.DUMMYFUNCTION("""COMPUTED_VALUE"""),"agriculture")</f>
        <v>agriculture</v>
      </c>
    </row>
    <row r="124">
      <c r="A124" s="2" t="str">
        <f>IFERROR(__xludf.DUMMYFUNCTION("""COMPUTED_VALUE"""),"*Militaria Magazine*")</f>
        <v>*Militaria Magazine*</v>
      </c>
      <c r="B124" s="2" t="str">
        <f>IFERROR(__xludf.DUMMYFUNCTION("""COMPUTED_VALUE"""),"-")</f>
        <v>-</v>
      </c>
      <c r="C124" s="2"/>
      <c r="D124" s="2" t="str">
        <f>IFERROR(__xludf.DUMMYFUNCTION("""COMPUTED_VALUE"""),"militaire")</f>
        <v>militaire</v>
      </c>
    </row>
    <row r="125">
      <c r="A125" s="2" t="str">
        <f>IFERROR(__xludf.DUMMYFUNCTION("""COMPUTED_VALUE"""),"*Raids*")</f>
        <v>*Raids*</v>
      </c>
      <c r="B125" s="2" t="str">
        <f>IFERROR(__xludf.DUMMYFUNCTION("""COMPUTED_VALUE"""),"-")</f>
        <v>-</v>
      </c>
      <c r="C125" s="2"/>
      <c r="D125" s="2" t="str">
        <f>IFERROR(__xludf.DUMMYFUNCTION("""COMPUTED_VALUE"""),"militaire")</f>
        <v>militaire</v>
      </c>
    </row>
    <row r="126">
      <c r="A126" s="2" t="str">
        <f>IFERROR(__xludf.DUMMYFUNCTION("""COMPUTED_VALUE"""),"*Siné Mensuel*")</f>
        <v>*Siné Mensuel*</v>
      </c>
      <c r="B126" s="2" t="str">
        <f>IFERROR(__xludf.DUMMYFUNCTION("""COMPUTED_VALUE"""),"-")</f>
        <v>-</v>
      </c>
      <c r="C126" s="2"/>
      <c r="D126" s="2" t="str">
        <f>IFERROR(__xludf.DUMMYFUNCTION("""COMPUTED_VALUE"""),"satirique")</f>
        <v>satirique</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3">
      <c r="A13" s="2" t="str">
        <f>IFERROR(__xludf.DUMMYFUNCTION("importhtml(""https://fr.wikipedia.org/wiki/Liste_des_%C3%89tats_souverains_et_des_territoires_d%C3%A9pendants_d%27Afrique"", ""table"", 4)
"),"Drapeau")</f>
        <v>Drapeau</v>
      </c>
      <c r="B13" s="2" t="str">
        <f>IFERROR(__xludf.DUMMYFUNCTION("""COMPUTED_VALUE"""),"Carte")</f>
        <v>Carte</v>
      </c>
      <c r="C13" s="2" t="str">
        <f>IFERROR(__xludf.DUMMYFUNCTION("""COMPUTED_VALUE"""),"Noms courts et officiels en français")</f>
        <v>Noms courts et officiels en français</v>
      </c>
      <c r="D13" s="2" t="str">
        <f>IFERROR(__xludf.DUMMYFUNCTION("""COMPUTED_VALUE"""),"Statut[17]")</f>
        <v>Statut[17]</v>
      </c>
      <c r="E13" s="2" t="str">
        <f>IFERROR(__xludf.DUMMYFUNCTION("""COMPUTED_VALUE"""),"Noms locaux courts et officiels")</f>
        <v>Noms locaux courts et officiels</v>
      </c>
      <c r="F13" s="2" t="str">
        <f>IFERROR(__xludf.DUMMYFUNCTION("""COMPUTED_VALUE"""),"Capitale")</f>
        <v>Capitale</v>
      </c>
      <c r="G13" s="2" t="str">
        <f>IFERROR(__xludf.DUMMYFUNCTION("""COMPUTED_VALUE"""),"Population")</f>
        <v>Population</v>
      </c>
      <c r="H13" s="2" t="str">
        <f>IFERROR(__xludf.DUMMYFUNCTION("""COMPUTED_VALUE"""),"Superficie[11]")</f>
        <v>Superficie[11]</v>
      </c>
    </row>
    <row r="14">
      <c r="A14" s="2"/>
      <c r="B14" s="2"/>
      <c r="C14" s="2" t="str">
        <f>IFERROR(__xludf.DUMMYFUNCTION("""COMPUTED_VALUE"""),"Îles Éparses[n 9]")</f>
        <v>Îles Éparses[n 9]</v>
      </c>
      <c r="D14" s="2" t="str">
        <f>IFERROR(__xludf.DUMMYFUNCTION("""COMPUTED_VALUE"""),"District des Terres australes et antarctiques françaises (territoire 
français d'outre-mer).
Comprend les îles suivantes en quatre groupes : Bassas da India et l'Île 
Europa ; les Îles Glorieuses ; l'Île Juan de Nova (isolée) ; l'Île Tromelin 
(isolée).")</f>
        <v>District des Terres australes et antarctiques françaises (territoire 
français d'outre-mer).
Comprend les îles suivantes en quatre groupes : Bassas da India et l'Île 
Europa ; les Îles Glorieuses ; l'Île Juan de Nova (isolée) ; l'Île Tromelin 
(isolée).</v>
      </c>
      <c r="E14" s="2"/>
      <c r="F14" s="2" t="str">
        <f>IFERROR(__xludf.DUMMYFUNCTION("""COMPUTED_VALUE"""),"Saint-Pierre (hors du territoire sur l'île de La Réunion)[n 10]")</f>
        <v>Saint-Pierre (hors du territoire sur l'île de La Réunion)[n 10]</v>
      </c>
      <c r="G14" s="2" t="str">
        <f>IFERROR(__xludf.DUMMYFUNCTION("""COMPUTED_VALUE"""),"Pas de population permanente[18]")</f>
        <v>Pas de population permanente[18]</v>
      </c>
      <c r="H14" s="2" t="str">
        <f>IFERROR(__xludf.DUMMYFUNCTION("""COMPUTED_VALUE"""),"38,60 km2")</f>
        <v>38,60 km2</v>
      </c>
    </row>
    <row r="15">
      <c r="A15" s="2"/>
      <c r="B15" s="2"/>
      <c r="C15" s="2" t="str">
        <f>IFERROR(__xludf.DUMMYFUNCTION("""COMPUTED_VALUE"""),"Sainte-Hélène")</f>
        <v>Sainte-Hélène</v>
      </c>
      <c r="D15" s="2" t="str">
        <f>IFERROR(__xludf.DUMMYFUNCTION("""COMPUTED_VALUE"""),"Partie constitutive de Sainte-Hélène, Ascension et Tristan da Cunha (territoire 
britannique d'outre-mer) au sein de la couronne britannique, mais dotée de 
sa propre constitution.
Île administrativement subdivisée en 8 districts habités.")</f>
        <v>Partie constitutive de Sainte-Hélène, Ascension et Tristan da Cunha (territoire 
britannique d'outre-mer) au sein de la couronne britannique, mais dotée de 
sa propre constitution.
Île administrativement subdivisée en 8 districts habités.</v>
      </c>
      <c r="E15" s="2" t="str">
        <f>IFERROR(__xludf.DUMMYFUNCTION("""COMPUTED_VALUE"""),"Anglais : *Saint Helena*, partie de *Saint Helena, Ascension and Tristan da 
Cunha*")</f>
        <v>Anglais : *Saint Helena*, partie de *Saint Helena, Ascension and Tristan da 
Cunha*</v>
      </c>
      <c r="F15" s="2" t="str">
        <f>IFERROR(__xludf.DUMMYFUNCTION("""COMPUTED_VALUE"""),"Jamestown (également capitale du territoire britannique d'outre-mer)")</f>
        <v>Jamestown (également capitale du territoire britannique d'outre-mer)</v>
      </c>
      <c r="G15" s="6" t="str">
        <f>IFERROR(__xludf.DUMMYFUNCTION("""COMPUTED_VALUE"""),"5 661")</f>
        <v>5 661</v>
      </c>
      <c r="H15" s="2" t="str">
        <f>IFERROR(__xludf.DUMMYFUNCTION("""COMPUTED_VALUE"""),"394 km2")</f>
        <v>394 km2</v>
      </c>
    </row>
    <row r="16">
      <c r="A16" s="2"/>
      <c r="B16" s="2"/>
      <c r="C16" s="2" t="str">
        <f>IFERROR(__xludf.DUMMYFUNCTION("""COMPUTED_VALUE"""),"Ascension")</f>
        <v>Ascension</v>
      </c>
      <c r="D16" s="2" t="str">
        <f>IFERROR(__xludf.DUMMYFUNCTION("""COMPUTED_VALUE"""),"Partie constitutive de Sainte-Hélène, Ascension et Tristan da Cunha (territoire 
britannique d'outre-mer) au sein de la couronne britannique, mais dotée de 
sa propre constitution.
Île administrée dans un unique district.")</f>
        <v>Partie constitutive de Sainte-Hélène, Ascension et Tristan da Cunha (territoire 
britannique d'outre-mer) au sein de la couronne britannique, mais dotée de 
sa propre constitution.
Île administrée dans un unique district.</v>
      </c>
      <c r="E16" s="2" t="str">
        <f>IFERROR(__xludf.DUMMYFUNCTION("""COMPUTED_VALUE"""),"Anglais : *Ascension*, partie de *Saint Helena, Ascension and Tristan da 
Cunha*")</f>
        <v>Anglais : *Ascension*, partie de *Saint Helena, Ascension and Tristan da 
Cunha*</v>
      </c>
      <c r="F16" s="2" t="str">
        <f>IFERROR(__xludf.DUMMYFUNCTION("""COMPUTED_VALUE"""),"Georgetown")</f>
        <v>Georgetown</v>
      </c>
      <c r="G16" s="3">
        <f>IFERROR(__xludf.DUMMYFUNCTION("""COMPUTED_VALUE"""),806.0)</f>
        <v>806</v>
      </c>
      <c r="H16" s="2" t="str">
        <f>IFERROR(__xludf.DUMMYFUNCTION("""COMPUTED_VALUE"""),"88 km2")</f>
        <v>88 km2</v>
      </c>
    </row>
    <row r="17">
      <c r="A17" s="2"/>
      <c r="B17" s="2"/>
      <c r="C17" s="2" t="str">
        <f>IFERROR(__xludf.DUMMYFUNCTION("""COMPUTED_VALUE"""),"Tristan da Cunha")</f>
        <v>Tristan da Cunha</v>
      </c>
      <c r="D17" s="2" t="str">
        <f>IFERROR(__xludf.DUMMYFUNCTION("""COMPUTED_VALUE"""),"Partie constitutive de Sainte-Hélène, Ascension et Tristan da Cunha (territoire 
britannique d'outre-mer) au sein de la couronne britannique, mais dotée de 
sa propre constitution.
Archipel qui comprend l'île Tristan da Cunha (la seule habitée), l'Île 
In"&amp;"accessible, l'Île Nightingale (et ses deux îlets proches : Middle Island 
et l'Île Stoltenhoff) et l'île Gough. Administré dans un unique district.")</f>
        <v>Partie constitutive de Sainte-Hélène, Ascension et Tristan da Cunha (territoire 
britannique d'outre-mer) au sein de la couronne britannique, mais dotée de 
sa propre constitution.
Archipel qui comprend l'île Tristan da Cunha (la seule habitée), l'Île 
Inaccessible, l'Île Nightingale (et ses deux îlets proches : Middle Island 
et l'Île Stoltenhoff) et l'île Gough. Administré dans un unique district.</v>
      </c>
      <c r="E17" s="2" t="str">
        <f>IFERROR(__xludf.DUMMYFUNCTION("""COMPUTED_VALUE"""),"Anglais : *Tristan da Cunha*, partie de *Saint Helena, Ascension and 
Tristan da Cunha*")</f>
        <v>Anglais : *Tristan da Cunha*, partie de *Saint Helena, Ascension and 
Tristan da Cunha*</v>
      </c>
      <c r="F17" s="2" t="str">
        <f>IFERROR(__xludf.DUMMYFUNCTION("""COMPUTED_VALUE"""),"Edinburgh of the Seven Seas (sur l'île Tristan da Cunha)")</f>
        <v>Edinburgh of the Seven Seas (sur l'île Tristan da Cunha)</v>
      </c>
      <c r="G17" s="3">
        <f>IFERROR(__xludf.DUMMYFUNCTION("""COMPUTED_VALUE"""),262.0)</f>
        <v>262</v>
      </c>
      <c r="H17" s="2" t="str">
        <f>IFERROR(__xludf.DUMMYFUNCTION("""COMPUTED_VALUE"""),"207 km2")</f>
        <v>207 km2</v>
      </c>
    </row>
    <row r="19">
      <c r="A19" s="2" t="s">
        <v>869</v>
      </c>
      <c r="B19" s="2" t="s">
        <v>870</v>
      </c>
      <c r="C19" s="2" t="s">
        <v>871</v>
      </c>
      <c r="D19" s="2" t="s">
        <v>872</v>
      </c>
      <c r="E19" s="2" t="s">
        <v>873</v>
      </c>
      <c r="F19" s="2" t="s">
        <v>77</v>
      </c>
      <c r="G19" s="2" t="s">
        <v>78</v>
      </c>
      <c r="H19" s="2" t="s">
        <v>874</v>
      </c>
      <c r="I19" s="1" t="s">
        <v>875</v>
      </c>
      <c r="J19" s="1" t="s">
        <v>876</v>
      </c>
    </row>
    <row r="20">
      <c r="C20" s="2" t="s">
        <v>877</v>
      </c>
      <c r="D20" s="2" t="s">
        <v>878</v>
      </c>
      <c r="F20" s="2" t="s">
        <v>879</v>
      </c>
      <c r="G20" s="2" t="s">
        <v>880</v>
      </c>
      <c r="H20" s="2" t="s">
        <v>881</v>
      </c>
      <c r="I20" s="17"/>
    </row>
    <row r="21">
      <c r="C21" s="2" t="s">
        <v>882</v>
      </c>
      <c r="D21" s="2" t="s">
        <v>883</v>
      </c>
      <c r="E21" s="2" t="s">
        <v>884</v>
      </c>
      <c r="F21" s="2" t="s">
        <v>885</v>
      </c>
      <c r="G21" s="5" t="s">
        <v>886</v>
      </c>
      <c r="H21" s="2" t="s">
        <v>887</v>
      </c>
      <c r="I21" s="2" t="str">
        <f>SUBSTITUTE(G21," ","")</f>
        <v>5661</v>
      </c>
      <c r="J21" s="3">
        <v>5661.0</v>
      </c>
    </row>
    <row r="22">
      <c r="C22" s="2" t="s">
        <v>882</v>
      </c>
      <c r="D22" s="2" t="s">
        <v>883</v>
      </c>
      <c r="E22" s="2" t="s">
        <v>884</v>
      </c>
      <c r="F22" s="2" t="s">
        <v>888</v>
      </c>
      <c r="G22" s="2">
        <v>806.0</v>
      </c>
      <c r="H22" s="2" t="s">
        <v>889</v>
      </c>
    </row>
    <row r="23">
      <c r="C23" s="2" t="s">
        <v>882</v>
      </c>
      <c r="D23" s="2" t="s">
        <v>883</v>
      </c>
      <c r="E23" s="2" t="s">
        <v>884</v>
      </c>
      <c r="F23" s="2" t="s">
        <v>890</v>
      </c>
      <c r="G23" s="2">
        <v>262.0</v>
      </c>
      <c r="H23" s="2" t="s">
        <v>891</v>
      </c>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75"/>
  </cols>
  <sheetData>
    <row r="1">
      <c r="A1" s="2" t="str">
        <f>IFERROR(__xludf.DUMMYFUNCTION("IMPORTHTML(""https://fr.wikipedia.org/wiki/Karat%C3%A9"", ""table"", 2)"),"Mot japonais")</f>
        <v>Mot japonais</v>
      </c>
      <c r="B1" s="2" t="str">
        <f>IFERROR(__xludf.DUMMYFUNCTION("""COMPUTED_VALUE"""),"Traduction française")</f>
        <v>Traduction française</v>
      </c>
    </row>
    <row r="2">
      <c r="A2" s="2" t="str">
        <f>IFERROR(__xludf.DUMMYFUNCTION("""COMPUTED_VALUE"""),"上げ (*Age*?)")</f>
        <v>上げ (*Age*?)</v>
      </c>
      <c r="B2" s="2" t="str">
        <f>IFERROR(__xludf.DUMMYFUNCTION("""COMPUTED_VALUE"""),"Lever, remonter")</f>
        <v>Lever, remonter</v>
      </c>
    </row>
    <row r="3">
      <c r="A3" s="2" t="str">
        <f>IFERROR(__xludf.DUMMYFUNCTION("""COMPUTED_VALUE"""),"当て身 (*Atemi*?)")</f>
        <v>当て身 (*Atemi*?)</v>
      </c>
      <c r="B3" s="2" t="str">
        <f>IFERROR(__xludf.DUMMYFUNCTION("""COMPUTED_VALUE"""),"Frappe")</f>
        <v>Frappe</v>
      </c>
    </row>
    <row r="4">
      <c r="A4" s="2" t="str">
        <f>IFERROR(__xludf.DUMMYFUNCTION("""COMPUTED_VALUE"""),"*払い （Harai）（parfois Barai）*")</f>
        <v>*払い （Harai）（parfois Barai）*</v>
      </c>
      <c r="B4" s="2" t="str">
        <f>IFERROR(__xludf.DUMMYFUNCTION("""COMPUTED_VALUE"""),"Dévier")</f>
        <v>Dévier</v>
      </c>
    </row>
    <row r="5">
      <c r="A5" s="2" t="str">
        <f>IFERROR(__xludf.DUMMYFUNCTION("""COMPUTED_VALUE"""),"中段 (*Chūdan*?)")</f>
        <v>中段 (*Chūdan*?)</v>
      </c>
      <c r="B5" s="2" t="str">
        <f>IFERROR(__xludf.DUMMYFUNCTION("""COMPUTED_VALUE"""),"Niveau moyen (abdomen)")</f>
        <v>Niveau moyen (abdomen)</v>
      </c>
    </row>
    <row r="6">
      <c r="A6" s="2" t="str">
        <f>IFERROR(__xludf.DUMMYFUNCTION("""COMPUTED_VALUE"""),"段 (Dan?)")</f>
        <v>段 (Dan?)</v>
      </c>
      <c r="B6" s="2" t="str">
        <f>IFERROR(__xludf.DUMMYFUNCTION("""COMPUTED_VALUE"""),"Niveau, degré, grade pour une ceinture noire")</f>
        <v>Niveau, degré, grade pour une ceinture noire</v>
      </c>
    </row>
    <row r="7">
      <c r="A7" s="2" t="str">
        <f>IFERROR(__xludf.DUMMYFUNCTION("""COMPUTED_VALUE"""),"立ち (*Tachi*?) (parfois *dachi*[37])")</f>
        <v>立ち (*Tachi*?) (parfois *dachi*[37])</v>
      </c>
      <c r="B7" s="2" t="str">
        <f>IFERROR(__xludf.DUMMYFUNCTION("""COMPUTED_VALUE"""),"Position")</f>
        <v>Position</v>
      </c>
    </row>
    <row r="8">
      <c r="A8" s="2" t="str">
        <f>IFERROR(__xludf.DUMMYFUNCTION("""COMPUTED_VALUE"""),"道場 (Dojo?)")</f>
        <v>道場 (Dojo?)</v>
      </c>
      <c r="B8" s="2" t="str">
        <f>IFERROR(__xludf.DUMMYFUNCTION("""COMPUTED_VALUE"""),"Endroit où l'on apprend la « voie », où se pratique le karaté")</f>
        <v>Endroit où l'on apprend la « voie », où se pratique le karaté</v>
      </c>
    </row>
    <row r="9">
      <c r="A9" s="2" t="str">
        <f>IFERROR(__xludf.DUMMYFUNCTION("""COMPUTED_VALUE"""),"猿臂（*Enpi）* (ou 肘 (*Hiji*?))")</f>
        <v>猿臂（*Enpi）* (ou 肘 (*Hiji*?))</v>
      </c>
      <c r="B9" s="2" t="str">
        <f>IFERROR(__xludf.DUMMYFUNCTION("""COMPUTED_VALUE"""),"Coude")</f>
        <v>Coude</v>
      </c>
    </row>
    <row r="10">
      <c r="A10" s="2" t="str">
        <f>IFERROR(__xludf.DUMMYFUNCTION("""COMPUTED_VALUE"""),"下段 (*Gedan*?)")</f>
        <v>下段 (*Gedan*?)</v>
      </c>
      <c r="B10" s="2" t="str">
        <f>IFERROR(__xludf.DUMMYFUNCTION("""COMPUTED_VALUE"""),"Niveau bas (jambes)")</f>
        <v>Niveau bas (jambes)</v>
      </c>
    </row>
    <row r="11">
      <c r="A11" s="2" t="str">
        <f>IFERROR(__xludf.DUMMYFUNCTION("""COMPUTED_VALUE"""),"蹴り (*Keri*?) (parfois *geri*[38])")</f>
        <v>蹴り (*Keri*?) (parfois *geri*[38])</v>
      </c>
      <c r="B11" s="2" t="str">
        <f>IFERROR(__xludf.DUMMYFUNCTION("""COMPUTED_VALUE"""),"Attaque de la jambe (coup de pied)")</f>
        <v>Attaque de la jambe (coup de pied)</v>
      </c>
    </row>
    <row r="12">
      <c r="A12" s="2" t="str">
        <f>IFERROR(__xludf.DUMMYFUNCTION("""COMPUTED_VALUE"""),"逆 (*Gyaku*?)")</f>
        <v>逆 (*Gyaku*?)</v>
      </c>
      <c r="B12" s="2" t="str">
        <f>IFERROR(__xludf.DUMMYFUNCTION("""COMPUTED_VALUE"""),"Contraire, opposé")</f>
        <v>Contraire, opposé</v>
      </c>
    </row>
    <row r="13">
      <c r="A13" s="2" t="str">
        <f>IFERROR(__xludf.DUMMYFUNCTION("""COMPUTED_VALUE"""),"*背刀（Haitō）*")</f>
        <v>*背刀（Haitō）*</v>
      </c>
      <c r="B13" s="2" t="str">
        <f>IFERROR(__xludf.DUMMYFUNCTION("""COMPUTED_VALUE"""),"Tranchant intérieur de la main (côté pouce)")</f>
        <v>Tranchant intérieur de la main (côté pouce)</v>
      </c>
    </row>
    <row r="14">
      <c r="A14" s="2" t="str">
        <f>IFERROR(__xludf.DUMMYFUNCTION("""COMPUTED_VALUE"""),"始め (*Hajime*?)")</f>
        <v>始め (*Hajime*?)</v>
      </c>
      <c r="B14" s="2" t="str">
        <f>IFERROR(__xludf.DUMMYFUNCTION("""COMPUTED_VALUE"""),"Commencez !")</f>
        <v>Commencez !</v>
      </c>
    </row>
    <row r="15">
      <c r="A15" s="2" t="str">
        <f>IFERROR(__xludf.DUMMYFUNCTION("""COMPUTED_VALUE"""),"腹 (*Hara*?)")</f>
        <v>腹 (*Hara*?)</v>
      </c>
      <c r="B15" s="2" t="str">
        <f>IFERROR(__xludf.DUMMYFUNCTION("""COMPUTED_VALUE"""),"Ventre")</f>
        <v>Ventre</v>
      </c>
    </row>
    <row r="16">
      <c r="A16" s="2" t="str">
        <f>IFERROR(__xludf.DUMMYFUNCTION("""COMPUTED_VALUE"""),"左 (*Hidari*?)")</f>
        <v>左 (*Hidari*?)</v>
      </c>
      <c r="B16" s="2" t="str">
        <f>IFERROR(__xludf.DUMMYFUNCTION("""COMPUTED_VALUE"""),"Gauche")</f>
        <v>Gauche</v>
      </c>
    </row>
    <row r="17">
      <c r="A17" s="2" t="str">
        <f>IFERROR(__xludf.DUMMYFUNCTION("""COMPUTED_VALUE"""),"膝 (*Hiza*?)")</f>
        <v>膝 (*Hiza*?)</v>
      </c>
      <c r="B17" s="2" t="str">
        <f>IFERROR(__xludf.DUMMYFUNCTION("""COMPUTED_VALUE"""),"Genou")</f>
        <v>Genou</v>
      </c>
    </row>
    <row r="18">
      <c r="A18" s="2" t="str">
        <f>IFERROR(__xludf.DUMMYFUNCTION("""COMPUTED_VALUE"""),"上段 (*Jōdan*?)")</f>
        <v>上段 (*Jōdan*?)</v>
      </c>
      <c r="B18" s="2" t="str">
        <f>IFERROR(__xludf.DUMMYFUNCTION("""COMPUTED_VALUE"""),"Niveau haut (visage)")</f>
        <v>Niveau haut (visage)</v>
      </c>
    </row>
    <row r="19">
      <c r="A19" s="2" t="str">
        <f>IFERROR(__xludf.DUMMYFUNCTION("""COMPUTED_VALUE"""),"空手 (*Kara-te*?)")</f>
        <v>空手 (*Kara-te*?)</v>
      </c>
      <c r="B19" s="2" t="str">
        <f>IFERROR(__xludf.DUMMYFUNCTION("""COMPUTED_VALUE"""),"Main vide")</f>
        <v>Main vide</v>
      </c>
    </row>
    <row r="20">
      <c r="A20" s="2" t="str">
        <f>IFERROR(__xludf.DUMMYFUNCTION("""COMPUTED_VALUE"""),"関節蹴り (*Kansetsu geri*, *littéralement « coup de pied-genou »*?)")</f>
        <v>関節蹴り (*Kansetsu geri*, *littéralement « coup de pied-genou »*?)</v>
      </c>
      <c r="B20" s="2" t="str">
        <f>IFERROR(__xludf.DUMMYFUNCTION("""COMPUTED_VALUE"""),"Coup de pied cassant (pratiqué au niveau des genoux)")</f>
        <v>Coup de pied cassant (pratiqué au niveau des genoux)</v>
      </c>
    </row>
    <row r="21">
      <c r="A21" s="2" t="str">
        <f>IFERROR(__xludf.DUMMYFUNCTION("""COMPUTED_VALUE"""),"決め (*Kime*?)")</f>
        <v>決め (*Kime*?)</v>
      </c>
      <c r="B21" s="2" t="str">
        <f>IFERROR(__xludf.DUMMYFUNCTION("""COMPUTED_VALUE"""),"Décision (être prêt(au combat))")</f>
        <v>Décision (être prêt(au combat))</v>
      </c>
    </row>
    <row r="22">
      <c r="A22" s="2" t="str">
        <f>IFERROR(__xludf.DUMMYFUNCTION("""COMPUTED_VALUE"""),"級 (Kyu?)")</f>
        <v>級 (Kyu?)</v>
      </c>
      <c r="B22" s="2" t="str">
        <f>IFERROR(__xludf.DUMMYFUNCTION("""COMPUTED_VALUE"""),"Classe, grade avant le dan")</f>
        <v>Classe, grade avant le dan</v>
      </c>
    </row>
    <row r="23">
      <c r="A23" s="2" t="str">
        <f>IFERROR(__xludf.DUMMYFUNCTION("""COMPUTED_VALUE"""),"前蹴り (*Mae geri*, *littéralement « coup de pied avant »*?)")</f>
        <v>前蹴り (*Mae geri*, *littéralement « coup de pied avant »*?)</v>
      </c>
      <c r="B23" s="2" t="str">
        <f>IFERROR(__xludf.DUMMYFUNCTION("""COMPUTED_VALUE"""),"Coup de pied de face")</f>
        <v>Coup de pied de face</v>
      </c>
    </row>
    <row r="24">
      <c r="A24" s="2" t="str">
        <f>IFERROR(__xludf.DUMMYFUNCTION("""COMPUTED_VALUE"""),"回し蹴り (*Mawashi-geri*?)")</f>
        <v>回し蹴り (*Mawashi-geri*?)</v>
      </c>
      <c r="B24" s="2" t="str">
        <f>IFERROR(__xludf.DUMMYFUNCTION("""COMPUTED_VALUE"""),"Coup de pied circulaire")</f>
        <v>Coup de pied circulaire</v>
      </c>
    </row>
    <row r="25">
      <c r="A25" s="2" t="str">
        <f>IFERROR(__xludf.DUMMYFUNCTION("""COMPUTED_VALUE"""),"右 (*Migi*?)")</f>
        <v>右 (*Migi*?)</v>
      </c>
      <c r="B25" s="2" t="str">
        <f>IFERROR(__xludf.DUMMYFUNCTION("""COMPUTED_VALUE"""),"Droite")</f>
        <v>Droite</v>
      </c>
    </row>
    <row r="26">
      <c r="A26" s="2" t="str">
        <f>IFERROR(__xludf.DUMMYFUNCTION("""COMPUTED_VALUE"""),"双手 (*Morote*?)")</f>
        <v>双手 (*Morote*?)</v>
      </c>
      <c r="B26" s="2" t="str">
        <f>IFERROR(__xludf.DUMMYFUNCTION("""COMPUTED_VALUE"""),"À deux mains")</f>
        <v>À deux mains</v>
      </c>
    </row>
    <row r="27">
      <c r="A27" s="2" t="str">
        <f>IFERROR(__xludf.DUMMYFUNCTION("""COMPUTED_VALUE"""),"抜き手 (*Nukite*, *littéralement « main qui arrache »*?)")</f>
        <v>抜き手 (*Nukite*, *littéralement « main qui arrache »*?)</v>
      </c>
      <c r="B27" s="2" t="str">
        <f>IFERROR(__xludf.DUMMYFUNCTION("""COMPUTED_VALUE"""),"Pique des doigts de la main")</f>
        <v>Pique des doigts de la main</v>
      </c>
    </row>
    <row r="28">
      <c r="A28" s="2" t="str">
        <f>IFERROR(__xludf.DUMMYFUNCTION("""COMPUTED_VALUE"""),"*追い突き（Oi tsuki）*")</f>
        <v>*追い突き（Oi tsuki）*</v>
      </c>
      <c r="B28" s="2" t="str">
        <f>IFERROR(__xludf.DUMMYFUNCTION("""COMPUTED_VALUE"""),"Coup de poing en poursuite")</f>
        <v>Coup de poing en poursuite</v>
      </c>
    </row>
    <row r="29">
      <c r="A29" s="2" t="str">
        <f>IFERROR(__xludf.DUMMYFUNCTION("""COMPUTED_VALUE"""),"礼 (*Rei)*")</f>
        <v>礼 (*Rei)*</v>
      </c>
      <c r="B29" s="2" t="str">
        <f>IFERROR(__xludf.DUMMYFUNCTION("""COMPUTED_VALUE"""),"Salut")</f>
        <v>Salut</v>
      </c>
    </row>
    <row r="30">
      <c r="A30" s="2" t="str">
        <f>IFERROR(__xludf.DUMMYFUNCTION("""COMPUTED_VALUE"""),"流 (*Ryū*, *littéralement « courant »*?)")</f>
        <v>流 (*Ryū*, *littéralement « courant »*?)</v>
      </c>
      <c r="B30" s="2" t="str">
        <f>IFERROR(__xludf.DUMMYFUNCTION("""COMPUTED_VALUE"""),"Utilisé pour désigner les courants des écoles de karaté")</f>
        <v>Utilisé pour désigner les courants des écoles de karaté</v>
      </c>
    </row>
    <row r="31">
      <c r="A31" s="2" t="str">
        <f>IFERROR(__xludf.DUMMYFUNCTION("""COMPUTED_VALUE"""),"*Sabaki*")</f>
        <v>*Sabaki*</v>
      </c>
      <c r="B31" s="2" t="str">
        <f>IFERROR(__xludf.DUMMYFUNCTION("""COMPUTED_VALUE"""),"Esquiver, tourner")</f>
        <v>Esquiver, tourner</v>
      </c>
    </row>
    <row r="32">
      <c r="A32" s="2" t="str">
        <f>IFERROR(__xludf.DUMMYFUNCTION("""COMPUTED_VALUE"""),"先生 (Sensei?)")</f>
        <v>先生 (Sensei?)</v>
      </c>
      <c r="B32" s="2" t="str">
        <f>IFERROR(__xludf.DUMMYFUNCTION("""COMPUTED_VALUE"""),"Professeur, maître")</f>
        <v>Professeur, maître</v>
      </c>
    </row>
    <row r="33">
      <c r="A33" s="2" t="str">
        <f>IFERROR(__xludf.DUMMYFUNCTION("""COMPUTED_VALUE"""),"*手刀 Shutō*")</f>
        <v>*手刀 Shutō*</v>
      </c>
      <c r="B33" s="2" t="str">
        <f>IFERROR(__xludf.DUMMYFUNCTION("""COMPUTED_VALUE"""),"Tranchant extérieur de la main")</f>
        <v>Tranchant extérieur de la main</v>
      </c>
    </row>
    <row r="34">
      <c r="A34" s="2" t="str">
        <f>IFERROR(__xludf.DUMMYFUNCTION("""COMPUTED_VALUE"""),"*足刀 Sokutō*")</f>
        <v>*足刀 Sokutō*</v>
      </c>
      <c r="B34" s="2" t="str">
        <f>IFERROR(__xludf.DUMMYFUNCTION("""COMPUTED_VALUE"""),"Tranchant du pied")</f>
        <v>Tranchant du pied</v>
      </c>
    </row>
    <row r="35">
      <c r="A35" s="2" t="str">
        <f>IFERROR(__xludf.DUMMYFUNCTION("""COMPUTED_VALUE"""),"外 (*Soto*?)")</f>
        <v>外 (*Soto*?)</v>
      </c>
      <c r="B35" s="2" t="str">
        <f>IFERROR(__xludf.DUMMYFUNCTION("""COMPUTED_VALUE"""),"Extérieur")</f>
        <v>Extérieur</v>
      </c>
    </row>
    <row r="36">
      <c r="A36" s="2" t="str">
        <f>IFERROR(__xludf.DUMMYFUNCTION("""COMPUTED_VALUE"""),"畳 (Tatami?)")</f>
        <v>畳 (Tatami?)</v>
      </c>
      <c r="B36" s="2" t="str">
        <f>IFERROR(__xludf.DUMMYFUNCTION("""COMPUTED_VALUE"""),"Tapis en paille de riz")</f>
        <v>Tapis en paille de riz</v>
      </c>
    </row>
    <row r="37">
      <c r="A37" s="2" t="str">
        <f>IFERROR(__xludf.DUMMYFUNCTION("""COMPUTED_VALUE"""),"取り (*Tori)*")</f>
        <v>取り (*Tori)*</v>
      </c>
      <c r="B37" s="2" t="str">
        <f>IFERROR(__xludf.DUMMYFUNCTION("""COMPUTED_VALUE"""),"Celui qui attaque")</f>
        <v>Celui qui attaque</v>
      </c>
    </row>
    <row r="38">
      <c r="A38" s="2" t="str">
        <f>IFERROR(__xludf.DUMMYFUNCTION("""COMPUTED_VALUE"""),"*突きTsuki*/*zuki*")</f>
        <v>*突きTsuki*/*zuki*</v>
      </c>
      <c r="B38" s="2" t="str">
        <f>IFERROR(__xludf.DUMMYFUNCTION("""COMPUTED_VALUE"""),"Attaque directe (utilisé pour le poing)")</f>
        <v>Attaque directe (utilisé pour le poing)</v>
      </c>
    </row>
    <row r="39">
      <c r="A39" s="2" t="str">
        <f>IFERROR(__xludf.DUMMYFUNCTION("""COMPUTED_VALUE"""),"内 (*Uchi*?)")</f>
        <v>内 (*Uchi*?)</v>
      </c>
      <c r="B39" s="2" t="str">
        <f>IFERROR(__xludf.DUMMYFUNCTION("""COMPUTED_VALUE"""),"Intérieur")</f>
        <v>Intérieur</v>
      </c>
    </row>
    <row r="40">
      <c r="A40" s="2" t="str">
        <f>IFERROR(__xludf.DUMMYFUNCTION("""COMPUTED_VALUE"""),"腕 (*Ude*?)")</f>
        <v>腕 (*Ude*?)</v>
      </c>
      <c r="B40" s="2" t="str">
        <f>IFERROR(__xludf.DUMMYFUNCTION("""COMPUTED_VALUE"""),"Poignet, fin de l'avant-bras")</f>
        <v>Poignet, fin de l'avant-bras</v>
      </c>
    </row>
    <row r="41">
      <c r="A41" s="2" t="str">
        <f>IFERROR(__xludf.DUMMYFUNCTION("""COMPUTED_VALUE"""),"受け (*Uke*?)")</f>
        <v>受け (*Uke*?)</v>
      </c>
      <c r="B41" s="2" t="str">
        <f>IFERROR(__xludf.DUMMYFUNCTION("""COMPUTED_VALUE"""),"Celui qui se défend, blocage")</f>
        <v>Celui qui se défend, blocage</v>
      </c>
    </row>
    <row r="42">
      <c r="A42" s="2" t="str">
        <f>IFERROR(__xludf.DUMMYFUNCTION("""COMPUTED_VALUE"""),"裏 (*Ura*?)")</f>
        <v>裏 (*Ura*?)</v>
      </c>
      <c r="B42" s="2" t="str">
        <f>IFERROR(__xludf.DUMMYFUNCTION("""COMPUTED_VALUE"""),"Opposé, arrière")</f>
        <v>Opposé, arrière</v>
      </c>
    </row>
    <row r="43">
      <c r="A43" s="2" t="str">
        <f>IFERROR(__xludf.DUMMYFUNCTION("""COMPUTED_VALUE"""),"後 (*Ushiro*?)")</f>
        <v>後 (*Ushiro*?)</v>
      </c>
      <c r="B43" s="2" t="str">
        <f>IFERROR(__xludf.DUMMYFUNCTION("""COMPUTED_VALUE"""),"Derrière")</f>
        <v>Derrière</v>
      </c>
    </row>
    <row r="44">
      <c r="A44" s="2" t="str">
        <f>IFERROR(__xludf.DUMMYFUNCTION("""COMPUTED_VALUE"""),"*Wado*")</f>
        <v>*Wado*</v>
      </c>
      <c r="B44" s="2" t="str">
        <f>IFERROR(__xludf.DUMMYFUNCTION("""COMPUTED_VALUE"""),"Colombe")</f>
        <v>Colombe</v>
      </c>
    </row>
    <row r="45">
      <c r="A45" s="2" t="str">
        <f>IFERROR(__xludf.DUMMYFUNCTION("""COMPUTED_VALUE"""),"止め (*Yame*?)")</f>
        <v>止め (*Yame*?)</v>
      </c>
      <c r="B45" s="2" t="str">
        <f>IFERROR(__xludf.DUMMYFUNCTION("""COMPUTED_VALUE"""),"Arrêtez !")</f>
        <v>Arrêtez !</v>
      </c>
    </row>
    <row r="46">
      <c r="A46" s="2" t="str">
        <f>IFERROR(__xludf.DUMMYFUNCTION("""COMPUTED_VALUE"""),"横 (*Yoko*?)")</f>
        <v>横 (*Yoko*?)</v>
      </c>
      <c r="B46" s="2" t="str">
        <f>IFERROR(__xludf.DUMMYFUNCTION("""COMPUTED_VALUE"""),"Latéral (ou horizontal)")</f>
        <v>Latéral (ou horizontal)</v>
      </c>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892</v>
      </c>
      <c r="B1" s="2" t="s">
        <v>893</v>
      </c>
      <c r="C1" s="2" t="s">
        <v>894</v>
      </c>
      <c r="D1" s="2" t="s">
        <v>895</v>
      </c>
      <c r="F1" s="2" t="s">
        <v>896</v>
      </c>
      <c r="G1" s="2" t="s">
        <v>895</v>
      </c>
    </row>
    <row r="2">
      <c r="A2" s="2" t="s">
        <v>897</v>
      </c>
      <c r="B2" s="2" t="s">
        <v>898</v>
      </c>
      <c r="C2" s="2" t="s">
        <v>899</v>
      </c>
      <c r="E2" s="2" t="s">
        <v>900</v>
      </c>
      <c r="F2" s="2" t="s">
        <v>899</v>
      </c>
      <c r="H2" s="2" t="s">
        <v>900</v>
      </c>
    </row>
    <row r="3">
      <c r="A3" s="2" t="s">
        <v>901</v>
      </c>
      <c r="B3" s="2" t="s">
        <v>902</v>
      </c>
      <c r="C3" s="2" t="s">
        <v>903</v>
      </c>
      <c r="E3" s="2" t="s">
        <v>904</v>
      </c>
      <c r="F3" s="2" t="s">
        <v>903</v>
      </c>
      <c r="H3" s="2" t="s">
        <v>904</v>
      </c>
    </row>
    <row r="4">
      <c r="A4" s="2" t="s">
        <v>905</v>
      </c>
      <c r="B4" s="2" t="s">
        <v>906</v>
      </c>
      <c r="C4" s="2" t="s">
        <v>907</v>
      </c>
      <c r="E4" s="2" t="s">
        <v>904</v>
      </c>
      <c r="F4" s="2" t="s">
        <v>907</v>
      </c>
      <c r="H4" s="2" t="s">
        <v>904</v>
      </c>
    </row>
    <row r="5">
      <c r="A5" s="2" t="s">
        <v>908</v>
      </c>
      <c r="B5" s="2" t="s">
        <v>909</v>
      </c>
      <c r="C5" s="2" t="s">
        <v>910</v>
      </c>
      <c r="E5" s="2" t="s">
        <v>911</v>
      </c>
      <c r="F5" s="1" t="s">
        <v>912</v>
      </c>
      <c r="H5" s="2" t="s">
        <v>904</v>
      </c>
    </row>
    <row r="6">
      <c r="A6" s="2" t="s">
        <v>913</v>
      </c>
      <c r="B6" s="2" t="s">
        <v>914</v>
      </c>
      <c r="C6" s="2" t="s">
        <v>915</v>
      </c>
      <c r="E6" s="2" t="s">
        <v>900</v>
      </c>
      <c r="F6" s="2" t="s">
        <v>915</v>
      </c>
      <c r="H6" s="2" t="s">
        <v>900</v>
      </c>
    </row>
    <row r="7">
      <c r="A7" s="2" t="s">
        <v>916</v>
      </c>
      <c r="B7" s="2" t="s">
        <v>917</v>
      </c>
      <c r="C7" s="2" t="s">
        <v>918</v>
      </c>
      <c r="E7" s="2" t="s">
        <v>900</v>
      </c>
      <c r="F7" s="2" t="s">
        <v>919</v>
      </c>
      <c r="H7" s="2" t="s">
        <v>900</v>
      </c>
    </row>
    <row r="8">
      <c r="A8" s="2" t="s">
        <v>920</v>
      </c>
      <c r="B8" s="2" t="s">
        <v>921</v>
      </c>
      <c r="C8" s="2" t="s">
        <v>922</v>
      </c>
      <c r="E8" s="2" t="s">
        <v>911</v>
      </c>
      <c r="F8" s="2" t="s">
        <v>923</v>
      </c>
      <c r="H8" s="2" t="s">
        <v>904</v>
      </c>
    </row>
    <row r="9">
      <c r="A9" s="2" t="s">
        <v>924</v>
      </c>
      <c r="B9" s="2" t="s">
        <v>925</v>
      </c>
      <c r="C9" s="2" t="s">
        <v>926</v>
      </c>
      <c r="E9" s="2" t="s">
        <v>927</v>
      </c>
      <c r="F9" s="2" t="s">
        <v>926</v>
      </c>
      <c r="H9" s="2" t="s">
        <v>927</v>
      </c>
    </row>
    <row r="10">
      <c r="A10" s="2" t="s">
        <v>928</v>
      </c>
      <c r="B10" s="2" t="s">
        <v>929</v>
      </c>
      <c r="C10" s="2" t="s">
        <v>930</v>
      </c>
      <c r="E10" s="2" t="s">
        <v>931</v>
      </c>
      <c r="F10" s="2" t="s">
        <v>930</v>
      </c>
      <c r="H10" s="2" t="s">
        <v>931</v>
      </c>
    </row>
    <row r="11">
      <c r="A11" s="2" t="s">
        <v>932</v>
      </c>
      <c r="B11" s="2" t="s">
        <v>933</v>
      </c>
      <c r="C11" s="2" t="s">
        <v>934</v>
      </c>
      <c r="E11" s="2" t="s">
        <v>935</v>
      </c>
      <c r="F11" s="2" t="s">
        <v>934</v>
      </c>
      <c r="H11" s="2" t="s">
        <v>935</v>
      </c>
    </row>
    <row r="12">
      <c r="A12" s="2" t="s">
        <v>936</v>
      </c>
      <c r="B12" s="2" t="s">
        <v>937</v>
      </c>
      <c r="C12" s="2" t="s">
        <v>938</v>
      </c>
      <c r="E12" s="2" t="s">
        <v>935</v>
      </c>
      <c r="F12" s="2" t="s">
        <v>939</v>
      </c>
      <c r="H12" s="2" t="s">
        <v>935</v>
      </c>
    </row>
    <row r="13">
      <c r="A13" s="2" t="s">
        <v>940</v>
      </c>
      <c r="B13" s="2" t="s">
        <v>941</v>
      </c>
      <c r="C13" s="2" t="s">
        <v>942</v>
      </c>
      <c r="D13" s="1"/>
      <c r="E13" s="2" t="s">
        <v>935</v>
      </c>
      <c r="F13" s="2" t="s">
        <v>942</v>
      </c>
      <c r="H13" s="2" t="s">
        <v>935</v>
      </c>
    </row>
    <row r="14">
      <c r="A14" s="2" t="s">
        <v>943</v>
      </c>
      <c r="B14" s="2" t="s">
        <v>944</v>
      </c>
      <c r="C14" s="2" t="s">
        <v>945</v>
      </c>
      <c r="E14" s="2" t="s">
        <v>911</v>
      </c>
      <c r="F14" s="2" t="s">
        <v>945</v>
      </c>
      <c r="H14" s="2" t="s">
        <v>911</v>
      </c>
    </row>
    <row r="15">
      <c r="A15" s="2" t="s">
        <v>946</v>
      </c>
      <c r="B15" s="2" t="s">
        <v>947</v>
      </c>
      <c r="C15" s="2" t="s">
        <v>948</v>
      </c>
      <c r="E15" s="2" t="s">
        <v>911</v>
      </c>
      <c r="F15" s="2" t="s">
        <v>949</v>
      </c>
      <c r="H15" s="2" t="s">
        <v>911</v>
      </c>
    </row>
    <row r="16">
      <c r="A16" s="2" t="s">
        <v>950</v>
      </c>
      <c r="B16" s="2" t="s">
        <v>951</v>
      </c>
      <c r="C16" s="2" t="s">
        <v>952</v>
      </c>
      <c r="E16" s="2" t="s">
        <v>935</v>
      </c>
      <c r="F16" s="2" t="s">
        <v>952</v>
      </c>
      <c r="H16" s="2" t="s">
        <v>935</v>
      </c>
    </row>
    <row r="17">
      <c r="A17" s="2" t="s">
        <v>953</v>
      </c>
      <c r="B17" s="2" t="s">
        <v>954</v>
      </c>
      <c r="C17" s="2" t="s">
        <v>955</v>
      </c>
      <c r="E17" s="2" t="s">
        <v>904</v>
      </c>
      <c r="F17" s="2" t="s">
        <v>955</v>
      </c>
      <c r="H17" s="2" t="s">
        <v>904</v>
      </c>
    </row>
    <row r="18">
      <c r="A18" s="2" t="s">
        <v>956</v>
      </c>
      <c r="B18" s="2" t="s">
        <v>957</v>
      </c>
      <c r="C18" s="2" t="s">
        <v>958</v>
      </c>
      <c r="E18" s="2" t="s">
        <v>935</v>
      </c>
      <c r="F18" s="2" t="s">
        <v>958</v>
      </c>
      <c r="H18" s="2" t="s">
        <v>935</v>
      </c>
    </row>
    <row r="19">
      <c r="A19" s="2" t="s">
        <v>959</v>
      </c>
      <c r="B19" s="2" t="s">
        <v>960</v>
      </c>
      <c r="C19" s="2" t="s">
        <v>961</v>
      </c>
      <c r="E19" s="2" t="s">
        <v>900</v>
      </c>
      <c r="F19" s="2" t="s">
        <v>962</v>
      </c>
      <c r="H19" s="2" t="s">
        <v>927</v>
      </c>
    </row>
    <row r="20">
      <c r="A20" s="2" t="s">
        <v>963</v>
      </c>
      <c r="B20" s="2" t="s">
        <v>964</v>
      </c>
      <c r="C20" s="2" t="s">
        <v>965</v>
      </c>
      <c r="E20" s="2" t="s">
        <v>904</v>
      </c>
      <c r="F20" s="2" t="s">
        <v>965</v>
      </c>
      <c r="H20" s="2" t="s">
        <v>904</v>
      </c>
    </row>
    <row r="21">
      <c r="A21" s="2" t="s">
        <v>966</v>
      </c>
      <c r="B21" s="2" t="s">
        <v>967</v>
      </c>
      <c r="C21" s="2" t="s">
        <v>968</v>
      </c>
      <c r="E21" s="2" t="s">
        <v>935</v>
      </c>
      <c r="F21" s="2" t="s">
        <v>968</v>
      </c>
      <c r="H21" s="2" t="s">
        <v>935</v>
      </c>
    </row>
    <row r="22">
      <c r="A22" s="2" t="s">
        <v>969</v>
      </c>
      <c r="B22" s="2" t="s">
        <v>970</v>
      </c>
      <c r="C22" s="2" t="s">
        <v>971</v>
      </c>
      <c r="E22" s="2" t="s">
        <v>904</v>
      </c>
      <c r="F22" s="2" t="s">
        <v>972</v>
      </c>
      <c r="H22" s="2" t="s">
        <v>904</v>
      </c>
    </row>
    <row r="23">
      <c r="A23" s="2" t="s">
        <v>973</v>
      </c>
      <c r="B23" s="2" t="s">
        <v>974</v>
      </c>
      <c r="C23" s="2" t="s">
        <v>975</v>
      </c>
      <c r="E23" s="2" t="s">
        <v>904</v>
      </c>
      <c r="F23" s="2" t="s">
        <v>976</v>
      </c>
      <c r="H23" s="2" t="s">
        <v>904</v>
      </c>
    </row>
    <row r="24">
      <c r="A24" s="2" t="s">
        <v>977</v>
      </c>
      <c r="B24" s="2" t="s">
        <v>978</v>
      </c>
      <c r="C24" s="2" t="s">
        <v>979</v>
      </c>
      <c r="E24" s="2" t="s">
        <v>904</v>
      </c>
      <c r="F24" s="2" t="s">
        <v>979</v>
      </c>
      <c r="H24" s="2" t="s">
        <v>904</v>
      </c>
    </row>
    <row r="25">
      <c r="A25" s="2" t="s">
        <v>980</v>
      </c>
      <c r="B25" s="2" t="s">
        <v>981</v>
      </c>
      <c r="C25" s="2" t="s">
        <v>982</v>
      </c>
      <c r="E25" s="2" t="s">
        <v>935</v>
      </c>
      <c r="F25" s="2" t="s">
        <v>982</v>
      </c>
      <c r="H25" s="2" t="s">
        <v>935</v>
      </c>
    </row>
    <row r="26">
      <c r="A26" s="2" t="s">
        <v>983</v>
      </c>
      <c r="B26" s="2" t="s">
        <v>984</v>
      </c>
      <c r="C26" s="2" t="s">
        <v>985</v>
      </c>
      <c r="E26" s="2" t="s">
        <v>900</v>
      </c>
      <c r="F26" s="2" t="s">
        <v>986</v>
      </c>
      <c r="H26" s="2" t="s">
        <v>911</v>
      </c>
    </row>
    <row r="27">
      <c r="A27" s="2" t="s">
        <v>987</v>
      </c>
      <c r="B27" s="2" t="s">
        <v>988</v>
      </c>
      <c r="C27" s="2" t="s">
        <v>989</v>
      </c>
      <c r="E27" s="2" t="s">
        <v>904</v>
      </c>
      <c r="F27" s="2" t="s">
        <v>990</v>
      </c>
      <c r="H27" s="2" t="s">
        <v>904</v>
      </c>
    </row>
    <row r="28">
      <c r="A28" s="2" t="s">
        <v>991</v>
      </c>
      <c r="B28" s="2" t="s">
        <v>992</v>
      </c>
      <c r="C28" s="2" t="s">
        <v>993</v>
      </c>
      <c r="E28" s="2" t="s">
        <v>911</v>
      </c>
      <c r="F28" s="2" t="s">
        <v>994</v>
      </c>
      <c r="H28" s="2" t="s">
        <v>911</v>
      </c>
    </row>
    <row r="29">
      <c r="A29" s="2" t="s">
        <v>995</v>
      </c>
      <c r="B29" s="2" t="s">
        <v>996</v>
      </c>
      <c r="C29" s="2" t="s">
        <v>997</v>
      </c>
      <c r="E29" s="2" t="s">
        <v>935</v>
      </c>
      <c r="F29" s="2" t="s">
        <v>997</v>
      </c>
      <c r="H29" s="2" t="s">
        <v>935</v>
      </c>
    </row>
    <row r="30">
      <c r="A30" s="2" t="s">
        <v>998</v>
      </c>
      <c r="B30" s="2" t="s">
        <v>999</v>
      </c>
      <c r="C30" s="2" t="s">
        <v>1000</v>
      </c>
      <c r="E30" s="2" t="s">
        <v>935</v>
      </c>
      <c r="F30" s="2" t="s">
        <v>1001</v>
      </c>
      <c r="H30" s="2" t="s">
        <v>935</v>
      </c>
    </row>
    <row r="31">
      <c r="A31" s="2" t="s">
        <v>1002</v>
      </c>
      <c r="B31" s="2" t="s">
        <v>1003</v>
      </c>
      <c r="C31" s="2" t="s">
        <v>1004</v>
      </c>
      <c r="E31" s="2" t="s">
        <v>900</v>
      </c>
      <c r="F31" s="2" t="s">
        <v>1005</v>
      </c>
      <c r="H31" s="2" t="s">
        <v>904</v>
      </c>
    </row>
    <row r="32">
      <c r="A32" s="2" t="s">
        <v>1006</v>
      </c>
      <c r="B32" s="2" t="s">
        <v>1007</v>
      </c>
      <c r="C32" s="2" t="s">
        <v>1008</v>
      </c>
      <c r="E32" s="2" t="s">
        <v>904</v>
      </c>
      <c r="F32" s="2" t="s">
        <v>1008</v>
      </c>
      <c r="H32" s="2" t="s">
        <v>904</v>
      </c>
    </row>
    <row r="33">
      <c r="A33" s="2" t="s">
        <v>1009</v>
      </c>
      <c r="B33" s="2" t="s">
        <v>1010</v>
      </c>
      <c r="C33" s="2" t="s">
        <v>1011</v>
      </c>
      <c r="E33" s="2" t="s">
        <v>904</v>
      </c>
      <c r="F33" s="2" t="s">
        <v>1011</v>
      </c>
      <c r="H33" s="2" t="s">
        <v>904</v>
      </c>
    </row>
    <row r="34">
      <c r="A34" s="2" t="s">
        <v>1012</v>
      </c>
      <c r="B34" s="2" t="s">
        <v>1013</v>
      </c>
      <c r="C34" s="2" t="s">
        <v>1014</v>
      </c>
      <c r="E34" s="2" t="s">
        <v>900</v>
      </c>
      <c r="F34" s="2" t="s">
        <v>1014</v>
      </c>
      <c r="H34" s="2" t="s">
        <v>900</v>
      </c>
    </row>
    <row r="35">
      <c r="A35" s="2" t="s">
        <v>1015</v>
      </c>
      <c r="B35" s="2" t="s">
        <v>1016</v>
      </c>
      <c r="C35" s="2" t="s">
        <v>1017</v>
      </c>
      <c r="E35" s="2" t="s">
        <v>904</v>
      </c>
      <c r="F35" s="2" t="s">
        <v>1018</v>
      </c>
      <c r="H35" s="2" t="s">
        <v>911</v>
      </c>
    </row>
    <row r="36">
      <c r="A36" s="2" t="s">
        <v>1019</v>
      </c>
      <c r="B36" s="2" t="s">
        <v>1020</v>
      </c>
      <c r="C36" s="2" t="s">
        <v>1021</v>
      </c>
      <c r="E36" s="2" t="s">
        <v>904</v>
      </c>
      <c r="F36" s="2" t="s">
        <v>1021</v>
      </c>
      <c r="H36" s="2" t="s">
        <v>904</v>
      </c>
    </row>
    <row r="37">
      <c r="A37" s="2" t="s">
        <v>1022</v>
      </c>
      <c r="B37" s="2" t="s">
        <v>1023</v>
      </c>
      <c r="C37" s="2" t="s">
        <v>1024</v>
      </c>
      <c r="E37" s="2" t="s">
        <v>904</v>
      </c>
      <c r="F37" s="2" t="s">
        <v>1025</v>
      </c>
      <c r="H37" s="2" t="s">
        <v>904</v>
      </c>
    </row>
    <row r="38">
      <c r="A38" s="2" t="s">
        <v>1026</v>
      </c>
      <c r="B38" s="2" t="s">
        <v>1027</v>
      </c>
      <c r="C38" s="2" t="s">
        <v>1028</v>
      </c>
      <c r="E38" s="2" t="s">
        <v>900</v>
      </c>
      <c r="F38" s="2" t="s">
        <v>1029</v>
      </c>
      <c r="H38" s="2" t="s">
        <v>900</v>
      </c>
    </row>
    <row r="39">
      <c r="A39" s="2" t="s">
        <v>1030</v>
      </c>
      <c r="B39" s="2" t="s">
        <v>1031</v>
      </c>
      <c r="C39" s="2" t="s">
        <v>1032</v>
      </c>
      <c r="E39" s="2" t="s">
        <v>911</v>
      </c>
      <c r="F39" s="2" t="s">
        <v>1032</v>
      </c>
      <c r="H39" s="2" t="s">
        <v>911</v>
      </c>
    </row>
    <row r="40">
      <c r="A40" s="2" t="s">
        <v>1033</v>
      </c>
      <c r="B40" s="2" t="s">
        <v>1034</v>
      </c>
      <c r="C40" s="2" t="s">
        <v>1035</v>
      </c>
      <c r="E40" s="2" t="s">
        <v>900</v>
      </c>
      <c r="F40" s="2" t="s">
        <v>1035</v>
      </c>
      <c r="H40" s="2" t="s">
        <v>900</v>
      </c>
    </row>
    <row r="41">
      <c r="A41" s="2" t="s">
        <v>1036</v>
      </c>
      <c r="B41" s="2" t="s">
        <v>1037</v>
      </c>
      <c r="C41" s="2" t="s">
        <v>1038</v>
      </c>
      <c r="E41" s="2" t="s">
        <v>911</v>
      </c>
      <c r="F41" s="2" t="s">
        <v>1039</v>
      </c>
      <c r="H41" s="2" t="s">
        <v>911</v>
      </c>
    </row>
    <row r="42">
      <c r="A42" s="2" t="s">
        <v>1040</v>
      </c>
      <c r="B42" s="2" t="s">
        <v>1041</v>
      </c>
      <c r="C42" s="2" t="s">
        <v>1042</v>
      </c>
      <c r="E42" s="2" t="s">
        <v>900</v>
      </c>
      <c r="F42" s="2" t="s">
        <v>1043</v>
      </c>
      <c r="H42" s="2" t="s">
        <v>904</v>
      </c>
    </row>
    <row r="43">
      <c r="A43" s="2" t="s">
        <v>1044</v>
      </c>
      <c r="B43" s="2" t="s">
        <v>1045</v>
      </c>
      <c r="C43" s="2" t="s">
        <v>1046</v>
      </c>
      <c r="E43" s="2" t="s">
        <v>935</v>
      </c>
      <c r="F43" s="2" t="s">
        <v>1046</v>
      </c>
      <c r="H43" s="2" t="s">
        <v>935</v>
      </c>
    </row>
    <row r="44">
      <c r="A44" s="2" t="s">
        <v>1047</v>
      </c>
      <c r="B44" s="2" t="s">
        <v>1048</v>
      </c>
      <c r="C44" s="2" t="s">
        <v>1049</v>
      </c>
      <c r="E44" s="2" t="s">
        <v>904</v>
      </c>
      <c r="F44" s="2" t="s">
        <v>1050</v>
      </c>
      <c r="H44" s="2" t="s">
        <v>900</v>
      </c>
    </row>
    <row r="45">
      <c r="A45" s="2" t="s">
        <v>1051</v>
      </c>
      <c r="B45" s="2" t="s">
        <v>1052</v>
      </c>
      <c r="C45" s="2" t="s">
        <v>1053</v>
      </c>
      <c r="E45" s="2" t="s">
        <v>900</v>
      </c>
      <c r="F45" s="2" t="s">
        <v>1054</v>
      </c>
      <c r="H45" s="2" t="s">
        <v>911</v>
      </c>
    </row>
    <row r="46">
      <c r="A46" s="2" t="s">
        <v>1055</v>
      </c>
      <c r="B46" s="2" t="s">
        <v>1056</v>
      </c>
      <c r="C46" s="2" t="s">
        <v>1057</v>
      </c>
      <c r="E46" s="2" t="s">
        <v>911</v>
      </c>
      <c r="F46" s="2" t="s">
        <v>1058</v>
      </c>
      <c r="H46" s="2" t="s">
        <v>904</v>
      </c>
    </row>
    <row r="47">
      <c r="A47" s="2" t="s">
        <v>1059</v>
      </c>
      <c r="B47" s="2" t="s">
        <v>1060</v>
      </c>
      <c r="C47" s="2" t="s">
        <v>1061</v>
      </c>
      <c r="E47" s="2" t="s">
        <v>900</v>
      </c>
      <c r="F47" s="2" t="s">
        <v>1062</v>
      </c>
      <c r="H47" s="2" t="s">
        <v>911</v>
      </c>
    </row>
    <row r="48">
      <c r="A48" s="2" t="s">
        <v>1063</v>
      </c>
      <c r="B48" s="2" t="s">
        <v>1064</v>
      </c>
      <c r="C48" s="2" t="s">
        <v>1065</v>
      </c>
      <c r="E48" s="2" t="s">
        <v>904</v>
      </c>
      <c r="F48" s="2" t="s">
        <v>1065</v>
      </c>
      <c r="H48" s="2" t="s">
        <v>904</v>
      </c>
    </row>
    <row r="49">
      <c r="A49" s="2" t="s">
        <v>1066</v>
      </c>
      <c r="B49" s="2" t="s">
        <v>1067</v>
      </c>
      <c r="C49" s="2" t="s">
        <v>1068</v>
      </c>
      <c r="E49" s="2" t="s">
        <v>911</v>
      </c>
      <c r="F49" s="2" t="s">
        <v>1068</v>
      </c>
      <c r="H49" s="2" t="s">
        <v>911</v>
      </c>
    </row>
    <row r="50">
      <c r="A50" s="2" t="s">
        <v>1069</v>
      </c>
      <c r="B50" s="2" t="s">
        <v>1070</v>
      </c>
      <c r="C50" s="2" t="s">
        <v>1071</v>
      </c>
      <c r="E50" s="2" t="s">
        <v>1072</v>
      </c>
      <c r="F50" s="2" t="s">
        <v>1073</v>
      </c>
      <c r="H50" s="2" t="s">
        <v>911</v>
      </c>
    </row>
    <row r="51">
      <c r="A51" s="2" t="s">
        <v>1074</v>
      </c>
      <c r="B51" s="2" t="s">
        <v>1075</v>
      </c>
      <c r="C51" s="2" t="s">
        <v>1076</v>
      </c>
      <c r="E51" s="2" t="s">
        <v>1072</v>
      </c>
      <c r="F51" s="2" t="s">
        <v>1076</v>
      </c>
      <c r="H51" s="2" t="s">
        <v>1072</v>
      </c>
    </row>
    <row r="52">
      <c r="A52" s="2" t="s">
        <v>1077</v>
      </c>
      <c r="B52" s="2" t="s">
        <v>1078</v>
      </c>
      <c r="C52" s="2" t="s">
        <v>1079</v>
      </c>
      <c r="E52" s="2" t="s">
        <v>904</v>
      </c>
      <c r="F52" s="2" t="s">
        <v>1080</v>
      </c>
      <c r="H52" s="2" t="s">
        <v>911</v>
      </c>
    </row>
    <row r="53">
      <c r="A53" s="2" t="s">
        <v>1081</v>
      </c>
      <c r="B53" s="2" t="s">
        <v>1082</v>
      </c>
      <c r="C53" s="2" t="s">
        <v>1083</v>
      </c>
      <c r="E53" s="2" t="s">
        <v>927</v>
      </c>
      <c r="F53" s="2" t="s">
        <v>1084</v>
      </c>
      <c r="H53" s="2" t="s">
        <v>904</v>
      </c>
    </row>
    <row r="54">
      <c r="A54" s="2" t="s">
        <v>1085</v>
      </c>
      <c r="B54" s="2" t="s">
        <v>1086</v>
      </c>
      <c r="C54" s="2" t="s">
        <v>1087</v>
      </c>
      <c r="E54" s="2" t="s">
        <v>927</v>
      </c>
      <c r="F54" s="2" t="s">
        <v>1087</v>
      </c>
      <c r="H54" s="2" t="s">
        <v>927</v>
      </c>
    </row>
    <row r="55">
      <c r="A55" s="2" t="s">
        <v>1088</v>
      </c>
      <c r="B55" s="2" t="s">
        <v>1089</v>
      </c>
      <c r="C55" s="2" t="s">
        <v>1090</v>
      </c>
      <c r="E55" s="2" t="s">
        <v>935</v>
      </c>
      <c r="F55" s="2" t="s">
        <v>1090</v>
      </c>
      <c r="H55" s="2" t="s">
        <v>935</v>
      </c>
    </row>
    <row r="56">
      <c r="A56" s="2" t="s">
        <v>1091</v>
      </c>
      <c r="B56" s="2" t="s">
        <v>1092</v>
      </c>
      <c r="C56" s="2" t="s">
        <v>1093</v>
      </c>
      <c r="E56" s="2" t="s">
        <v>935</v>
      </c>
      <c r="F56" s="2" t="s">
        <v>1093</v>
      </c>
      <c r="H56" s="2" t="s">
        <v>935</v>
      </c>
    </row>
    <row r="57">
      <c r="A57" s="2" t="s">
        <v>1094</v>
      </c>
      <c r="B57" s="2" t="s">
        <v>1095</v>
      </c>
      <c r="C57" s="2" t="s">
        <v>1096</v>
      </c>
      <c r="E57" s="2" t="s">
        <v>935</v>
      </c>
      <c r="F57" s="2" t="s">
        <v>1096</v>
      </c>
      <c r="H57" s="2" t="s">
        <v>935</v>
      </c>
    </row>
    <row r="58">
      <c r="A58" s="2" t="s">
        <v>1097</v>
      </c>
      <c r="B58" s="2" t="s">
        <v>1098</v>
      </c>
      <c r="C58" s="2" t="s">
        <v>1099</v>
      </c>
      <c r="E58" s="2" t="s">
        <v>900</v>
      </c>
      <c r="F58" s="2" t="s">
        <v>1100</v>
      </c>
      <c r="H58" s="2" t="s">
        <v>900</v>
      </c>
    </row>
    <row r="59">
      <c r="A59" s="2" t="s">
        <v>1101</v>
      </c>
      <c r="B59" s="2" t="s">
        <v>992</v>
      </c>
      <c r="C59" s="2" t="s">
        <v>1102</v>
      </c>
      <c r="E59" s="2" t="s">
        <v>911</v>
      </c>
      <c r="F59" s="2" t="s">
        <v>1103</v>
      </c>
      <c r="H59" s="2" t="s">
        <v>1072</v>
      </c>
    </row>
    <row r="60">
      <c r="A60" s="2" t="s">
        <v>1104</v>
      </c>
      <c r="B60" s="2" t="s">
        <v>1105</v>
      </c>
      <c r="C60" s="2" t="s">
        <v>1106</v>
      </c>
      <c r="E60" s="2" t="s">
        <v>927</v>
      </c>
      <c r="F60" s="2" t="s">
        <v>1107</v>
      </c>
      <c r="H60" s="2" t="s">
        <v>900</v>
      </c>
    </row>
    <row r="61">
      <c r="A61" s="2" t="s">
        <v>1108</v>
      </c>
      <c r="B61" s="2" t="s">
        <v>1109</v>
      </c>
      <c r="C61" s="2" t="s">
        <v>1110</v>
      </c>
      <c r="E61" s="2" t="s">
        <v>935</v>
      </c>
      <c r="F61" s="2" t="s">
        <v>1110</v>
      </c>
      <c r="H61" s="2" t="s">
        <v>935</v>
      </c>
    </row>
    <row r="62">
      <c r="A62" s="2" t="s">
        <v>1111</v>
      </c>
      <c r="B62" s="2" t="s">
        <v>1112</v>
      </c>
      <c r="C62" s="2" t="s">
        <v>1113</v>
      </c>
      <c r="E62" s="2" t="s">
        <v>911</v>
      </c>
      <c r="F62" s="2" t="s">
        <v>1114</v>
      </c>
      <c r="H62" s="2" t="s">
        <v>904</v>
      </c>
    </row>
    <row r="63">
      <c r="A63" s="2" t="s">
        <v>1115</v>
      </c>
      <c r="B63" s="2" t="s">
        <v>1116</v>
      </c>
      <c r="C63" s="2" t="s">
        <v>1117</v>
      </c>
      <c r="E63" s="2" t="s">
        <v>900</v>
      </c>
      <c r="F63" s="2" t="s">
        <v>1118</v>
      </c>
      <c r="H63" s="2" t="s">
        <v>904</v>
      </c>
    </row>
    <row r="64">
      <c r="A64" s="2" t="s">
        <v>1119</v>
      </c>
      <c r="B64" s="2" t="s">
        <v>1120</v>
      </c>
      <c r="C64" s="2" t="s">
        <v>1121</v>
      </c>
      <c r="E64" s="2" t="s">
        <v>1072</v>
      </c>
      <c r="F64" s="2" t="s">
        <v>1122</v>
      </c>
      <c r="H64" s="2" t="s">
        <v>911</v>
      </c>
    </row>
    <row r="65">
      <c r="A65" s="2" t="s">
        <v>1123</v>
      </c>
      <c r="B65" s="2" t="s">
        <v>1124</v>
      </c>
      <c r="C65" s="2" t="s">
        <v>1125</v>
      </c>
      <c r="E65" s="2" t="s">
        <v>904</v>
      </c>
      <c r="F65" s="2" t="s">
        <v>1126</v>
      </c>
      <c r="H65" s="2" t="s">
        <v>904</v>
      </c>
    </row>
    <row r="66">
      <c r="A66" s="2" t="s">
        <v>1127</v>
      </c>
      <c r="B66" s="2" t="s">
        <v>1128</v>
      </c>
      <c r="C66" s="2" t="s">
        <v>1129</v>
      </c>
      <c r="E66" s="2" t="s">
        <v>904</v>
      </c>
      <c r="F66" s="2" t="s">
        <v>1129</v>
      </c>
      <c r="H66" s="2" t="s">
        <v>904</v>
      </c>
    </row>
    <row r="67">
      <c r="A67" s="2" t="s">
        <v>1130</v>
      </c>
      <c r="B67" s="2" t="s">
        <v>1131</v>
      </c>
      <c r="C67" s="2" t="s">
        <v>1132</v>
      </c>
      <c r="E67" s="2" t="s">
        <v>900</v>
      </c>
      <c r="F67" s="2" t="s">
        <v>1133</v>
      </c>
      <c r="H67" s="2" t="s">
        <v>900</v>
      </c>
    </row>
    <row r="68">
      <c r="A68" s="2" t="s">
        <v>1134</v>
      </c>
      <c r="B68" s="2" t="s">
        <v>750</v>
      </c>
      <c r="C68" s="2" t="s">
        <v>1135</v>
      </c>
      <c r="E68" s="2" t="s">
        <v>904</v>
      </c>
      <c r="F68" s="2" t="s">
        <v>1135</v>
      </c>
      <c r="H68" s="2" t="s">
        <v>904</v>
      </c>
    </row>
    <row r="69">
      <c r="A69" s="2" t="s">
        <v>1136</v>
      </c>
      <c r="B69" s="2" t="s">
        <v>1137</v>
      </c>
      <c r="C69" s="2" t="s">
        <v>1138</v>
      </c>
      <c r="E69" s="2" t="s">
        <v>904</v>
      </c>
      <c r="F69" s="2" t="s">
        <v>1139</v>
      </c>
      <c r="H69" s="2" t="s">
        <v>904</v>
      </c>
    </row>
    <row r="70">
      <c r="A70" s="2" t="s">
        <v>1140</v>
      </c>
      <c r="B70" s="2" t="s">
        <v>1141</v>
      </c>
      <c r="C70" s="2" t="s">
        <v>1142</v>
      </c>
      <c r="E70" s="2" t="s">
        <v>900</v>
      </c>
      <c r="F70" s="2" t="s">
        <v>1142</v>
      </c>
      <c r="H70" s="2" t="s">
        <v>900</v>
      </c>
    </row>
    <row r="71">
      <c r="A71" s="2" t="s">
        <v>1143</v>
      </c>
      <c r="B71" s="2" t="s">
        <v>1144</v>
      </c>
      <c r="C71" s="2" t="s">
        <v>1145</v>
      </c>
      <c r="E71" s="2" t="s">
        <v>900</v>
      </c>
      <c r="F71" s="2" t="s">
        <v>1145</v>
      </c>
      <c r="H71" s="2" t="s">
        <v>900</v>
      </c>
    </row>
    <row r="72">
      <c r="A72" s="2" t="s">
        <v>1146</v>
      </c>
      <c r="B72" s="2" t="s">
        <v>1027</v>
      </c>
      <c r="C72" s="2" t="s">
        <v>1147</v>
      </c>
      <c r="E72" s="2" t="s">
        <v>900</v>
      </c>
      <c r="F72" s="2" t="s">
        <v>1148</v>
      </c>
      <c r="H72" s="2" t="s">
        <v>904</v>
      </c>
    </row>
    <row r="73">
      <c r="A73" s="2" t="s">
        <v>1149</v>
      </c>
      <c r="B73" s="2" t="s">
        <v>1150</v>
      </c>
      <c r="C73" s="2" t="s">
        <v>1151</v>
      </c>
      <c r="E73" s="2" t="s">
        <v>904</v>
      </c>
      <c r="F73" s="2" t="s">
        <v>1152</v>
      </c>
      <c r="H73" s="2" t="s">
        <v>904</v>
      </c>
    </row>
    <row r="74">
      <c r="A74" s="2" t="s">
        <v>1153</v>
      </c>
      <c r="B74" s="2" t="s">
        <v>1154</v>
      </c>
      <c r="C74" s="2" t="s">
        <v>1155</v>
      </c>
      <c r="E74" s="2" t="s">
        <v>900</v>
      </c>
      <c r="F74" s="2" t="s">
        <v>1155</v>
      </c>
      <c r="H74" s="2" t="s">
        <v>900</v>
      </c>
    </row>
    <row r="75">
      <c r="A75" s="2" t="s">
        <v>1156</v>
      </c>
      <c r="B75" s="2" t="s">
        <v>1157</v>
      </c>
      <c r="C75" s="2" t="s">
        <v>1158</v>
      </c>
      <c r="E75" s="2" t="s">
        <v>900</v>
      </c>
      <c r="F75" s="2" t="s">
        <v>1159</v>
      </c>
      <c r="H75" s="2" t="s">
        <v>935</v>
      </c>
    </row>
    <row r="76">
      <c r="A76" s="2" t="s">
        <v>1160</v>
      </c>
      <c r="B76" s="2" t="s">
        <v>1161</v>
      </c>
      <c r="C76" s="2" t="s">
        <v>1162</v>
      </c>
      <c r="E76" s="2" t="s">
        <v>900</v>
      </c>
      <c r="F76" s="2" t="s">
        <v>1163</v>
      </c>
      <c r="H76" s="2" t="s">
        <v>935</v>
      </c>
    </row>
    <row r="77">
      <c r="A77" s="2" t="s">
        <v>1164</v>
      </c>
      <c r="B77" s="2" t="s">
        <v>1165</v>
      </c>
      <c r="C77" s="2" t="s">
        <v>1166</v>
      </c>
      <c r="E77" s="2" t="s">
        <v>904</v>
      </c>
      <c r="F77" s="2" t="s">
        <v>1167</v>
      </c>
      <c r="H77" s="2" t="s">
        <v>900</v>
      </c>
    </row>
    <row r="78">
      <c r="A78" s="2" t="s">
        <v>1168</v>
      </c>
      <c r="B78" s="2" t="s">
        <v>1169</v>
      </c>
      <c r="C78" s="2" t="s">
        <v>1170</v>
      </c>
      <c r="E78" s="2" t="s">
        <v>904</v>
      </c>
      <c r="F78" s="2" t="s">
        <v>1170</v>
      </c>
      <c r="H78" s="2" t="s">
        <v>904</v>
      </c>
    </row>
    <row r="79">
      <c r="A79" s="2" t="s">
        <v>1171</v>
      </c>
      <c r="B79" s="2" t="s">
        <v>1172</v>
      </c>
      <c r="C79" s="2" t="s">
        <v>1173</v>
      </c>
      <c r="E79" s="2" t="s">
        <v>900</v>
      </c>
      <c r="F79" s="2" t="s">
        <v>1173</v>
      </c>
      <c r="H79" s="2" t="s">
        <v>900</v>
      </c>
    </row>
    <row r="80">
      <c r="A80" s="2" t="s">
        <v>1174</v>
      </c>
      <c r="B80" s="2" t="s">
        <v>1175</v>
      </c>
      <c r="C80" s="2" t="s">
        <v>1176</v>
      </c>
      <c r="E80" s="2" t="s">
        <v>904</v>
      </c>
      <c r="F80" s="2" t="s">
        <v>1176</v>
      </c>
      <c r="H80" s="2" t="s">
        <v>904</v>
      </c>
    </row>
    <row r="81">
      <c r="A81" s="2" t="s">
        <v>1177</v>
      </c>
      <c r="B81" s="2" t="s">
        <v>1178</v>
      </c>
      <c r="C81" s="2" t="s">
        <v>1179</v>
      </c>
      <c r="E81" s="2" t="s">
        <v>900</v>
      </c>
      <c r="F81" s="2" t="s">
        <v>1180</v>
      </c>
      <c r="H81" s="2" t="s">
        <v>904</v>
      </c>
    </row>
    <row r="82">
      <c r="A82" s="2" t="s">
        <v>1181</v>
      </c>
      <c r="B82" s="2" t="s">
        <v>1182</v>
      </c>
      <c r="C82" s="2" t="s">
        <v>1183</v>
      </c>
      <c r="E82" s="2" t="s">
        <v>904</v>
      </c>
      <c r="F82" s="2" t="s">
        <v>1183</v>
      </c>
      <c r="H82" s="2" t="s">
        <v>904</v>
      </c>
    </row>
    <row r="83">
      <c r="A83" s="2" t="s">
        <v>1184</v>
      </c>
      <c r="B83" s="2" t="s">
        <v>1185</v>
      </c>
      <c r="C83" s="2" t="s">
        <v>1186</v>
      </c>
      <c r="E83" s="2" t="s">
        <v>900</v>
      </c>
      <c r="F83" s="2" t="s">
        <v>1187</v>
      </c>
      <c r="H83" s="2" t="s">
        <v>900</v>
      </c>
    </row>
    <row r="84">
      <c r="A84" s="2" t="s">
        <v>1188</v>
      </c>
      <c r="B84" s="2" t="s">
        <v>1189</v>
      </c>
      <c r="C84" s="2" t="s">
        <v>1190</v>
      </c>
      <c r="E84" s="2" t="s">
        <v>904</v>
      </c>
      <c r="F84" s="2" t="s">
        <v>1190</v>
      </c>
      <c r="H84" s="2" t="s">
        <v>904</v>
      </c>
    </row>
    <row r="85">
      <c r="A85" s="2" t="s">
        <v>1191</v>
      </c>
      <c r="B85" s="2" t="s">
        <v>1192</v>
      </c>
      <c r="C85" s="2" t="s">
        <v>1193</v>
      </c>
      <c r="E85" s="2" t="s">
        <v>904</v>
      </c>
      <c r="F85" s="2" t="s">
        <v>1194</v>
      </c>
      <c r="H85" s="2" t="s">
        <v>904</v>
      </c>
    </row>
    <row r="86">
      <c r="A86" s="2" t="s">
        <v>1195</v>
      </c>
      <c r="B86" s="2" t="s">
        <v>1196</v>
      </c>
      <c r="C86" s="2" t="s">
        <v>1197</v>
      </c>
      <c r="E86" s="2" t="s">
        <v>911</v>
      </c>
      <c r="F86" s="2" t="s">
        <v>1198</v>
      </c>
      <c r="H86" s="2" t="s">
        <v>900</v>
      </c>
    </row>
    <row r="87">
      <c r="A87" s="2" t="s">
        <v>1199</v>
      </c>
      <c r="B87" s="2" t="s">
        <v>1200</v>
      </c>
      <c r="C87" s="2" t="s">
        <v>1201</v>
      </c>
      <c r="E87" s="2" t="s">
        <v>900</v>
      </c>
      <c r="F87" s="2" t="s">
        <v>1201</v>
      </c>
      <c r="H87" s="2" t="s">
        <v>900</v>
      </c>
    </row>
    <row r="88">
      <c r="A88" s="2" t="s">
        <v>1202</v>
      </c>
      <c r="B88" s="2" t="s">
        <v>1203</v>
      </c>
      <c r="C88" s="2" t="s">
        <v>1204</v>
      </c>
      <c r="E88" s="2" t="s">
        <v>911</v>
      </c>
      <c r="F88" s="2" t="s">
        <v>1017</v>
      </c>
      <c r="H88" s="2" t="s">
        <v>904</v>
      </c>
    </row>
    <row r="89">
      <c r="A89" s="2" t="s">
        <v>1205</v>
      </c>
      <c r="B89" s="2" t="s">
        <v>1206</v>
      </c>
      <c r="C89" s="2" t="s">
        <v>1207</v>
      </c>
      <c r="E89" s="2" t="s">
        <v>900</v>
      </c>
      <c r="F89" s="2" t="s">
        <v>1207</v>
      </c>
      <c r="H89" s="2" t="s">
        <v>900</v>
      </c>
    </row>
    <row r="90">
      <c r="A90" s="2" t="s">
        <v>1208</v>
      </c>
      <c r="B90" s="2" t="s">
        <v>1209</v>
      </c>
      <c r="C90" s="2" t="s">
        <v>1210</v>
      </c>
      <c r="E90" s="2" t="s">
        <v>900</v>
      </c>
      <c r="F90" s="2" t="s">
        <v>1211</v>
      </c>
      <c r="H90" s="2" t="s">
        <v>900</v>
      </c>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4">
      <c r="G4" s="2" t="str">
        <f>IFERROR(__xludf.DUMMYFUNCTION("IMPORTHTML(""https://fr.wikipedia.org/wiki/Presse_en_France"",""table"",2)"),"Titre")</f>
        <v>Titre</v>
      </c>
      <c r="H4" s="2" t="str">
        <f>IFERROR(__xludf.DUMMYFUNCTION("""COMPUTED_VALUE"""),"2011[38]")</f>
        <v>2011[38]</v>
      </c>
      <c r="I4" s="2" t="str">
        <f>IFERROR(__xludf.DUMMYFUNCTION("""COMPUTED_VALUE"""),"2012[39]")</f>
        <v>2012[39]</v>
      </c>
      <c r="J4" s="2">
        <f>IFERROR(__xludf.DUMMYFUNCTION("""COMPUTED_VALUE"""),2016.0)</f>
        <v>2016</v>
      </c>
      <c r="K4" s="2" t="str">
        <f>IFERROR(__xludf.DUMMYFUNCTION("""COMPUTED_VALUE"""),"2022[40]")</f>
        <v>2022[40]</v>
      </c>
    </row>
    <row r="5">
      <c r="G5" s="2" t="str">
        <f>IFERROR(__xludf.DUMMYFUNCTION("""COMPUTED_VALUE"""),"*Le Monde*")</f>
        <v>*Le Monde*</v>
      </c>
      <c r="H5" s="2" t="str">
        <f>IFERROR(__xludf.DUMMYFUNCTION("""COMPUTED_VALUE"""),"1,96")</f>
        <v>1,96</v>
      </c>
      <c r="I5" s="2" t="str">
        <f>IFERROR(__xludf.DUMMYFUNCTION("""COMPUTED_VALUE"""),"1,86")</f>
        <v>1,86</v>
      </c>
      <c r="J5" s="2" t="str">
        <f>IFERROR(__xludf.DUMMYFUNCTION("""COMPUTED_VALUE"""),"2,8")</f>
        <v>2,8</v>
      </c>
      <c r="K5" s="2" t="str">
        <f>IFERROR(__xludf.DUMMYFUNCTION("""COMPUTED_VALUE"""),"2,57")</f>
        <v>2,57</v>
      </c>
      <c r="L5" s="2" t="str">
        <f>H5&amp;+I5</f>
        <v>1,961,86</v>
      </c>
    </row>
    <row r="6">
      <c r="G6" s="2" t="str">
        <f>IFERROR(__xludf.DUMMYFUNCTION("""COMPUTED_VALUE"""),"*Le Parisien*/*Aujourd'hui en France*")</f>
        <v>*Le Parisien*/*Aujourd'hui en France*</v>
      </c>
      <c r="H6" s="2" t="str">
        <f>IFERROR(__xludf.DUMMYFUNCTION("""COMPUTED_VALUE"""),"2,44")</f>
        <v>2,44</v>
      </c>
      <c r="I6" s="2" t="str">
        <f>IFERROR(__xludf.DUMMYFUNCTION("""COMPUTED_VALUE"""),"2,54")</f>
        <v>2,54</v>
      </c>
      <c r="J6" s="4">
        <f>IFERROR(__xludf.DUMMYFUNCTION("""COMPUTED_VALUE"""),2258.0)</f>
        <v>2258</v>
      </c>
      <c r="K6" s="2" t="str">
        <f>IFERROR(__xludf.DUMMYFUNCTION("""COMPUTED_VALUE"""),"2,34")</f>
        <v>2,34</v>
      </c>
    </row>
    <row r="7">
      <c r="G7" s="2" t="str">
        <f>IFERROR(__xludf.DUMMYFUNCTION("""COMPUTED_VALUE"""),"*L’Équipe*")</f>
        <v>*L’Équipe*</v>
      </c>
      <c r="H7" s="2" t="str">
        <f>IFERROR(__xludf.DUMMYFUNCTION("""COMPUTED_VALUE"""),"2,23")</f>
        <v>2,23</v>
      </c>
      <c r="I7" s="2" t="str">
        <f>IFERROR(__xludf.DUMMYFUNCTION("""COMPUTED_VALUE"""),"2,18")</f>
        <v>2,18</v>
      </c>
      <c r="J7" s="2" t="str">
        <f>IFERROR(__xludf.DUMMYFUNCTION("""COMPUTED_VALUE"""),"2,58")</f>
        <v>2,58</v>
      </c>
      <c r="K7" s="2" t="str">
        <f>IFERROR(__xludf.DUMMYFUNCTION("""COMPUTED_VALUE"""),"2,53")</f>
        <v>2,53</v>
      </c>
    </row>
    <row r="8">
      <c r="G8" s="2" t="str">
        <f>IFERROR(__xludf.DUMMYFUNCTION("""COMPUTED_VALUE"""),"*Le Figaro*")</f>
        <v>*Le Figaro*</v>
      </c>
      <c r="H8" s="2" t="str">
        <f>IFERROR(__xludf.DUMMYFUNCTION("""COMPUTED_VALUE"""),"1,19")</f>
        <v>1,19</v>
      </c>
      <c r="I8" s="2" t="str">
        <f>IFERROR(__xludf.DUMMYFUNCTION("""COMPUTED_VALUE"""),"1,23")</f>
        <v>1,23</v>
      </c>
      <c r="J8" s="4">
        <f>IFERROR(__xludf.DUMMYFUNCTION("""COMPUTED_VALUE"""),1972.0)</f>
        <v>1972</v>
      </c>
      <c r="K8" s="2" t="str">
        <f>IFERROR(__xludf.DUMMYFUNCTION("""COMPUTED_VALUE"""),"1,7")</f>
        <v>1,7</v>
      </c>
    </row>
    <row r="9">
      <c r="G9" s="2" t="str">
        <f>IFERROR(__xludf.DUMMYFUNCTION("""COMPUTED_VALUE"""),"*Libération*")</f>
        <v>*Libération*</v>
      </c>
      <c r="H9" s="2" t="str">
        <f>IFERROR(__xludf.DUMMYFUNCTION("""COMPUTED_VALUE"""),"0,96")</f>
        <v>0,96</v>
      </c>
      <c r="I9" s="2" t="str">
        <f>IFERROR(__xludf.DUMMYFUNCTION("""COMPUTED_VALUE"""),"0,86")</f>
        <v>0,86</v>
      </c>
      <c r="J9" s="2" t="str">
        <f>IFERROR(__xludf.DUMMYFUNCTION("""COMPUTED_VALUE"""),"1,3")</f>
        <v>1,3</v>
      </c>
      <c r="K9" s="2" t="str">
        <f>IFERROR(__xludf.DUMMYFUNCTION("""COMPUTED_VALUE"""),"0,95")</f>
        <v>0,95</v>
      </c>
    </row>
    <row r="10">
      <c r="E10" s="18"/>
      <c r="G10" s="2" t="str">
        <f>IFERROR(__xludf.DUMMYFUNCTION("""COMPUTED_VALUE"""),"*Les Échos*")</f>
        <v>*Les Échos*</v>
      </c>
      <c r="H10" s="2" t="str">
        <f>IFERROR(__xludf.DUMMYFUNCTION("""COMPUTED_VALUE"""),"0,47")</f>
        <v>0,47</v>
      </c>
      <c r="I10" s="2" t="str">
        <f>IFERROR(__xludf.DUMMYFUNCTION("""COMPUTED_VALUE"""),"0,45")</f>
        <v>0,45</v>
      </c>
      <c r="J10" s="2" t="str">
        <f>IFERROR(__xludf.DUMMYFUNCTION("""COMPUTED_VALUE"""),"0,67")</f>
        <v>0,67</v>
      </c>
      <c r="K10" s="2" t="str">
        <f>IFERROR(__xludf.DUMMYFUNCTION("""COMPUTED_VALUE"""),"0,71")</f>
        <v>0,71</v>
      </c>
    </row>
    <row r="11">
      <c r="G11" s="2" t="str">
        <f>IFERROR(__xludf.DUMMYFUNCTION("""COMPUTED_VALUE"""),"*La Croix*")</f>
        <v>*La Croix*</v>
      </c>
      <c r="H11" s="2" t="str">
        <f>IFERROR(__xludf.DUMMYFUNCTION("""COMPUTED_VALUE"""),"0,40")</f>
        <v>0,40</v>
      </c>
      <c r="I11" s="2" t="str">
        <f>IFERROR(__xludf.DUMMYFUNCTION("""COMPUTED_VALUE"""),"0,37")</f>
        <v>0,37</v>
      </c>
      <c r="J11" s="2" t="str">
        <f>IFERROR(__xludf.DUMMYFUNCTION("""COMPUTED_VALUE"""),"0,61")</f>
        <v>0,61</v>
      </c>
      <c r="K11" s="2" t="str">
        <f>IFERROR(__xludf.DUMMYFUNCTION("""COMPUTED_VALUE"""),"0,56")</f>
        <v>0,56</v>
      </c>
    </row>
    <row r="12">
      <c r="G12" s="2" t="str">
        <f>IFERROR(__xludf.DUMMYFUNCTION("""COMPUTED_VALUE"""),"*L'Humanité*")</f>
        <v>*L'Humanité*</v>
      </c>
      <c r="H12" s="2" t="str">
        <f>IFERROR(__xludf.DUMMYFUNCTION("""COMPUTED_VALUE"""),"0,28")</f>
        <v>0,28</v>
      </c>
      <c r="I12" s="2" t="str">
        <f>IFERROR(__xludf.DUMMYFUNCTION("""COMPUTED_VALUE"""),"0,28")</f>
        <v>0,28</v>
      </c>
      <c r="J12" s="4">
        <f>IFERROR(__xludf.DUMMYFUNCTION("""COMPUTED_VALUE"""),398.0)</f>
        <v>398</v>
      </c>
      <c r="K12" s="2" t="str">
        <f>IFERROR(__xludf.DUMMYFUNCTION("""COMPUTED_VALUE"""),"-")</f>
        <v>-</v>
      </c>
    </row>
    <row r="13">
      <c r="G13" s="2" t="str">
        <f>IFERROR(__xludf.DUMMYFUNCTION("""COMPUTED_VALUE"""),"Ensemble PQN")</f>
        <v>Ensemble PQN</v>
      </c>
      <c r="H13" s="2" t="str">
        <f>IFERROR(__xludf.DUMMYFUNCTION("""COMPUTED_VALUE"""),"7,89")</f>
        <v>7,89</v>
      </c>
      <c r="I13" s="2" t="str">
        <f>IFERROR(__xludf.DUMMYFUNCTION("""COMPUTED_VALUE"""),"7,80")</f>
        <v>7,80</v>
      </c>
      <c r="J13" s="4">
        <f>IFERROR(__xludf.DUMMYFUNCTION("""COMPUTED_VALUE"""),8848.0)</f>
        <v>8848</v>
      </c>
      <c r="K13" s="4">
        <f>IFERROR(__xludf.DUMMYFUNCTION("""COMPUTED_VALUE"""),8076.0)</f>
        <v>8076</v>
      </c>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3">
      <c r="A3" s="2" t="s">
        <v>1212</v>
      </c>
      <c r="B3" s="2" t="s">
        <v>1213</v>
      </c>
      <c r="C3" s="2" t="s">
        <v>1214</v>
      </c>
    </row>
    <row r="4">
      <c r="A4" s="2">
        <v>18.0</v>
      </c>
      <c r="B4" s="2" t="s">
        <v>1215</v>
      </c>
      <c r="C4" s="2" t="s">
        <v>1216</v>
      </c>
    </row>
    <row r="5">
      <c r="A5" s="2">
        <v>9.0</v>
      </c>
      <c r="B5" s="2" t="s">
        <v>1217</v>
      </c>
      <c r="C5" s="2" t="s">
        <v>1218</v>
      </c>
    </row>
    <row r="6">
      <c r="B6" s="2" t="s">
        <v>1219</v>
      </c>
      <c r="C6" s="2" t="s">
        <v>1220</v>
      </c>
    </row>
    <row r="7">
      <c r="A7" s="2">
        <v>8.0</v>
      </c>
      <c r="B7" s="2" t="s">
        <v>1221</v>
      </c>
      <c r="C7" s="2" t="s">
        <v>1222</v>
      </c>
    </row>
    <row r="8">
      <c r="B8" s="2" t="s">
        <v>1223</v>
      </c>
      <c r="C8" s="2" t="s">
        <v>1224</v>
      </c>
    </row>
    <row r="9">
      <c r="B9" s="2" t="s">
        <v>1225</v>
      </c>
      <c r="C9" s="2" t="s">
        <v>1226</v>
      </c>
    </row>
    <row r="10">
      <c r="A10" s="2">
        <v>7.0</v>
      </c>
      <c r="B10" s="2" t="s">
        <v>1227</v>
      </c>
      <c r="C10" s="2" t="s">
        <v>1228</v>
      </c>
    </row>
    <row r="11">
      <c r="B11" s="2" t="s">
        <v>1229</v>
      </c>
      <c r="C11" s="2" t="s">
        <v>1230</v>
      </c>
    </row>
    <row r="12">
      <c r="B12" s="2" t="s">
        <v>1231</v>
      </c>
      <c r="C12" s="2" t="s">
        <v>1232</v>
      </c>
    </row>
    <row r="13">
      <c r="A13" s="2">
        <v>6.0</v>
      </c>
      <c r="B13" s="2" t="s">
        <v>1233</v>
      </c>
      <c r="C13" s="2" t="s">
        <v>1234</v>
      </c>
    </row>
    <row r="14">
      <c r="B14" s="2" t="s">
        <v>1235</v>
      </c>
      <c r="C14" s="2" t="s">
        <v>1236</v>
      </c>
    </row>
    <row r="15">
      <c r="B15" s="2" t="s">
        <v>1237</v>
      </c>
      <c r="C15" s="2" t="s">
        <v>1238</v>
      </c>
    </row>
    <row r="16">
      <c r="B16" s="2" t="s">
        <v>1239</v>
      </c>
      <c r="C16" s="2" t="s">
        <v>1240</v>
      </c>
    </row>
    <row r="17">
      <c r="A17" s="2">
        <v>5.0</v>
      </c>
      <c r="B17" s="2" t="s">
        <v>1241</v>
      </c>
      <c r="C17" s="2" t="s">
        <v>1242</v>
      </c>
    </row>
    <row r="18">
      <c r="B18" s="2" t="s">
        <v>1243</v>
      </c>
      <c r="C18" s="2" t="s">
        <v>1244</v>
      </c>
    </row>
    <row r="19">
      <c r="B19" s="2" t="s">
        <v>1245</v>
      </c>
      <c r="C19" s="2" t="s">
        <v>1246</v>
      </c>
    </row>
    <row r="20">
      <c r="B20" s="2" t="s">
        <v>1247</v>
      </c>
      <c r="C20" s="2" t="s">
        <v>1248</v>
      </c>
    </row>
    <row r="21">
      <c r="B21" s="2" t="s">
        <v>1249</v>
      </c>
      <c r="C21" s="2" t="s">
        <v>1250</v>
      </c>
    </row>
    <row r="22">
      <c r="A22" s="2">
        <v>4.0</v>
      </c>
      <c r="B22" s="2" t="s">
        <v>1251</v>
      </c>
      <c r="C22" s="2" t="s">
        <v>1252</v>
      </c>
    </row>
    <row r="23">
      <c r="B23" s="2" t="s">
        <v>1253</v>
      </c>
      <c r="C23" s="2" t="s">
        <v>1254</v>
      </c>
    </row>
    <row r="24">
      <c r="B24" s="2" t="s">
        <v>1255</v>
      </c>
      <c r="C24" s="2" t="s">
        <v>1256</v>
      </c>
    </row>
    <row r="25">
      <c r="B25" s="2" t="s">
        <v>1257</v>
      </c>
      <c r="C25" s="2" t="s">
        <v>1258</v>
      </c>
    </row>
    <row r="26">
      <c r="B26" s="2" t="s">
        <v>1259</v>
      </c>
      <c r="C26" s="2" t="s">
        <v>1260</v>
      </c>
    </row>
    <row r="27">
      <c r="B27" s="2" t="s">
        <v>1261</v>
      </c>
      <c r="C27" s="2" t="s">
        <v>1262</v>
      </c>
    </row>
    <row r="28">
      <c r="B28" s="2" t="s">
        <v>1263</v>
      </c>
      <c r="C28" s="2" t="s">
        <v>1264</v>
      </c>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0.13"/>
    <col customWidth="1" min="3" max="3" width="34.63"/>
  </cols>
  <sheetData>
    <row r="1">
      <c r="A1" s="2" t="str">
        <f>IFERROR(__xludf.DUMMYFUNCTION("IMPORTHTML(""https://fr.wikipedia.org/wiki/Discographie_des_Rolling_Stones"",""table"",2)"),"Titre")</f>
        <v>Titre</v>
      </c>
      <c r="B1" s="2" t="str">
        <f>IFERROR(__xludf.DUMMYFUNCTION("""COMPUTED_VALUE"""),"Détails")</f>
        <v>Détails</v>
      </c>
      <c r="C1" s="2" t="str">
        <f>IFERROR(__xludf.DUMMYFUNCTION("""COMPUTED_VALUE"""),"Classements des ventes")</f>
        <v>Classements des ventes</v>
      </c>
      <c r="D1" s="2" t="str">
        <f>IFERROR(__xludf.DUMMYFUNCTION("""COMPUTED_VALUE"""),"Certifications")</f>
        <v>Certifications</v>
      </c>
    </row>
    <row r="2">
      <c r="A2" s="2"/>
      <c r="B2" s="2"/>
      <c r="C2" s="2" t="str">
        <f>IFERROR(__xludf.DUMMYFUNCTION("""COMPUTED_VALUE"""),"USA
[3]")</f>
        <v>USA
[3]</v>
      </c>
      <c r="D2" s="2"/>
    </row>
    <row r="3">
      <c r="A3" s="2" t="str">
        <f>IFERROR(__xludf.DUMMYFUNCTION("""COMPUTED_VALUE"""),"*England's Newest Hit Makers*")</f>
        <v>*England's Newest Hit Makers*</v>
      </c>
      <c r="B3" s="2" t="str">
        <f>IFERROR(__xludf.DUMMYFUNCTION("""COMPUTED_VALUE"""),"- Sortie 30 mai 1964
   - Label : London")</f>
        <v>- Sortie 30 mai 1964
   - Label : London</v>
      </c>
      <c r="C3" s="2">
        <f>IFERROR(__xludf.DUMMYFUNCTION("""COMPUTED_VALUE"""),11.0)</f>
        <v>11</v>
      </c>
      <c r="D3" s="2" t="str">
        <f>IFERROR(__xludf.DUMMYFUNCTION("""COMPUTED_VALUE"""),":  Or[4]")</f>
        <v>:  Or[4]</v>
      </c>
    </row>
    <row r="4">
      <c r="A4" s="2" t="str">
        <f>IFERROR(__xludf.DUMMYFUNCTION("""COMPUTED_VALUE"""),"*12 X 5*")</f>
        <v>*12 X 5*</v>
      </c>
      <c r="B4" s="2" t="str">
        <f>IFERROR(__xludf.DUMMYFUNCTION("""COMPUTED_VALUE"""),"- Sortie 17 octobre 1964
   - Label : London")</f>
        <v>- Sortie 17 octobre 1964
   - Label : London</v>
      </c>
      <c r="C4" s="2">
        <f>IFERROR(__xludf.DUMMYFUNCTION("""COMPUTED_VALUE"""),3.0)</f>
        <v>3</v>
      </c>
      <c r="D4" s="2" t="str">
        <f>IFERROR(__xludf.DUMMYFUNCTION("""COMPUTED_VALUE"""),":  Or[4]")</f>
        <v>:  Or[4]</v>
      </c>
    </row>
    <row r="5">
      <c r="A5" s="2" t="str">
        <f>IFERROR(__xludf.DUMMYFUNCTION("""COMPUTED_VALUE"""),"*The Rolling Stones, Now!*")</f>
        <v>*The Rolling Stones, Now!*</v>
      </c>
      <c r="B5" s="2" t="str">
        <f>IFERROR(__xludf.DUMMYFUNCTION("""COMPUTED_VALUE"""),"- Sortie : * Sortie : 13 février 1965
   - Label : London")</f>
        <v>- Sortie : * Sortie : 13 février 1965
   - Label : London</v>
      </c>
      <c r="C5" s="2">
        <f>IFERROR(__xludf.DUMMYFUNCTION("""COMPUTED_VALUE"""),5.0)</f>
        <v>5</v>
      </c>
      <c r="D5" s="2" t="str">
        <f>IFERROR(__xludf.DUMMYFUNCTION("""COMPUTED_VALUE"""),":  Or[4]")</f>
        <v>:  Or[4]</v>
      </c>
    </row>
    <row r="6">
      <c r="A6" s="2" t="str">
        <f>IFERROR(__xludf.DUMMYFUNCTION("""COMPUTED_VALUE"""),"*Out of Our Heads*")</f>
        <v>*Out of Our Heads*</v>
      </c>
      <c r="B6" s="2" t="str">
        <f>IFERROR(__xludf.DUMMYFUNCTION("""COMPUTED_VALUE"""),"- Sortie : * Sortie : 30 juillet 1965
   - Label : London")</f>
        <v>- Sortie : * Sortie : 30 juillet 1965
   - Label : London</v>
      </c>
      <c r="C6" s="2">
        <f>IFERROR(__xludf.DUMMYFUNCTION("""COMPUTED_VALUE"""),1.0)</f>
        <v>1</v>
      </c>
      <c r="D6" s="2" t="str">
        <f>IFERROR(__xludf.DUMMYFUNCTION("""COMPUTED_VALUE"""),":  Platine[4]")</f>
        <v>:  Platine[4]</v>
      </c>
    </row>
    <row r="7">
      <c r="A7" s="2" t="str">
        <f>IFERROR(__xludf.DUMMYFUNCTION("""COMPUTED_VALUE"""),"*December's Children (And Everybody's)*")</f>
        <v>*December's Children (And Everybody's)*</v>
      </c>
      <c r="B7" s="2" t="str">
        <f>IFERROR(__xludf.DUMMYFUNCTION("""COMPUTED_VALUE"""),"- Sortie : * Sortie : 4 décembre 1965
   - Label : London")</f>
        <v>- Sortie : * Sortie : 4 décembre 1965
   - Label : London</v>
      </c>
      <c r="C7" s="2">
        <f>IFERROR(__xludf.DUMMYFUNCTION("""COMPUTED_VALUE"""),4.0)</f>
        <v>4</v>
      </c>
      <c r="D7" s="2" t="str">
        <f>IFERROR(__xludf.DUMMYFUNCTION("""COMPUTED_VALUE"""),":  Or[4]")</f>
        <v>:  Or[4]</v>
      </c>
    </row>
    <row r="8">
      <c r="A8" s="2" t="str">
        <f>IFERROR(__xludf.DUMMYFUNCTION("""COMPUTED_VALUE"""),"*Aftermath*")</f>
        <v>*Aftermath*</v>
      </c>
      <c r="B8" s="2" t="str">
        <f>IFERROR(__xludf.DUMMYFUNCTION("""COMPUTED_VALUE"""),"- Sortie : * Sortie : 20 juin 1966
   - Label : London")</f>
        <v>- Sortie : * Sortie : 20 juin 1966
   - Label : London</v>
      </c>
      <c r="C8" s="2">
        <f>IFERROR(__xludf.DUMMYFUNCTION("""COMPUTED_VALUE"""),2.0)</f>
        <v>2</v>
      </c>
      <c r="D8" s="2" t="str">
        <f>IFERROR(__xludf.DUMMYFUNCTION("""COMPUTED_VALUE"""),":  Platine[4]")</f>
        <v>:  Platine[4]</v>
      </c>
    </row>
    <row r="9">
      <c r="A9" s="2" t="str">
        <f>IFERROR(__xludf.DUMMYFUNCTION("""COMPUTED_VALUE"""),"*Between the Buttons*")</f>
        <v>*Between the Buttons*</v>
      </c>
      <c r="B9" s="19" t="str">
        <f>IFERROR(__xludf.DUMMYFUNCTION("""COMPUTED_VALUE"""),"- Sortie : * Sortie : 11 février 1967
   - Label : London")</f>
        <v>- Sortie : * Sortie : 11 février 1967
   - Label : London</v>
      </c>
      <c r="C9" s="2">
        <f>IFERROR(__xludf.DUMMYFUNCTION("""COMPUTED_VALUE"""),2.0)</f>
        <v>2</v>
      </c>
      <c r="D9" s="2" t="str">
        <f>IFERROR(__xludf.DUMMYFUNCTION("""COMPUTED_VALUE"""),":  Or[4]")</f>
        <v>:  Or[4]</v>
      </c>
    </row>
    <row r="13">
      <c r="A13" s="3"/>
      <c r="D13" s="3"/>
    </row>
    <row r="14">
      <c r="D14" s="3"/>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tr">
        <f>IFERROR(__xludf.DUMMYFUNCTION("IMPORTHTML(""https://fr.wikipedia.org/wiki/Canis_lupus"", ""table"", 3)"),"Trait")</f>
        <v>Trait</v>
      </c>
      <c r="B1" s="2" t="str">
        <f>IFERROR(__xludf.DUMMYFUNCTION("""COMPUTED_VALUE"""),"Agressif")</f>
        <v>Agressif</v>
      </c>
      <c r="C1" s="2" t="str">
        <f>IFERROR(__xludf.DUMMYFUNCTION("""COMPUTED_VALUE"""),"Apeuré")</f>
        <v>Apeuré</v>
      </c>
    </row>
    <row r="2">
      <c r="A2" s="2" t="str">
        <f>IFERROR(__xludf.DUMMYFUNCTION("""COMPUTED_VALUE"""),"*Yeux*")</f>
        <v>*Yeux*</v>
      </c>
      <c r="B2" s="2" t="str">
        <f>IFERROR(__xludf.DUMMYFUNCTION("""COMPUTED_VALUE"""),"Fixation directe
Grands ouverts")</f>
        <v>Fixation directe
Grands ouverts</v>
      </c>
      <c r="C2" s="2" t="str">
        <f>IFERROR(__xludf.DUMMYFUNCTION("""COMPUTED_VALUE"""),"Regard détourné
Fermés en fentes")</f>
        <v>Regard détourné
Fermés en fentes</v>
      </c>
    </row>
    <row r="3">
      <c r="A3" s="2" t="str">
        <f>IFERROR(__xludf.DUMMYFUNCTION("""COMPUTED_VALUE"""),"*Oreilles*")</f>
        <v>*Oreilles*</v>
      </c>
      <c r="B3" s="2" t="str">
        <f>IFERROR(__xludf.DUMMYFUNCTION("""COMPUTED_VALUE"""),"Dressées et avancées")</f>
        <v>Dressées et avancées</v>
      </c>
      <c r="C3" s="2" t="str">
        <f>IFERROR(__xludf.DUMMYFUNCTION("""COMPUTED_VALUE"""),"Aplaties et tournées sur le côté")</f>
        <v>Aplaties et tournées sur le côté</v>
      </c>
    </row>
    <row r="4">
      <c r="A4" s="2" t="str">
        <f>IFERROR(__xludf.DUMMYFUNCTION("""COMPUTED_VALUE"""),"*Lèvres*")</f>
        <v>*Lèvres*</v>
      </c>
      <c r="B4" s="2" t="str">
        <f>IFERROR(__xludf.DUMMYFUNCTION("""COMPUTED_VALUE"""),"Contraction horizontale
(« fronçage agoniste »)")</f>
        <v>Contraction horizontale
(« fronçage agoniste »)</v>
      </c>
      <c r="C4" s="2" t="str">
        <f>IFERROR(__xludf.DUMMYFUNCTION("""COMPUTED_VALUE"""),"Rétraction horizontale
(« sourire de soumission »)")</f>
        <v>Rétraction horizontale
(« sourire de soumission »)</v>
      </c>
    </row>
    <row r="5">
      <c r="A5" s="2" t="str">
        <f>IFERROR(__xludf.DUMMYFUNCTION("""COMPUTED_VALUE"""),"*Bouche*")</f>
        <v>*Bouche*</v>
      </c>
      <c r="B5" s="2" t="str">
        <f>IFERROR(__xludf.DUMMYFUNCTION("""COMPUTED_VALUE"""),"Ouverte")</f>
        <v>Ouverte</v>
      </c>
      <c r="C5" s="2" t="str">
        <f>IFERROR(__xludf.DUMMYFUNCTION("""COMPUTED_VALUE"""),"Fermée")</f>
        <v>Fermée</v>
      </c>
    </row>
    <row r="6">
      <c r="A6" s="2" t="str">
        <f>IFERROR(__xludf.DUMMYFUNCTION("""COMPUTED_VALUE"""),"*Dents*")</f>
        <v>*Dents*</v>
      </c>
      <c r="B6" s="2" t="str">
        <f>IFERROR(__xludf.DUMMYFUNCTION("""COMPUTED_VALUE"""),"Canines découvertes")</f>
        <v>Canines découvertes</v>
      </c>
      <c r="C6" s="2" t="str">
        <f>IFERROR(__xludf.DUMMYFUNCTION("""COMPUTED_VALUE"""),"Canines couvertes")</f>
        <v>Canines couvertes</v>
      </c>
    </row>
    <row r="7">
      <c r="A7" s="2" t="str">
        <f>IFERROR(__xludf.DUMMYFUNCTION("""COMPUTED_VALUE"""),"*Langue*")</f>
        <v>*Langue*</v>
      </c>
      <c r="B7" s="2" t="str">
        <f>IFERROR(__xludf.DUMMYFUNCTION("""COMPUTED_VALUE"""),"Rétractée")</f>
        <v>Rétractée</v>
      </c>
      <c r="C7" s="2" t="str">
        <f>IFERROR(__xludf.DUMMYFUNCTION("""COMPUTED_VALUE"""),"Étendue (« intention de léchage »)")</f>
        <v>Étendue (« intention de léchage »)</v>
      </c>
    </row>
    <row r="8">
      <c r="A8" s="2" t="str">
        <f>IFERROR(__xludf.DUMMYFUNCTION("""COMPUTED_VALUE"""),"*Nez*")</f>
        <v>*Nez*</v>
      </c>
      <c r="B8" s="2" t="str">
        <f>IFERROR(__xludf.DUMMYFUNCTION("""COMPUTED_VALUE"""),"Raccourci (peau froncée)")</f>
        <v>Raccourci (peau froncée)</v>
      </c>
      <c r="C8" s="2" t="str">
        <f>IFERROR(__xludf.DUMMYFUNCTION("""COMPUTED_VALUE"""),"Allongé (peau lisse)")</f>
        <v>Allongé (peau lisse)</v>
      </c>
    </row>
    <row r="9">
      <c r="A9" s="2" t="str">
        <f>IFERROR(__xludf.DUMMYFUNCTION("""COMPUTED_VALUE"""),"*Front*")</f>
        <v>*Front*</v>
      </c>
      <c r="B9" s="2" t="str">
        <f>IFERROR(__xludf.DUMMYFUNCTION("""COMPUTED_VALUE"""),"Contracté (gonflement au-dessus des yeux)")</f>
        <v>Contracté (gonflement au-dessus des yeux)</v>
      </c>
      <c r="C9" s="2" t="str">
        <f>IFERROR(__xludf.DUMMYFUNCTION("""COMPUTED_VALUE"""),"Étiré (lisse)")</f>
        <v>Étiré (lisse)</v>
      </c>
    </row>
    <row r="10">
      <c r="A10" s="2" t="str">
        <f>IFERROR(__xludf.DUMMYFUNCTION("""COMPUTED_VALUE"""),"*Tête*")</f>
        <v>*Tête*</v>
      </c>
      <c r="B10" s="2" t="str">
        <f>IFERROR(__xludf.DUMMYFUNCTION("""COMPUTED_VALUE"""),"Tenue haute")</f>
        <v>Tenue haute</v>
      </c>
      <c r="C10" s="2" t="str">
        <f>IFERROR(__xludf.DUMMYFUNCTION("""COMPUTED_VALUE"""),"Abaissée")</f>
        <v>Abaissée</v>
      </c>
    </row>
    <row r="11">
      <c r="A11" s="2" t="str">
        <f>IFERROR(__xludf.DUMMYFUNCTION("""COMPUTED_VALUE"""),"*Cou*")</f>
        <v>*Cou*</v>
      </c>
      <c r="B11" s="2" t="str">
        <f>IFERROR(__xludf.DUMMYFUNCTION("""COMPUTED_VALUE"""),"Arqué")</f>
        <v>Arqué</v>
      </c>
      <c r="C11" s="2" t="str">
        <f>IFERROR(__xludf.DUMMYFUNCTION("""COMPUTED_VALUE"""),"Étendu")</f>
        <v>Étendu</v>
      </c>
    </row>
    <row r="12">
      <c r="A12" s="2" t="str">
        <f>IFERROR(__xludf.DUMMYFUNCTION("""COMPUTED_VALUE"""),"*Poil*")</f>
        <v>*Poil*</v>
      </c>
      <c r="B12" s="2" t="str">
        <f>IFERROR(__xludf.DUMMYFUNCTION("""COMPUTED_VALUE"""),"Dressé (hérissée)")</f>
        <v>Dressé (hérissée)</v>
      </c>
      <c r="C12" s="2" t="str">
        <f>IFERROR(__xludf.DUMMYFUNCTION("""COMPUTED_VALUE"""),"Lisse")</f>
        <v>Lisse</v>
      </c>
    </row>
    <row r="13">
      <c r="A13" s="2" t="str">
        <f>IFERROR(__xludf.DUMMYFUNCTION("""COMPUTED_VALUE"""),"*Corps*")</f>
        <v>*Corps*</v>
      </c>
      <c r="B13" s="2" t="str">
        <f>IFERROR(__xludf.DUMMYFUNCTION("""COMPUTED_VALUE"""),"Dressé, haut")</f>
        <v>Dressé, haut</v>
      </c>
      <c r="C13" s="2" t="str">
        <f>IFERROR(__xludf.DUMMYFUNCTION("""COMPUTED_VALUE"""),"Accroupi, bas")</f>
        <v>Accroupi, bas</v>
      </c>
    </row>
    <row r="14">
      <c r="A14" s="2" t="str">
        <f>IFERROR(__xludf.DUMMYFUNCTION("""COMPUTED_VALUE"""),"*Queue*")</f>
        <v>*Queue*</v>
      </c>
      <c r="B14" s="2" t="str">
        <f>IFERROR(__xludf.DUMMYFUNCTION("""COMPUTED_VALUE"""),"Tenue haute
Tremblante")</f>
        <v>Tenue haute
Tremblante</v>
      </c>
      <c r="C14" s="2" t="str">
        <f>IFERROR(__xludf.DUMMYFUNCTION("""COMPUTED_VALUE"""),"Cachée sous le corps
Remuante")</f>
        <v>Cachée sous le corps
Remuante</v>
      </c>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8">
      <c r="B8" s="1" t="s">
        <v>1265</v>
      </c>
    </row>
  </sheetData>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7.25"/>
    <col customWidth="1" min="3" max="3" width="30.38"/>
  </cols>
  <sheetData>
    <row r="1">
      <c r="A1" s="1" t="str">
        <f>IFERROR(__xludf.DUMMYFUNCTION("importhtml(""https://fr.wikipedia.org/wiki/Liste_des_films_français_les_plus_chers"", ""table"")"),"Rang")</f>
        <v>Rang</v>
      </c>
      <c r="B1" s="2" t="str">
        <f>IFERROR(__xludf.DUMMYFUNCTION("""COMPUTED_VALUE"""),"Films")</f>
        <v>Films</v>
      </c>
      <c r="C1" s="2" t="str">
        <f>IFERROR(__xludf.DUMMYFUNCTION("""COMPUTED_VALUE"""),"Réalisateur")</f>
        <v>Réalisateur</v>
      </c>
      <c r="D1" s="2" t="str">
        <f>IFERROR(__xludf.DUMMYFUNCTION("""COMPUTED_VALUE"""),"Année")</f>
        <v>Année</v>
      </c>
      <c r="E1" s="2" t="str">
        <f>IFERROR(__xludf.DUMMYFUNCTION("""COMPUTED_VALUE"""),"Budget")</f>
        <v>Budget</v>
      </c>
      <c r="F1" s="2" t="str">
        <f>IFERROR(__xludf.DUMMYFUNCTION("""COMPUTED_VALUE"""),"Co-production
internationale")</f>
        <v>Co-production
internationale</v>
      </c>
    </row>
    <row r="2">
      <c r="A2" s="2">
        <f>IFERROR(__xludf.DUMMYFUNCTION("""COMPUTED_VALUE"""),1.0)</f>
        <v>1</v>
      </c>
      <c r="B2" s="2" t="str">
        <f>IFERROR(__xludf.DUMMYFUNCTION("""COMPUTED_VALUE"""),"*Valérian et la Cité des mille planètes*")</f>
        <v>*Valérian et la Cité des mille planètes*</v>
      </c>
      <c r="C2" s="2" t="str">
        <f>IFERROR(__xludf.DUMMYFUNCTION("""COMPUTED_VALUE"""),"Luc Besson")</f>
        <v>Luc Besson</v>
      </c>
      <c r="D2" s="2">
        <f>IFERROR(__xludf.DUMMYFUNCTION("""COMPUTED_VALUE"""),2017.0)</f>
        <v>2017</v>
      </c>
      <c r="E2" s="2" t="str">
        <f>IFERROR(__xludf.DUMMYFUNCTION("""COMPUTED_VALUE"""),"197 471 676 € (209 000 000 $)")</f>
        <v>197 471 676 € (209 000 000 $)</v>
      </c>
      <c r="F2" s="2"/>
    </row>
    <row r="3">
      <c r="A3" s="2">
        <f>IFERROR(__xludf.DUMMYFUNCTION("""COMPUTED_VALUE"""),2.0)</f>
        <v>2</v>
      </c>
      <c r="B3" s="2" t="str">
        <f>IFERROR(__xludf.DUMMYFUNCTION("""COMPUTED_VALUE"""),"*Miraculous, le film*")</f>
        <v>*Miraculous, le film*</v>
      </c>
      <c r="C3" s="2" t="str">
        <f>IFERROR(__xludf.DUMMYFUNCTION("""COMPUTED_VALUE"""),"Jérémy Zag")</f>
        <v>Jérémy Zag</v>
      </c>
      <c r="D3" s="2">
        <f>IFERROR(__xludf.DUMMYFUNCTION("""COMPUTED_VALUE"""),2023.0)</f>
        <v>2023</v>
      </c>
      <c r="E3" s="2" t="str">
        <f>IFERROR(__xludf.DUMMYFUNCTION("""COMPUTED_VALUE"""),"80 000 000 € (86 000 000 $)[1]")</f>
        <v>80 000 000 € (86 000 000 $)[1]</v>
      </c>
      <c r="F3" s="2"/>
    </row>
    <row r="4">
      <c r="A4" s="2">
        <f>IFERROR(__xludf.DUMMYFUNCTION("""COMPUTED_VALUE"""),3.0)</f>
        <v>3</v>
      </c>
      <c r="B4" s="2" t="str">
        <f>IFERROR(__xludf.DUMMYFUNCTION("""COMPUTED_VALUE"""),"*Le Cinquième Élément*")</f>
        <v>*Le Cinquième Élément*</v>
      </c>
      <c r="C4" s="2" t="str">
        <f>IFERROR(__xludf.DUMMYFUNCTION("""COMPUTED_VALUE"""),"Luc Besson")</f>
        <v>Luc Besson</v>
      </c>
      <c r="D4" s="2">
        <f>IFERROR(__xludf.DUMMYFUNCTION("""COMPUTED_VALUE"""),1997.0)</f>
        <v>1997</v>
      </c>
      <c r="E4" s="2" t="str">
        <f>IFERROR(__xludf.DUMMYFUNCTION("""COMPUTED_VALUE"""),"75 200 000 €")</f>
        <v>75 200 000 €</v>
      </c>
      <c r="F4" s="2"/>
    </row>
    <row r="5">
      <c r="A5" s="2">
        <f>IFERROR(__xludf.DUMMYFUNCTION("""COMPUTED_VALUE"""),4.0)</f>
        <v>4</v>
      </c>
      <c r="B5" s="2" t="str">
        <f>IFERROR(__xludf.DUMMYFUNCTION("""COMPUTED_VALUE"""),"*Astérix aux Jeux olympiques*")</f>
        <v>*Astérix aux Jeux olympiques*</v>
      </c>
      <c r="C5" s="2" t="str">
        <f>IFERROR(__xludf.DUMMYFUNCTION("""COMPUTED_VALUE"""),"Thomas Langmann et Frédéric Forestier")</f>
        <v>Thomas Langmann et Frédéric Forestier</v>
      </c>
      <c r="D5" s="2">
        <f>IFERROR(__xludf.DUMMYFUNCTION("""COMPUTED_VALUE"""),2008.0)</f>
        <v>2008</v>
      </c>
      <c r="E5" s="2" t="str">
        <f>IFERROR(__xludf.DUMMYFUNCTION("""COMPUTED_VALUE"""),"74 982 618 €")</f>
        <v>74 982 618 €</v>
      </c>
      <c r="F5" s="2"/>
    </row>
    <row r="6">
      <c r="A6" s="2">
        <f>IFERROR(__xludf.DUMMYFUNCTION("""COMPUTED_VALUE"""),5.0)</f>
        <v>5</v>
      </c>
      <c r="B6" s="2" t="str">
        <f>IFERROR(__xludf.DUMMYFUNCTION("""COMPUTED_VALUE"""),"*Arthur 3 : La Guerre des deux mondes*")</f>
        <v>*Arthur 3 : La Guerre des deux mondes*</v>
      </c>
      <c r="C6" s="2" t="str">
        <f>IFERROR(__xludf.DUMMYFUNCTION("""COMPUTED_VALUE"""),"Luc Besson")</f>
        <v>Luc Besson</v>
      </c>
      <c r="D6" s="2">
        <f>IFERROR(__xludf.DUMMYFUNCTION("""COMPUTED_VALUE"""),2010.0)</f>
        <v>2010</v>
      </c>
      <c r="E6" s="2" t="str">
        <f>IFERROR(__xludf.DUMMYFUNCTION("""COMPUTED_VALUE"""),"68 800 000 €")</f>
        <v>68 800 000 €</v>
      </c>
      <c r="F6" s="2"/>
    </row>
    <row r="7">
      <c r="A7" s="2">
        <f>IFERROR(__xludf.DUMMYFUNCTION("""COMPUTED_VALUE"""),6.0)</f>
        <v>6</v>
      </c>
      <c r="B7" s="2" t="str">
        <f>IFERROR(__xludf.DUMMYFUNCTION("""COMPUTED_VALUE"""),"*Astérix et Obélix : L'Empire du Milieu*")</f>
        <v>*Astérix et Obélix : L'Empire du Milieu*</v>
      </c>
      <c r="C7" s="2" t="str">
        <f>IFERROR(__xludf.DUMMYFUNCTION("""COMPUTED_VALUE"""),"Guillaume Canet")</f>
        <v>Guillaume Canet</v>
      </c>
      <c r="D7" s="2">
        <f>IFERROR(__xludf.DUMMYFUNCTION("""COMPUTED_VALUE"""),2023.0)</f>
        <v>2023</v>
      </c>
      <c r="E7" s="2" t="str">
        <f>IFERROR(__xludf.DUMMYFUNCTION("""COMPUTED_VALUE"""),"66 240 000 €")</f>
        <v>66 240 000 €</v>
      </c>
      <c r="F7" s="2"/>
    </row>
    <row r="8">
      <c r="A8" s="2">
        <f>IFERROR(__xludf.DUMMYFUNCTION("""COMPUTED_VALUE"""),7.0)</f>
        <v>7</v>
      </c>
      <c r="B8" s="2" t="str">
        <f>IFERROR(__xludf.DUMMYFUNCTION("""COMPUTED_VALUE"""),"*Arthur et les Minimoys*")</f>
        <v>*Arthur et les Minimoys*</v>
      </c>
      <c r="C8" s="2" t="str">
        <f>IFERROR(__xludf.DUMMYFUNCTION("""COMPUTED_VALUE"""),"Luc Besson")</f>
        <v>Luc Besson</v>
      </c>
      <c r="D8" s="2">
        <f>IFERROR(__xludf.DUMMYFUNCTION("""COMPUTED_VALUE"""),2006.0)</f>
        <v>2006</v>
      </c>
      <c r="E8" s="2" t="str">
        <f>IFERROR(__xludf.DUMMYFUNCTION("""COMPUTED_VALUE"""),"65 200 000 €")</f>
        <v>65 200 000 €</v>
      </c>
      <c r="F8" s="2"/>
    </row>
    <row r="9">
      <c r="A9" s="2">
        <f>IFERROR(__xludf.DUMMYFUNCTION("""COMPUTED_VALUE"""),8.0)</f>
        <v>8</v>
      </c>
      <c r="B9" s="2" t="str">
        <f>IFERROR(__xludf.DUMMYFUNCTION("""COMPUTED_VALUE"""),"*Babylon A.D.*")</f>
        <v>*Babylon A.D.*</v>
      </c>
      <c r="C9" s="2" t="str">
        <f>IFERROR(__xludf.DUMMYFUNCTION("""COMPUTED_VALUE"""),"Mathieu Kassovitz")</f>
        <v>Mathieu Kassovitz</v>
      </c>
      <c r="D9" s="2">
        <f>IFERROR(__xludf.DUMMYFUNCTION("""COMPUTED_VALUE"""),2008.0)</f>
        <v>2008</v>
      </c>
      <c r="E9" s="2" t="str">
        <f>IFERROR(__xludf.DUMMYFUNCTION("""COMPUTED_VALUE"""),"64 519 000 € (70 000 000 $)[2]")</f>
        <v>64 519 000 € (70 000 000 $)[2]</v>
      </c>
      <c r="F9" s="2"/>
    </row>
    <row r="10">
      <c r="A10" s="2">
        <f>IFERROR(__xludf.DUMMYFUNCTION("""COMPUTED_VALUE"""),9.0)</f>
        <v>9</v>
      </c>
      <c r="B10" s="2" t="str">
        <f>IFERROR(__xludf.DUMMYFUNCTION("""COMPUTED_VALUE"""),"*Les Trois Mousquetaires*")</f>
        <v>*Les Trois Mousquetaires*</v>
      </c>
      <c r="C10" s="2" t="str">
        <f>IFERROR(__xludf.DUMMYFUNCTION("""COMPUTED_VALUE"""),"Paul W. S. Anderson")</f>
        <v>Paul W. S. Anderson</v>
      </c>
      <c r="D10" s="2">
        <f>IFERROR(__xludf.DUMMYFUNCTION("""COMPUTED_VALUE"""),2011.0)</f>
        <v>2011</v>
      </c>
      <c r="E10" s="2" t="str">
        <f>IFERROR(__xludf.DUMMYFUNCTION("""COMPUTED_VALUE"""),"64 000 000 € (75 000 000 $)")</f>
        <v>64 000 000 € (75 000 000 $)</v>
      </c>
      <c r="F10" s="2"/>
    </row>
    <row r="11">
      <c r="A11" s="2">
        <f>IFERROR(__xludf.DUMMYFUNCTION("""COMPUTED_VALUE"""),10.0)</f>
        <v>10</v>
      </c>
      <c r="B11" s="2" t="str">
        <f>IFERROR(__xludf.DUMMYFUNCTION("""COMPUTED_VALUE"""),"*Arthur et la Vengeance de Malthazard*")</f>
        <v>*Arthur et la Vengeance de Malthazard*</v>
      </c>
      <c r="C11" s="2" t="str">
        <f>IFERROR(__xludf.DUMMYFUNCTION("""COMPUTED_VALUE"""),"Luc Besson")</f>
        <v>Luc Besson</v>
      </c>
      <c r="D11" s="2">
        <f>IFERROR(__xludf.DUMMYFUNCTION("""COMPUTED_VALUE"""),2009.0)</f>
        <v>2009</v>
      </c>
      <c r="E11" s="2" t="str">
        <f>IFERROR(__xludf.DUMMYFUNCTION("""COMPUTED_VALUE"""),"63 200 000 €")</f>
        <v>63 200 000 €</v>
      </c>
      <c r="F11" s="2"/>
    </row>
    <row r="12">
      <c r="A12" s="2">
        <f>IFERROR(__xludf.DUMMYFUNCTION("""COMPUTED_VALUE"""),11.0)</f>
        <v>11</v>
      </c>
      <c r="B12" s="2" t="str">
        <f>IFERROR(__xludf.DUMMYFUNCTION("""COMPUTED_VALUE"""),"*Sept Ans au Tibet*")</f>
        <v>*Sept Ans au Tibet*</v>
      </c>
      <c r="C12" s="2" t="str">
        <f>IFERROR(__xludf.DUMMYFUNCTION("""COMPUTED_VALUE"""),"Jean-Jacques Annaud")</f>
        <v>Jean-Jacques Annaud</v>
      </c>
      <c r="D12" s="2">
        <f>IFERROR(__xludf.DUMMYFUNCTION("""COMPUTED_VALUE"""),1997.0)</f>
        <v>1997</v>
      </c>
      <c r="E12" s="2" t="str">
        <f>IFERROR(__xludf.DUMMYFUNCTION("""COMPUTED_VALUE"""),"61 706 959 €")</f>
        <v>61 706 959 €</v>
      </c>
      <c r="F12" s="2"/>
    </row>
    <row r="13">
      <c r="A13" s="2">
        <f>IFERROR(__xludf.DUMMYFUNCTION("""COMPUTED_VALUE"""),12.0)</f>
        <v>12</v>
      </c>
      <c r="B13" s="2" t="str">
        <f>IFERROR(__xludf.DUMMYFUNCTION("""COMPUTED_VALUE"""),"*Astérix et Obélix : Au service de Sa Majesté*")</f>
        <v>*Astérix et Obélix : Au service de Sa Majesté*</v>
      </c>
      <c r="C13" s="2" t="str">
        <f>IFERROR(__xludf.DUMMYFUNCTION("""COMPUTED_VALUE"""),"Laurent Tirard")</f>
        <v>Laurent Tirard</v>
      </c>
      <c r="D13" s="2">
        <f>IFERROR(__xludf.DUMMYFUNCTION("""COMPUTED_VALUE"""),2012.0)</f>
        <v>2012</v>
      </c>
      <c r="E13" s="2" t="str">
        <f>IFERROR(__xludf.DUMMYFUNCTION("""COMPUTED_VALUE"""),"61 239 780 €")</f>
        <v>61 239 780 €</v>
      </c>
      <c r="F13" s="2"/>
    </row>
    <row r="14">
      <c r="A14" s="2">
        <f>IFERROR(__xludf.DUMMYFUNCTION("""COMPUTED_VALUE"""),13.0)</f>
        <v>13</v>
      </c>
      <c r="B14" s="2" t="str">
        <f>IFERROR(__xludf.DUMMYFUNCTION("""COMPUTED_VALUE"""),"*Deux Frères*")</f>
        <v>*Deux Frères*</v>
      </c>
      <c r="C14" s="2" t="str">
        <f>IFERROR(__xludf.DUMMYFUNCTION("""COMPUTED_VALUE"""),"Jean-Jacques Annaud")</f>
        <v>Jean-Jacques Annaud</v>
      </c>
      <c r="D14" s="2">
        <f>IFERROR(__xludf.DUMMYFUNCTION("""COMPUTED_VALUE"""),2004.0)</f>
        <v>2004</v>
      </c>
      <c r="E14" s="2" t="str">
        <f>IFERROR(__xludf.DUMMYFUNCTION("""COMPUTED_VALUE"""),"59 660 000 €")</f>
        <v>59 660 000 €</v>
      </c>
      <c r="F14" s="2"/>
    </row>
    <row r="15">
      <c r="A15" s="2">
        <f>IFERROR(__xludf.DUMMYFUNCTION("""COMPUTED_VALUE"""),14.0)</f>
        <v>14</v>
      </c>
      <c r="B15" s="2" t="str">
        <f>IFERROR(__xludf.DUMMYFUNCTION("""COMPUTED_VALUE"""),"*Jeanne d'Arc*")</f>
        <v>*Jeanne d'Arc*</v>
      </c>
      <c r="C15" s="2" t="str">
        <f>IFERROR(__xludf.DUMMYFUNCTION("""COMPUTED_VALUE"""),"Luc Besson")</f>
        <v>Luc Besson</v>
      </c>
      <c r="D15" s="2">
        <f>IFERROR(__xludf.DUMMYFUNCTION("""COMPUTED_VALUE"""),1999.0)</f>
        <v>1999</v>
      </c>
      <c r="E15" s="2" t="str">
        <f>IFERROR(__xludf.DUMMYFUNCTION("""COMPUTED_VALUE"""),"59 000 000 €")</f>
        <v>59 000 000 €</v>
      </c>
      <c r="F15" s="2"/>
    </row>
    <row r="16">
      <c r="A16" s="2"/>
      <c r="B16" s="2" t="str">
        <f>IFERROR(__xludf.DUMMYFUNCTION("""COMPUTED_VALUE"""),"*Resident Evil: Retribution*")</f>
        <v>*Resident Evil: Retribution*</v>
      </c>
      <c r="C16" s="2" t="str">
        <f>IFERROR(__xludf.DUMMYFUNCTION("""COMPUTED_VALUE"""),"Paul W. S. Anderson")</f>
        <v>Paul W. S. Anderson</v>
      </c>
      <c r="D16" s="2">
        <f>IFERROR(__xludf.DUMMYFUNCTION("""COMPUTED_VALUE"""),2012.0)</f>
        <v>2012</v>
      </c>
      <c r="E16" s="2" t="str">
        <f>IFERROR(__xludf.DUMMYFUNCTION("""COMPUTED_VALUE"""),"59 000 000 € (65 000 000 $)")</f>
        <v>59 000 000 € (65 000 000 $)</v>
      </c>
      <c r="F16" s="2"/>
    </row>
    <row r="17">
      <c r="A17" s="2">
        <f>IFERROR(__xludf.DUMMYFUNCTION("""COMPUTED_VALUE"""),15.0)</f>
        <v>15</v>
      </c>
      <c r="B17" s="2" t="str">
        <f>IFERROR(__xludf.DUMMYFUNCTION("""COMPUTED_VALUE"""),"*Braqueurs d'élite*")</f>
        <v>*Braqueurs d'élite*</v>
      </c>
      <c r="C17" s="2" t="str">
        <f>IFERROR(__xludf.DUMMYFUNCTION("""COMPUTED_VALUE"""),"Steven Quale")</f>
        <v>Steven Quale</v>
      </c>
      <c r="D17" s="2">
        <f>IFERROR(__xludf.DUMMYFUNCTION("""COMPUTED_VALUE"""),2017.0)</f>
        <v>2017</v>
      </c>
      <c r="E17" s="2" t="str">
        <f>IFERROR(__xludf.DUMMYFUNCTION("""COMPUTED_VALUE"""),"57 463 494 €")</f>
        <v>57 463 494 €</v>
      </c>
      <c r="F17" s="2"/>
    </row>
    <row r="18">
      <c r="A18" s="2">
        <f>IFERROR(__xludf.DUMMYFUNCTION("""COMPUTED_VALUE"""),16.0)</f>
        <v>16</v>
      </c>
      <c r="B18" s="2" t="str">
        <f>IFERROR(__xludf.DUMMYFUNCTION("""COMPUTED_VALUE"""),"*Resident Evil: Afterlife*")</f>
        <v>*Resident Evil: Afterlife*</v>
      </c>
      <c r="C18" s="2" t="str">
        <f>IFERROR(__xludf.DUMMYFUNCTION("""COMPUTED_VALUE"""),"Paul W. S. Anderson")</f>
        <v>Paul W. S. Anderson</v>
      </c>
      <c r="D18" s="2">
        <f>IFERROR(__xludf.DUMMYFUNCTION("""COMPUTED_VALUE"""),2010.0)</f>
        <v>2010</v>
      </c>
      <c r="E18" s="2" t="str">
        <f>IFERROR(__xludf.DUMMYFUNCTION("""COMPUTED_VALUE"""),"55 000 000 € (60 000 000 $)")</f>
        <v>55 000 000 € (60 000 000 $)</v>
      </c>
      <c r="F18" s="2"/>
    </row>
    <row r="19">
      <c r="A19" s="2">
        <f>IFERROR(__xludf.DUMMYFUNCTION("""COMPUTED_VALUE"""),17.0)</f>
        <v>17</v>
      </c>
      <c r="B19" s="2" t="str">
        <f>IFERROR(__xludf.DUMMYFUNCTION("""COMPUTED_VALUE"""),"*Un long dimanche de fiançailles*")</f>
        <v>*Un long dimanche de fiançailles*</v>
      </c>
      <c r="C19" s="2" t="str">
        <f>IFERROR(__xludf.DUMMYFUNCTION("""COMPUTED_VALUE"""),"Jean-Pierre Jeunet")</f>
        <v>Jean-Pierre Jeunet</v>
      </c>
      <c r="D19" s="2">
        <f>IFERROR(__xludf.DUMMYFUNCTION("""COMPUTED_VALUE"""),2004.0)</f>
        <v>2004</v>
      </c>
      <c r="E19" s="2" t="str">
        <f>IFERROR(__xludf.DUMMYFUNCTION("""COMPUTED_VALUE"""),"56 600 000 €")</f>
        <v>56 600 000 €</v>
      </c>
      <c r="F19" s="2"/>
    </row>
    <row r="20">
      <c r="A20" s="2">
        <f>IFERROR(__xludf.DUMMYFUNCTION("""COMPUTED_VALUE"""),18.0)</f>
        <v>18</v>
      </c>
      <c r="B20" s="2" t="str">
        <f>IFERROR(__xludf.DUMMYFUNCTION("""COMPUTED_VALUE"""),"*Les Visiteurs en Amérique*")</f>
        <v>*Les Visiteurs en Amérique*</v>
      </c>
      <c r="C20" s="2" t="str">
        <f>IFERROR(__xludf.DUMMYFUNCTION("""COMPUTED_VALUE"""),"Jean-Marie Poiré")</f>
        <v>Jean-Marie Poiré</v>
      </c>
      <c r="D20" s="2">
        <f>IFERROR(__xludf.DUMMYFUNCTION("""COMPUTED_VALUE"""),2001.0)</f>
        <v>2001</v>
      </c>
      <c r="E20" s="2" t="str">
        <f>IFERROR(__xludf.DUMMYFUNCTION("""COMPUTED_VALUE"""),"53 520 000 €")</f>
        <v>53 520 000 €</v>
      </c>
      <c r="F20" s="2"/>
    </row>
    <row r="21">
      <c r="A21" s="2">
        <f>IFERROR(__xludf.DUMMYFUNCTION("""COMPUTED_VALUE"""),19.0)</f>
        <v>19</v>
      </c>
      <c r="B21" s="2" t="str">
        <f>IFERROR(__xludf.DUMMYFUNCTION("""COMPUTED_VALUE"""),"*Le Petit Prince*")</f>
        <v>*Le Petit Prince*</v>
      </c>
      <c r="C21" s="2" t="str">
        <f>IFERROR(__xludf.DUMMYFUNCTION("""COMPUTED_VALUE"""),"Mark Osborne")</f>
        <v>Mark Osborne</v>
      </c>
      <c r="D21" s="2">
        <f>IFERROR(__xludf.DUMMYFUNCTION("""COMPUTED_VALUE"""),2015.0)</f>
        <v>2015</v>
      </c>
      <c r="E21" s="2" t="str">
        <f>IFERROR(__xludf.DUMMYFUNCTION("""COMPUTED_VALUE"""),"52 161 991 €")</f>
        <v>52 161 991 €</v>
      </c>
      <c r="F21" s="2"/>
    </row>
    <row r="22">
      <c r="A22" s="2">
        <f>IFERROR(__xludf.DUMMYFUNCTION("""COMPUTED_VALUE"""),20.0)</f>
        <v>20</v>
      </c>
      <c r="B22" s="2" t="str">
        <f>IFERROR(__xludf.DUMMYFUNCTION("""COMPUTED_VALUE"""),"*From Paris with Love*")</f>
        <v>*From Paris with Love*</v>
      </c>
      <c r="C22" s="2" t="str">
        <f>IFERROR(__xludf.DUMMYFUNCTION("""COMPUTED_VALUE"""),"Pierre Morel")</f>
        <v>Pierre Morel</v>
      </c>
      <c r="D22" s="2">
        <f>IFERROR(__xludf.DUMMYFUNCTION("""COMPUTED_VALUE"""),2010.0)</f>
        <v>2010</v>
      </c>
      <c r="E22" s="2" t="str">
        <f>IFERROR(__xludf.DUMMYFUNCTION("""COMPUTED_VALUE"""),"52 000 000 €")</f>
        <v>52 000 000 €</v>
      </c>
      <c r="F22" s="2"/>
    </row>
    <row r="23">
      <c r="A23" s="2">
        <f>IFERROR(__xludf.DUMMYFUNCTION("""COMPUTED_VALUE"""),21.0)</f>
        <v>21</v>
      </c>
      <c r="B23" s="2" t="str">
        <f>IFERROR(__xludf.DUMMYFUNCTION("""COMPUTED_VALUE"""),"*Taken 3*")</f>
        <v>*Taken 3*</v>
      </c>
      <c r="C23" s="2" t="str">
        <f>IFERROR(__xludf.DUMMYFUNCTION("""COMPUTED_VALUE"""),"Olivier Megaton")</f>
        <v>Olivier Megaton</v>
      </c>
      <c r="D23" s="2">
        <f>IFERROR(__xludf.DUMMYFUNCTION("""COMPUTED_VALUE"""),2015.0)</f>
        <v>2015</v>
      </c>
      <c r="E23" s="2" t="str">
        <f>IFERROR(__xludf.DUMMYFUNCTION("""COMPUTED_VALUE"""),"51 460 337 €")</f>
        <v>51 460 337 €</v>
      </c>
      <c r="F23" s="2"/>
    </row>
    <row r="24">
      <c r="A24" s="2">
        <f>IFERROR(__xludf.DUMMYFUNCTION("""COMPUTED_VALUE"""),22.0)</f>
        <v>22</v>
      </c>
      <c r="B24" s="2" t="str">
        <f>IFERROR(__xludf.DUMMYFUNCTION("""COMPUTED_VALUE"""),"*Astérix et Obélix : Mission Cléopâtre*")</f>
        <v>*Astérix et Obélix : Mission Cléopâtre*</v>
      </c>
      <c r="C24" s="2" t="str">
        <f>IFERROR(__xludf.DUMMYFUNCTION("""COMPUTED_VALUE"""),"Alain Chabat")</f>
        <v>Alain Chabat</v>
      </c>
      <c r="D24" s="2">
        <f>IFERROR(__xludf.DUMMYFUNCTION("""COMPUTED_VALUE"""),2002.0)</f>
        <v>2002</v>
      </c>
      <c r="E24" s="2" t="str">
        <f>IFERROR(__xludf.DUMMYFUNCTION("""COMPUTED_VALUE"""),"50 300 000 €")</f>
        <v>50 300 000 €</v>
      </c>
      <c r="F24" s="2"/>
    </row>
    <row r="25">
      <c r="A25" s="2">
        <f>IFERROR(__xludf.DUMMYFUNCTION("""COMPUTED_VALUE"""),23.0)</f>
        <v>23</v>
      </c>
      <c r="B25" s="2" t="str">
        <f>IFERROR(__xludf.DUMMYFUNCTION("""COMPUTED_VALUE"""),"*Oliver Twist*")</f>
        <v>*Oliver Twist*</v>
      </c>
      <c r="C25" s="2" t="str">
        <f>IFERROR(__xludf.DUMMYFUNCTION("""COMPUTED_VALUE"""),"Roman Polanski")</f>
        <v>Roman Polanski</v>
      </c>
      <c r="D25" s="2">
        <f>IFERROR(__xludf.DUMMYFUNCTION("""COMPUTED_VALUE"""),2005.0)</f>
        <v>2005</v>
      </c>
      <c r="E25" s="2" t="str">
        <f>IFERROR(__xludf.DUMMYFUNCTION("""COMPUTED_VALUE"""),"50 052 027 €")</f>
        <v>50 052 027 €</v>
      </c>
      <c r="F25" s="2"/>
    </row>
    <row r="26">
      <c r="A26" s="2">
        <f>IFERROR(__xludf.DUMMYFUNCTION("""COMPUTED_VALUE"""),24.0)</f>
        <v>24</v>
      </c>
      <c r="B26" s="2" t="str">
        <f>IFERROR(__xludf.DUMMYFUNCTION("""COMPUTED_VALUE"""),"*Océans*")</f>
        <v>*Océans*</v>
      </c>
      <c r="C26" s="2" t="str">
        <f>IFERROR(__xludf.DUMMYFUNCTION("""COMPUTED_VALUE"""),"Jacques Perrin et Jacques Cluzaud")</f>
        <v>Jacques Perrin et Jacques Cluzaud</v>
      </c>
      <c r="D26" s="2">
        <f>IFERROR(__xludf.DUMMYFUNCTION("""COMPUTED_VALUE"""),2010.0)</f>
        <v>2010</v>
      </c>
      <c r="E26" s="2" t="str">
        <f>IFERROR(__xludf.DUMMYFUNCTION("""COMPUTED_VALUE"""),"49 619 972 €")</f>
        <v>49 619 972 €</v>
      </c>
      <c r="F26" s="2"/>
    </row>
    <row r="27">
      <c r="A27" s="2">
        <f>IFERROR(__xludf.DUMMYFUNCTION("""COMPUTED_VALUE"""),25.0)</f>
        <v>25</v>
      </c>
      <c r="B27" s="2" t="str">
        <f>IFERROR(__xludf.DUMMYFUNCTION("""COMPUTED_VALUE"""),"*Lucy*")</f>
        <v>*Lucy*</v>
      </c>
      <c r="C27" s="2" t="str">
        <f>IFERROR(__xludf.DUMMYFUNCTION("""COMPUTED_VALUE"""),"Luc Besson")</f>
        <v>Luc Besson</v>
      </c>
      <c r="D27" s="2">
        <f>IFERROR(__xludf.DUMMYFUNCTION("""COMPUTED_VALUE"""),2014.0)</f>
        <v>2014</v>
      </c>
      <c r="E27" s="2" t="str">
        <f>IFERROR(__xludf.DUMMYFUNCTION("""COMPUTED_VALUE"""),"49 006 310 €")</f>
        <v>49 006 310 €</v>
      </c>
      <c r="F27" s="2"/>
    </row>
    <row r="28">
      <c r="A28" s="2">
        <f>IFERROR(__xludf.DUMMYFUNCTION("""COMPUTED_VALUE"""),26.0)</f>
        <v>26</v>
      </c>
      <c r="B28" s="2" t="str">
        <f>IFERROR(__xludf.DUMMYFUNCTION("""COMPUTED_VALUE"""),"*Silent Hill*")</f>
        <v>*Silent Hill*</v>
      </c>
      <c r="C28" s="2" t="str">
        <f>IFERROR(__xludf.DUMMYFUNCTION("""COMPUTED_VALUE"""),"Christophe Gans")</f>
        <v>Christophe Gans</v>
      </c>
      <c r="D28" s="2">
        <f>IFERROR(__xludf.DUMMYFUNCTION("""COMPUTED_VALUE"""),2006.0)</f>
        <v>2006</v>
      </c>
      <c r="E28" s="2" t="str">
        <f>IFERROR(__xludf.DUMMYFUNCTION("""COMPUTED_VALUE"""),"46 000 000 € (50 000 000 $)")</f>
        <v>46 000 000 € (50 000 000 $)</v>
      </c>
      <c r="F28" s="2"/>
    </row>
    <row r="29">
      <c r="A29" s="2">
        <f>IFERROR(__xludf.DUMMYFUNCTION("""COMPUTED_VALUE"""),27.0)</f>
        <v>27</v>
      </c>
      <c r="B29" s="2" t="str">
        <f>IFERROR(__xludf.DUMMYFUNCTION("""COMPUTED_VALUE"""),"*La Révolution française*")</f>
        <v>*La Révolution française*</v>
      </c>
      <c r="C29" s="2" t="str">
        <f>IFERROR(__xludf.DUMMYFUNCTION("""COMPUTED_VALUE"""),"Robert Enrico et Richard T. Heffron")</f>
        <v>Robert Enrico et Richard T. Heffron</v>
      </c>
      <c r="D29" s="2">
        <f>IFERROR(__xludf.DUMMYFUNCTION("""COMPUTED_VALUE"""),1989.0)</f>
        <v>1989</v>
      </c>
      <c r="E29" s="2" t="str">
        <f>IFERROR(__xludf.DUMMYFUNCTION("""COMPUTED_VALUE"""),"43 258 879 € (300 000 000 francs)")</f>
        <v>43 258 879 € (300 000 000 francs)</v>
      </c>
      <c r="F29" s="2"/>
    </row>
    <row r="30">
      <c r="A30" s="2">
        <f>IFERROR(__xludf.DUMMYFUNCTION("""COMPUTED_VALUE"""),28.0)</f>
        <v>28</v>
      </c>
      <c r="B30" s="2" t="str">
        <f>IFERROR(__xludf.DUMMYFUNCTION("""COMPUTED_VALUE"""),"*Le Comte de Monte-Cristo*")</f>
        <v>*Le Comte de Monte-Cristo*</v>
      </c>
      <c r="C30" s="2" t="str">
        <f>IFERROR(__xludf.DUMMYFUNCTION("""COMPUTED_VALUE"""),"Alexandre de La Patellière et Matthieu Delaporte")</f>
        <v>Alexandre de La Patellière et Matthieu Delaporte</v>
      </c>
      <c r="D30" s="2">
        <f>IFERROR(__xludf.DUMMYFUNCTION("""COMPUTED_VALUE"""),2024.0)</f>
        <v>2024</v>
      </c>
      <c r="E30" s="2" t="str">
        <f>IFERROR(__xludf.DUMMYFUNCTION("""COMPUTED_VALUE"""),"42 900 000 €[3]")</f>
        <v>42 900 000 €[3]</v>
      </c>
      <c r="F30" s="2"/>
    </row>
    <row r="31">
      <c r="A31" s="2">
        <f>IFERROR(__xludf.DUMMYFUNCTION("""COMPUTED_VALUE"""),29.0)</f>
        <v>29</v>
      </c>
      <c r="B31" s="2" t="str">
        <f>IFERROR(__xludf.DUMMYFUNCTION("""COMPUTED_VALUE"""),"*Astérix et Obélix contre César*")</f>
        <v>*Astérix et Obélix contre César*</v>
      </c>
      <c r="C31" s="2" t="str">
        <f>IFERROR(__xludf.DUMMYFUNCTION("""COMPUTED_VALUE"""),"Claude Zidi")</f>
        <v>Claude Zidi</v>
      </c>
      <c r="D31" s="2">
        <f>IFERROR(__xludf.DUMMYFUNCTION("""COMPUTED_VALUE"""),1999.0)</f>
        <v>1999</v>
      </c>
      <c r="E31" s="2" t="str">
        <f>IFERROR(__xludf.DUMMYFUNCTION("""COMPUTED_VALUE"""),"41 868 668 € (274 640 460 francs)")</f>
        <v>41 868 668 € (274 640 460 francs)</v>
      </c>
      <c r="F31" s="2"/>
    </row>
    <row r="32">
      <c r="A32" s="2">
        <f>IFERROR(__xludf.DUMMYFUNCTION("""COMPUTED_VALUE"""),30.0)</f>
        <v>30</v>
      </c>
      <c r="B32" s="2" t="str">
        <f>IFERROR(__xludf.DUMMYFUNCTION("""COMPUTED_VALUE"""),"*The Ghost Writer*")</f>
        <v>*The Ghost Writer*</v>
      </c>
      <c r="C32" s="2" t="str">
        <f>IFERROR(__xludf.DUMMYFUNCTION("""COMPUTED_VALUE"""),"Roman Polanski")</f>
        <v>Roman Polanski</v>
      </c>
      <c r="D32" s="2">
        <f>IFERROR(__xludf.DUMMYFUNCTION("""COMPUTED_VALUE"""),2010.0)</f>
        <v>2010</v>
      </c>
      <c r="E32" s="2" t="str">
        <f>IFERROR(__xludf.DUMMYFUNCTION("""COMPUTED_VALUE"""),"41 503 500 € (45 000 000 $)[4],[5]")</f>
        <v>41 503 500 € (45 000 000 $)[4],[5]</v>
      </c>
      <c r="F32" s="2"/>
    </row>
    <row r="33">
      <c r="A33" s="2">
        <f>IFERROR(__xludf.DUMMYFUNCTION("""COMPUTED_VALUE"""),31.0)</f>
        <v>31</v>
      </c>
      <c r="B33" s="2" t="str">
        <f>IFERROR(__xludf.DUMMYFUNCTION("""COMPUTED_VALUE"""),"*Resident Evil: Apocalypse*")</f>
        <v>*Resident Evil: Apocalypse*</v>
      </c>
      <c r="C33" s="2" t="str">
        <f>IFERROR(__xludf.DUMMYFUNCTION("""COMPUTED_VALUE"""),"Alexander Witt")</f>
        <v>Alexander Witt</v>
      </c>
      <c r="D33" s="2">
        <f>IFERROR(__xludf.DUMMYFUNCTION("""COMPUTED_VALUE"""),2004.0)</f>
        <v>2004</v>
      </c>
      <c r="E33" s="2" t="str">
        <f>IFERROR(__xludf.DUMMYFUNCTION("""COMPUTED_VALUE"""),"41 000 000 € (45 000 000 $)")</f>
        <v>41 000 000 € (45 000 000 $)</v>
      </c>
      <c r="F33" s="2"/>
    </row>
    <row r="34">
      <c r="A34" s="2"/>
      <c r="B34" s="2" t="str">
        <f>IFERROR(__xludf.DUMMYFUNCTION("""COMPUTED_VALUE"""),"*Resident Evil: Extinction*")</f>
        <v>*Resident Evil: Extinction*</v>
      </c>
      <c r="C34" s="2" t="str">
        <f>IFERROR(__xludf.DUMMYFUNCTION("""COMPUTED_VALUE"""),"Russell Mulcahy")</f>
        <v>Russell Mulcahy</v>
      </c>
      <c r="D34" s="2">
        <f>IFERROR(__xludf.DUMMYFUNCTION("""COMPUTED_VALUE"""),2007.0)</f>
        <v>2007</v>
      </c>
      <c r="E34" s="2" t="str">
        <f>IFERROR(__xludf.DUMMYFUNCTION("""COMPUTED_VALUE"""),"41 000 000 € (45 000 000 $)")</f>
        <v>41 000 000 € (45 000 000 $)</v>
      </c>
      <c r="F34" s="2"/>
    </row>
    <row r="35">
      <c r="A35" s="2">
        <f>IFERROR(__xludf.DUMMYFUNCTION("""COMPUTED_VALUE"""),32.0)</f>
        <v>32</v>
      </c>
      <c r="B35" s="2" t="str">
        <f>IFERROR(__xludf.DUMMYFUNCTION("""COMPUTED_VALUE"""),"*Or Noir*")</f>
        <v>*Or Noir*</v>
      </c>
      <c r="C35" s="2" t="str">
        <f>IFERROR(__xludf.DUMMYFUNCTION("""COMPUTED_VALUE"""),"Jean-Jacques Annaud")</f>
        <v>Jean-Jacques Annaud</v>
      </c>
      <c r="D35" s="2">
        <f>IFERROR(__xludf.DUMMYFUNCTION("""COMPUTED_VALUE"""),2011.0)</f>
        <v>2011</v>
      </c>
      <c r="E35" s="2" t="str">
        <f>IFERROR(__xludf.DUMMYFUNCTION("""COMPUTED_VALUE"""),"40 000 000 €")</f>
        <v>40 000 000 €</v>
      </c>
      <c r="F35" s="2"/>
    </row>
    <row r="36">
      <c r="A36" s="2"/>
      <c r="B36" s="2" t="str">
        <f>IFERROR(__xludf.DUMMYFUNCTION("""COMPUTED_VALUE"""),"*Le Cerveau*")</f>
        <v>*Le Cerveau*</v>
      </c>
      <c r="C36" s="2" t="str">
        <f>IFERROR(__xludf.DUMMYFUNCTION("""COMPUTED_VALUE"""),"Gérard Oury")</f>
        <v>Gérard Oury</v>
      </c>
      <c r="D36" s="2">
        <f>IFERROR(__xludf.DUMMYFUNCTION("""COMPUTED_VALUE"""),1969.0)</f>
        <v>1969</v>
      </c>
      <c r="E36" s="2" t="str">
        <f>IFERROR(__xludf.DUMMYFUNCTION("""COMPUTED_VALUE"""),"43 000 000 € (30 000 000 francs)[6],[7]")</f>
        <v>43 000 000 € (30 000 000 francs)[6],[7]</v>
      </c>
      <c r="F36" s="2"/>
    </row>
    <row r="37">
      <c r="A37" s="2">
        <f>IFERROR(__xludf.DUMMYFUNCTION("""COMPUTED_VALUE"""),33.0)</f>
        <v>33</v>
      </c>
      <c r="B37" s="2" t="str">
        <f>IFERROR(__xludf.DUMMYFUNCTION("""COMPUTED_VALUE"""),"*Sur la piste du Marsupilami*")</f>
        <v>*Sur la piste du Marsupilami*</v>
      </c>
      <c r="C37" s="2" t="str">
        <f>IFERROR(__xludf.DUMMYFUNCTION("""COMPUTED_VALUE"""),"Alain Chabat")</f>
        <v>Alain Chabat</v>
      </c>
      <c r="D37" s="2">
        <f>IFERROR(__xludf.DUMMYFUNCTION("""COMPUTED_VALUE"""),2012.0)</f>
        <v>2012</v>
      </c>
      <c r="E37" s="2" t="str">
        <f>IFERROR(__xludf.DUMMYFUNCTION("""COMPUTED_VALUE"""),"39 400 000 €")</f>
        <v>39 400 000 €</v>
      </c>
      <c r="F37" s="2"/>
    </row>
    <row r="38">
      <c r="A38" s="2">
        <f>IFERROR(__xludf.DUMMYFUNCTION("""COMPUTED_VALUE"""),34.0)</f>
        <v>34</v>
      </c>
      <c r="B38" s="2" t="str">
        <f>IFERROR(__xludf.DUMMYFUNCTION("""COMPUTED_VALUE"""),"*Le Pianiste*")</f>
        <v>*Le Pianiste*</v>
      </c>
      <c r="C38" s="2" t="str">
        <f>IFERROR(__xludf.DUMMYFUNCTION("""COMPUTED_VALUE"""),"Roman Polanski")</f>
        <v>Roman Polanski</v>
      </c>
      <c r="D38" s="2">
        <f>IFERROR(__xludf.DUMMYFUNCTION("""COMPUTED_VALUE"""),2002.0)</f>
        <v>2002</v>
      </c>
      <c r="E38" s="2" t="str">
        <f>IFERROR(__xludf.DUMMYFUNCTION("""COMPUTED_VALUE"""),"38 160 000 €")</f>
        <v>38 160 000 €</v>
      </c>
      <c r="F38" s="2"/>
    </row>
    <row r="39">
      <c r="A39" s="2">
        <f>IFERROR(__xludf.DUMMYFUNCTION("""COMPUTED_VALUE"""),35.0)</f>
        <v>35</v>
      </c>
      <c r="B39" s="2" t="str">
        <f>IFERROR(__xludf.DUMMYFUNCTION("""COMPUTED_VALUE"""),"*Taken 2*")</f>
        <v>*Taken 2*</v>
      </c>
      <c r="C39" s="2" t="str">
        <f>IFERROR(__xludf.DUMMYFUNCTION("""COMPUTED_VALUE"""),"Olivier Megaton")</f>
        <v>Olivier Megaton</v>
      </c>
      <c r="D39" s="2">
        <f>IFERROR(__xludf.DUMMYFUNCTION("""COMPUTED_VALUE"""),2012.0)</f>
        <v>2012</v>
      </c>
      <c r="E39" s="2" t="str">
        <f>IFERROR(__xludf.DUMMYFUNCTION("""COMPUTED_VALUE"""),"37 112 087 €")</f>
        <v>37 112 087 €</v>
      </c>
      <c r="F39" s="2"/>
    </row>
    <row r="40">
      <c r="A40" s="2">
        <f>IFERROR(__xludf.DUMMYFUNCTION("""COMPUTED_VALUE"""),36.0)</f>
        <v>36</v>
      </c>
      <c r="B40" s="2" t="str">
        <f>IFERROR(__xludf.DUMMYFUNCTION("""COMPUTED_VALUE"""),"*Pirates*")</f>
        <v>*Pirates*</v>
      </c>
      <c r="C40" s="2" t="str">
        <f>IFERROR(__xludf.DUMMYFUNCTION("""COMPUTED_VALUE"""),"Roman Polanski")</f>
        <v>Roman Polanski</v>
      </c>
      <c r="D40" s="2">
        <f>IFERROR(__xludf.DUMMYFUNCTION("""COMPUTED_VALUE"""),1986.0)</f>
        <v>1986</v>
      </c>
      <c r="E40" s="2" t="str">
        <f>IFERROR(__xludf.DUMMYFUNCTION("""COMPUTED_VALUE"""),"36 888 400 € (40 000 000 $)")</f>
        <v>36 888 400 € (40 000 000 $)</v>
      </c>
      <c r="F40" s="2"/>
    </row>
    <row r="41">
      <c r="A41" s="2">
        <f>IFERROR(__xludf.DUMMYFUNCTION("""COMPUTED_VALUE"""),37.0)</f>
        <v>37</v>
      </c>
      <c r="B41" s="2" t="str">
        <f>IFERROR(__xludf.DUMMYFUNCTION("""COMPUTED_VALUE"""),"*Les Trois Mousquetaires : Milady*")</f>
        <v>*Les Trois Mousquetaires : Milady*</v>
      </c>
      <c r="C41" s="2" t="str">
        <f>IFERROR(__xludf.DUMMYFUNCTION("""COMPUTED_VALUE"""),"Martin Bourboulon")</f>
        <v>Martin Bourboulon</v>
      </c>
      <c r="D41" s="2">
        <f>IFERROR(__xludf.DUMMYFUNCTION("""COMPUTED_VALUE"""),2023.0)</f>
        <v>2023</v>
      </c>
      <c r="E41" s="2" t="str">
        <f>IFERROR(__xludf.DUMMYFUNCTION("""COMPUTED_VALUE"""),"36 160 000 €[8],[9]")</f>
        <v>36 160 000 €[8],[9]</v>
      </c>
      <c r="F41" s="2"/>
    </row>
    <row r="42">
      <c r="A42" s="2">
        <f>IFERROR(__xludf.DUMMYFUNCTION("""COMPUTED_VALUE"""),38.0)</f>
        <v>38</v>
      </c>
      <c r="B42" s="2" t="str">
        <f>IFERROR(__xludf.DUMMYFUNCTION("""COMPUTED_VALUE"""),"*Blueberry, l'expérience secrète*")</f>
        <v>*Blueberry, l'expérience secrète*</v>
      </c>
      <c r="C42" s="2" t="str">
        <f>IFERROR(__xludf.DUMMYFUNCTION("""COMPUTED_VALUE"""),"Jan Kounen")</f>
        <v>Jan Kounen</v>
      </c>
      <c r="D42" s="2">
        <f>IFERROR(__xludf.DUMMYFUNCTION("""COMPUTED_VALUE"""),2004.0)</f>
        <v>2004</v>
      </c>
      <c r="E42" s="2" t="str">
        <f>IFERROR(__xludf.DUMMYFUNCTION("""COMPUTED_VALUE"""),"36 130 000 €")</f>
        <v>36 130 000 €</v>
      </c>
      <c r="F42" s="2"/>
    </row>
    <row r="43">
      <c r="A43" s="2">
        <f>IFERROR(__xludf.DUMMYFUNCTION("""COMPUTED_VALUE"""),39.0)</f>
        <v>39</v>
      </c>
      <c r="B43" s="2" t="str">
        <f>IFERROR(__xludf.DUMMYFUNCTION("""COMPUTED_VALUE"""),"*Les Trois Mousquetaires : D'Artagnan*")</f>
        <v>*Les Trois Mousquetaires : D'Artagnan*</v>
      </c>
      <c r="C43" s="2" t="str">
        <f>IFERROR(__xludf.DUMMYFUNCTION("""COMPUTED_VALUE"""),"Martin Bourboulon")</f>
        <v>Martin Bourboulon</v>
      </c>
      <c r="D43" s="2">
        <f>IFERROR(__xludf.DUMMYFUNCTION("""COMPUTED_VALUE"""),2023.0)</f>
        <v>2023</v>
      </c>
      <c r="E43" s="2" t="str">
        <f>IFERROR(__xludf.DUMMYFUNCTION("""COMPUTED_VALUE"""),"36 080 000 €[8],[9]")</f>
        <v>36 080 000 €[8],[9]</v>
      </c>
      <c r="F43" s="2"/>
    </row>
    <row r="44">
      <c r="A44" s="2">
        <f>IFERROR(__xludf.DUMMYFUNCTION("""COMPUTED_VALUE"""),40.0)</f>
        <v>40</v>
      </c>
      <c r="B44" s="2" t="str">
        <f>IFERROR(__xludf.DUMMYFUNCTION("""COMPUTED_VALUE"""),"*Resident Evil : Chapitre final*")</f>
        <v>*Resident Evil : Chapitre final*</v>
      </c>
      <c r="C44" s="2" t="str">
        <f>IFERROR(__xludf.DUMMYFUNCTION("""COMPUTED_VALUE"""),"Paul W. S. Anderson")</f>
        <v>Paul W. S. Anderson</v>
      </c>
      <c r="D44" s="2">
        <f>IFERROR(__xludf.DUMMYFUNCTION("""COMPUTED_VALUE"""),2016.0)</f>
        <v>2016</v>
      </c>
      <c r="E44" s="2" t="str">
        <f>IFERROR(__xludf.DUMMYFUNCTION("""COMPUTED_VALUE"""),"36 000 000 € (40 000 000 $)")</f>
        <v>36 000 000 € (40 000 000 $)</v>
      </c>
      <c r="F44" s="2"/>
    </row>
    <row r="45">
      <c r="A45" s="2">
        <f>IFERROR(__xludf.DUMMYFUNCTION("""COMPUTED_VALUE"""),41.0)</f>
        <v>41</v>
      </c>
      <c r="B45" s="2" t="str">
        <f>IFERROR(__xludf.DUMMYFUNCTION("""COMPUTED_VALUE"""),"*L'Amour ouf*")</f>
        <v>*L'Amour ouf*</v>
      </c>
      <c r="C45" s="2" t="str">
        <f>IFERROR(__xludf.DUMMYFUNCTION("""COMPUTED_VALUE"""),"Gilles Lellouche")</f>
        <v>Gilles Lellouche</v>
      </c>
      <c r="D45" s="2">
        <f>IFERROR(__xludf.DUMMYFUNCTION("""COMPUTED_VALUE"""),2024.0)</f>
        <v>2024</v>
      </c>
      <c r="E45" s="2" t="str">
        <f>IFERROR(__xludf.DUMMYFUNCTION("""COMPUTED_VALUE"""),"35 750 000 €[10]")</f>
        <v>35 750 000 €[10]</v>
      </c>
      <c r="F45" s="2"/>
    </row>
    <row r="46">
      <c r="A46" s="2">
        <f>IFERROR(__xludf.DUMMYFUNCTION("""COMPUTED_VALUE"""),42.0)</f>
        <v>42</v>
      </c>
      <c r="B46" s="2" t="str">
        <f>IFERROR(__xludf.DUMMYFUNCTION("""COMPUTED_VALUE"""),"*Les Bronzés 3*")</f>
        <v>*Les Bronzés 3*</v>
      </c>
      <c r="C46" s="2" t="str">
        <f>IFERROR(__xludf.DUMMYFUNCTION("""COMPUTED_VALUE"""),"Patrice Leconte")</f>
        <v>Patrice Leconte</v>
      </c>
      <c r="D46" s="2">
        <f>IFERROR(__xludf.DUMMYFUNCTION("""COMPUTED_VALUE"""),2006.0)</f>
        <v>2006</v>
      </c>
      <c r="E46" s="2" t="str">
        <f>IFERROR(__xludf.DUMMYFUNCTION("""COMPUTED_VALUE"""),"35 056 049 €")</f>
        <v>35 056 049 €</v>
      </c>
      <c r="F46" s="2"/>
    </row>
    <row r="47">
      <c r="A47" s="2">
        <f>IFERROR(__xludf.DUMMYFUNCTION("""COMPUTED_VALUE"""),43.0)</f>
        <v>43</v>
      </c>
      <c r="B47" s="2" t="str">
        <f>IFERROR(__xludf.DUMMYFUNCTION("""COMPUTED_VALUE"""),"*La Neuvième Porte*")</f>
        <v>*La Neuvième Porte*</v>
      </c>
      <c r="C47" s="2" t="str">
        <f>IFERROR(__xludf.DUMMYFUNCTION("""COMPUTED_VALUE"""),"Roman Polanski")</f>
        <v>Roman Polanski</v>
      </c>
      <c r="D47" s="2">
        <f>IFERROR(__xludf.DUMMYFUNCTION("""COMPUTED_VALUE"""),1999.0)</f>
        <v>1999</v>
      </c>
      <c r="E47" s="2" t="str">
        <f>IFERROR(__xludf.DUMMYFUNCTION("""COMPUTED_VALUE"""),"35 028 020 € (38 000 000 $)")</f>
        <v>35 028 020 € (38 000 000 $)</v>
      </c>
      <c r="F47" s="2"/>
    </row>
    <row r="48">
      <c r="A48" s="2">
        <f>IFERROR(__xludf.DUMMYFUNCTION("""COMPUTED_VALUE"""),44.0)</f>
        <v>44</v>
      </c>
      <c r="B48" s="2" t="str">
        <f>IFERROR(__xludf.DUMMYFUNCTION("""COMPUTED_VALUE"""),"*Les Frères Sisters*")</f>
        <v>*Les Frères Sisters*</v>
      </c>
      <c r="C48" s="2" t="str">
        <f>IFERROR(__xludf.DUMMYFUNCTION("""COMPUTED_VALUE"""),"Jacques Audiard")</f>
        <v>Jacques Audiard</v>
      </c>
      <c r="D48" s="2">
        <f>IFERROR(__xludf.DUMMYFUNCTION("""COMPUTED_VALUE"""),2018.0)</f>
        <v>2018</v>
      </c>
      <c r="E48" s="2" t="str">
        <f>IFERROR(__xludf.DUMMYFUNCTION("""COMPUTED_VALUE"""),"34 900 000 €[11] (38 000 000 $)[12]")</f>
        <v>34 900 000 €[11] (38 000 000 $)[12]</v>
      </c>
      <c r="F48" s="2"/>
    </row>
    <row r="49">
      <c r="A49" s="2">
        <f>IFERROR(__xludf.DUMMYFUNCTION("""COMPUTED_VALUE"""),45.0)</f>
        <v>45</v>
      </c>
      <c r="B49" s="2" t="str">
        <f>IFERROR(__xludf.DUMMYFUNCTION("""COMPUTED_VALUE"""),"*La Belle et la Bête*")</f>
        <v>*La Belle et la Bête*</v>
      </c>
      <c r="C49" s="2" t="str">
        <f>IFERROR(__xludf.DUMMYFUNCTION("""COMPUTED_VALUE"""),"Christophe Gans")</f>
        <v>Christophe Gans</v>
      </c>
      <c r="D49" s="2">
        <f>IFERROR(__xludf.DUMMYFUNCTION("""COMPUTED_VALUE"""),2014.0)</f>
        <v>2014</v>
      </c>
      <c r="E49" s="2" t="str">
        <f>IFERROR(__xludf.DUMMYFUNCTION("""COMPUTED_VALUE"""),"34 045 717 €")</f>
        <v>34 045 717 €</v>
      </c>
      <c r="F49" s="2"/>
    </row>
    <row r="50">
      <c r="A50" s="2">
        <f>IFERROR(__xludf.DUMMYFUNCTION("""COMPUTED_VALUE"""),46.0)</f>
        <v>46</v>
      </c>
      <c r="B50" s="2" t="str">
        <f>IFERROR(__xludf.DUMMYFUNCTION("""COMPUTED_VALUE"""),"*Danny the Dog*")</f>
        <v>*Danny the Dog*</v>
      </c>
      <c r="C50" s="2" t="str">
        <f>IFERROR(__xludf.DUMMYFUNCTION("""COMPUTED_VALUE"""),"Louis Leterrier")</f>
        <v>Louis Leterrier</v>
      </c>
      <c r="D50" s="2">
        <f>IFERROR(__xludf.DUMMYFUNCTION("""COMPUTED_VALUE"""),2005.0)</f>
        <v>2005</v>
      </c>
      <c r="E50" s="2" t="str">
        <f>IFERROR(__xludf.DUMMYFUNCTION("""COMPUTED_VALUE"""),"33 945 816 €")</f>
        <v>33 945 816 €</v>
      </c>
      <c r="F50" s="2"/>
    </row>
    <row r="51">
      <c r="A51" s="2">
        <f>IFERROR(__xludf.DUMMYFUNCTION("""COMPUTED_VALUE"""),47.0)</f>
        <v>47</v>
      </c>
      <c r="B51" s="2" t="str">
        <f>IFERROR(__xludf.DUMMYFUNCTION("""COMPUTED_VALUE"""),"*Le Dernier Loup*")</f>
        <v>*Le Dernier Loup*</v>
      </c>
      <c r="C51" s="2" t="str">
        <f>IFERROR(__xludf.DUMMYFUNCTION("""COMPUTED_VALUE"""),"Jean-Jacques Annaud")</f>
        <v>Jean-Jacques Annaud</v>
      </c>
      <c r="D51" s="2">
        <f>IFERROR(__xludf.DUMMYFUNCTION("""COMPUTED_VALUE"""),2015.0)</f>
        <v>2015</v>
      </c>
      <c r="E51" s="2" t="str">
        <f>IFERROR(__xludf.DUMMYFUNCTION("""COMPUTED_VALUE"""),"33 883 192 €")</f>
        <v>33 883 192 €</v>
      </c>
      <c r="F51" s="2"/>
    </row>
    <row r="52">
      <c r="A52" s="2">
        <f>IFERROR(__xludf.DUMMYFUNCTION("""COMPUTED_VALUE"""),48.0)</f>
        <v>48</v>
      </c>
      <c r="B52" s="2" t="str">
        <f>IFERROR(__xludf.DUMMYFUNCTION("""COMPUTED_VALUE"""),"*Astérix : Le Secret de la potion magique*")</f>
        <v>*Astérix : Le Secret de la potion magique*</v>
      </c>
      <c r="C52" s="2" t="str">
        <f>IFERROR(__xludf.DUMMYFUNCTION("""COMPUTED_VALUE"""),"Alexandre Astier et Louis Clichy")</f>
        <v>Alexandre Astier et Louis Clichy</v>
      </c>
      <c r="D52" s="2">
        <f>IFERROR(__xludf.DUMMYFUNCTION("""COMPUTED_VALUE"""),2018.0)</f>
        <v>2018</v>
      </c>
      <c r="E52" s="2" t="str">
        <f>IFERROR(__xludf.DUMMYFUNCTION("""COMPUTED_VALUE"""),"33 700 000 €[13],[11]")</f>
        <v>33 700 000 €[13],[11]</v>
      </c>
      <c r="F52" s="2"/>
    </row>
    <row r="53">
      <c r="A53" s="2">
        <f>IFERROR(__xludf.DUMMYFUNCTION("""COMPUTED_VALUE"""),49.0)</f>
        <v>49</v>
      </c>
      <c r="B53" s="2" t="str">
        <f>IFERROR(__xludf.DUMMYFUNCTION("""COMPUTED_VALUE"""),"*Mr. Nobody*")</f>
        <v>*Mr. Nobody*</v>
      </c>
      <c r="C53" s="2" t="str">
        <f>IFERROR(__xludf.DUMMYFUNCTION("""COMPUTED_VALUE"""),"Jaco Van Dormael")</f>
        <v>Jaco Van Dormael</v>
      </c>
      <c r="D53" s="2">
        <f>IFERROR(__xludf.DUMMYFUNCTION("""COMPUTED_VALUE"""),2009.0)</f>
        <v>2009</v>
      </c>
      <c r="E53" s="2" t="str">
        <f>IFERROR(__xludf.DUMMYFUNCTION("""COMPUTED_VALUE"""),"33 029 545 €")</f>
        <v>33 029 545 €</v>
      </c>
      <c r="F53" s="2"/>
    </row>
    <row r="54">
      <c r="A54" s="2">
        <f>IFERROR(__xludf.DUMMYFUNCTION("""COMPUTED_VALUE"""),50.0)</f>
        <v>50</v>
      </c>
      <c r="B54" s="2" t="str">
        <f>IFERROR(__xludf.DUMMYFUNCTION("""COMPUTED_VALUE"""),"*Raid Dingue*")</f>
        <v>*Raid Dingue*</v>
      </c>
      <c r="C54" s="2" t="str">
        <f>IFERROR(__xludf.DUMMYFUNCTION("""COMPUTED_VALUE"""),"Dany Boon")</f>
        <v>Dany Boon</v>
      </c>
      <c r="D54" s="2">
        <f>IFERROR(__xludf.DUMMYFUNCTION("""COMPUTED_VALUE"""),2017.0)</f>
        <v>2017</v>
      </c>
      <c r="E54" s="2" t="str">
        <f>IFERROR(__xludf.DUMMYFUNCTION("""COMPUTED_VALUE"""),"32 446 758 €")</f>
        <v>32 446 758 €</v>
      </c>
      <c r="F54" s="2"/>
    </row>
    <row r="55">
      <c r="A55" s="2">
        <f>IFERROR(__xludf.DUMMYFUNCTION("""COMPUTED_VALUE"""),51.0)</f>
        <v>51</v>
      </c>
      <c r="B55" s="2" t="str">
        <f>IFERROR(__xludf.DUMMYFUNCTION("""COMPUTED_VALUE"""),"*Colombiana*")</f>
        <v>*Colombiana*</v>
      </c>
      <c r="C55" s="2" t="str">
        <f>IFERROR(__xludf.DUMMYFUNCTION("""COMPUTED_VALUE"""),"Olivier Megaton")</f>
        <v>Olivier Megaton</v>
      </c>
      <c r="D55" s="2">
        <f>IFERROR(__xludf.DUMMYFUNCTION("""COMPUTED_VALUE"""),2011.0)</f>
        <v>2011</v>
      </c>
      <c r="E55" s="2" t="str">
        <f>IFERROR(__xludf.DUMMYFUNCTION("""COMPUTED_VALUE"""),"32 134 121 €")</f>
        <v>32 134 121 €</v>
      </c>
      <c r="F55" s="2"/>
    </row>
    <row r="56">
      <c r="A56" s="2">
        <f>IFERROR(__xludf.DUMMYFUNCTION("""COMPUTED_VALUE"""),52.0)</f>
        <v>52</v>
      </c>
      <c r="B56" s="2" t="str">
        <f>IFERROR(__xludf.DUMMYFUNCTION("""COMPUTED_VALUE"""),"*Le Pacte des loups*")</f>
        <v>*Le Pacte des loups*</v>
      </c>
      <c r="C56" s="2" t="str">
        <f>IFERROR(__xludf.DUMMYFUNCTION("""COMPUTED_VALUE"""),"Christophe Gans")</f>
        <v>Christophe Gans</v>
      </c>
      <c r="D56" s="2">
        <f>IFERROR(__xludf.DUMMYFUNCTION("""COMPUTED_VALUE"""),2001.0)</f>
        <v>2001</v>
      </c>
      <c r="E56" s="2" t="str">
        <f>IFERROR(__xludf.DUMMYFUNCTION("""COMPUTED_VALUE"""),"32 010 000 €")</f>
        <v>32 010 000 €</v>
      </c>
      <c r="F56" s="2"/>
    </row>
    <row r="57">
      <c r="A57" s="2">
        <f>IFERROR(__xludf.DUMMYFUNCTION("""COMPUTED_VALUE"""),53.0)</f>
        <v>53</v>
      </c>
      <c r="B57" s="2" t="str">
        <f>IFERROR(__xludf.DUMMYFUNCTION("""COMPUTED_VALUE"""),"*Les Aventures extraordinaires d'Adèle Blanc-Sec*")</f>
        <v>*Les Aventures extraordinaires d'Adèle Blanc-Sec*</v>
      </c>
      <c r="C57" s="2" t="str">
        <f>IFERROR(__xludf.DUMMYFUNCTION("""COMPUTED_VALUE"""),"Luc Besson")</f>
        <v>Luc Besson</v>
      </c>
      <c r="D57" s="2">
        <f>IFERROR(__xludf.DUMMYFUNCTION("""COMPUTED_VALUE"""),2010.0)</f>
        <v>2010</v>
      </c>
      <c r="E57" s="2" t="str">
        <f>IFERROR(__xludf.DUMMYFUNCTION("""COMPUTED_VALUE"""),"31 940 000 €")</f>
        <v>31 940 000 €</v>
      </c>
      <c r="F57" s="2"/>
    </row>
    <row r="58">
      <c r="A58" s="2">
        <f>IFERROR(__xludf.DUMMYFUNCTION("""COMPUTED_VALUE"""),54.0)</f>
        <v>54</v>
      </c>
      <c r="B58" s="2" t="str">
        <f>IFERROR(__xludf.DUMMYFUNCTION("""COMPUTED_VALUE"""),"*Pourquoi j'ai pas mangé mon père*")</f>
        <v>*Pourquoi j'ai pas mangé mon père*</v>
      </c>
      <c r="C58" s="2" t="str">
        <f>IFERROR(__xludf.DUMMYFUNCTION("""COMPUTED_VALUE"""),"Jamel Debbouze")</f>
        <v>Jamel Debbouze</v>
      </c>
      <c r="D58" s="2">
        <f>IFERROR(__xludf.DUMMYFUNCTION("""COMPUTED_VALUE"""),2015.0)</f>
        <v>2015</v>
      </c>
      <c r="E58" s="2" t="str">
        <f>IFERROR(__xludf.DUMMYFUNCTION("""COMPUTED_VALUE"""),"31 797 563 €")</f>
        <v>31 797 563 €</v>
      </c>
      <c r="F58" s="2"/>
    </row>
    <row r="59">
      <c r="A59" s="2">
        <f>IFERROR(__xludf.DUMMYFUNCTION("""COMPUTED_VALUE"""),55.0)</f>
        <v>55</v>
      </c>
      <c r="B59" s="2" t="str">
        <f>IFERROR(__xludf.DUMMYFUNCTION("""COMPUTED_VALUE"""),"*Supercondriaque*")</f>
        <v>*Supercondriaque*</v>
      </c>
      <c r="C59" s="2" t="str">
        <f>IFERROR(__xludf.DUMMYFUNCTION("""COMPUTED_VALUE"""),"Dany Boon")</f>
        <v>Dany Boon</v>
      </c>
      <c r="D59" s="2">
        <f>IFERROR(__xludf.DUMMYFUNCTION("""COMPUTED_VALUE"""),2014.0)</f>
        <v>2014</v>
      </c>
      <c r="E59" s="2" t="str">
        <f>IFERROR(__xludf.DUMMYFUNCTION("""COMPUTED_VALUE"""),"31 680 587 €")</f>
        <v>31 680 587 €</v>
      </c>
      <c r="F59" s="2"/>
    </row>
    <row r="60">
      <c r="A60" s="2">
        <f>IFERROR(__xludf.DUMMYFUNCTION("""COMPUTED_VALUE"""),56.0)</f>
        <v>56</v>
      </c>
      <c r="B60" s="2" t="str">
        <f>IFERROR(__xludf.DUMMYFUNCTION("""COMPUTED_VALUE"""),"*Notre-Dame brûle*")</f>
        <v>*Notre-Dame brûle*</v>
      </c>
      <c r="C60" s="2" t="str">
        <f>IFERROR(__xludf.DUMMYFUNCTION("""COMPUTED_VALUE"""),"Jean-Jacques Annaud")</f>
        <v>Jean-Jacques Annaud</v>
      </c>
      <c r="D60" s="2">
        <f>IFERROR(__xludf.DUMMYFUNCTION("""COMPUTED_VALUE"""),2022.0)</f>
        <v>2022</v>
      </c>
      <c r="E60" s="2" t="str">
        <f>IFERROR(__xludf.DUMMYFUNCTION("""COMPUTED_VALUE"""),"31 530 000 €[8]")</f>
        <v>31 530 000 €[8]</v>
      </c>
      <c r="F60" s="2"/>
    </row>
    <row r="61">
      <c r="A61" s="2">
        <f>IFERROR(__xludf.DUMMYFUNCTION("""COMPUTED_VALUE"""),57.0)</f>
        <v>57</v>
      </c>
      <c r="B61" s="2" t="str">
        <f>IFERROR(__xludf.DUMMYFUNCTION("""COMPUTED_VALUE"""),"*Astérix : Le Domaine des dieux*")</f>
        <v>*Astérix : Le Domaine des dieux*</v>
      </c>
      <c r="C61" s="2" t="str">
        <f>IFERROR(__xludf.DUMMYFUNCTION("""COMPUTED_VALUE"""),"Alexandre Astier et Louis Clichy")</f>
        <v>Alexandre Astier et Louis Clichy</v>
      </c>
      <c r="D61" s="2">
        <f>IFERROR(__xludf.DUMMYFUNCTION("""COMPUTED_VALUE"""),2014.0)</f>
        <v>2014</v>
      </c>
      <c r="E61" s="2" t="str">
        <f>IFERROR(__xludf.DUMMYFUNCTION("""COMPUTED_VALUE"""),"31 031 499 €")</f>
        <v>31 031 499 €</v>
      </c>
      <c r="F61" s="2"/>
    </row>
    <row r="62">
      <c r="A62" s="2">
        <f>IFERROR(__xludf.DUMMYFUNCTION("""COMPUTED_VALUE"""),58.0)</f>
        <v>58</v>
      </c>
      <c r="B62" s="2" t="str">
        <f>IFERROR(__xludf.DUMMYFUNCTION("""COMPUTED_VALUE"""),"*Sa Majesté Minor*")</f>
        <v>*Sa Majesté Minor*</v>
      </c>
      <c r="C62" s="2" t="str">
        <f>IFERROR(__xludf.DUMMYFUNCTION("""COMPUTED_VALUE"""),"Jean-Jacques Annaud")</f>
        <v>Jean-Jacques Annaud</v>
      </c>
      <c r="D62" s="2">
        <f>IFERROR(__xludf.DUMMYFUNCTION("""COMPUTED_VALUE"""),2007.0)</f>
        <v>2007</v>
      </c>
      <c r="E62" s="2" t="str">
        <f>IFERROR(__xludf.DUMMYFUNCTION("""COMPUTED_VALUE"""),"30 426 270 €")</f>
        <v>30 426 270 €</v>
      </c>
      <c r="F62" s="2"/>
    </row>
    <row r="63">
      <c r="A63" s="2">
        <f>IFERROR(__xludf.DUMMYFUNCTION("""COMPUTED_VALUE"""),59.0)</f>
        <v>59</v>
      </c>
      <c r="B63" s="2" t="str">
        <f>IFERROR(__xludf.DUMMYFUNCTION("""COMPUTED_VALUE"""),"*Resident Evil*")</f>
        <v>*Resident Evil*</v>
      </c>
      <c r="C63" s="2" t="str">
        <f>IFERROR(__xludf.DUMMYFUNCTION("""COMPUTED_VALUE"""),"Paul W. S. Anderson")</f>
        <v>Paul W. S. Anderson</v>
      </c>
      <c r="D63" s="2">
        <f>IFERROR(__xludf.DUMMYFUNCTION("""COMPUTED_VALUE"""),2002.0)</f>
        <v>2002</v>
      </c>
      <c r="E63" s="2" t="str">
        <f>IFERROR(__xludf.DUMMYFUNCTION("""COMPUTED_VALUE"""),"30 000 000 € (33 000 000 $)")</f>
        <v>30 000 000 € (33 000 000 $)</v>
      </c>
      <c r="F63" s="2"/>
    </row>
    <row r="64">
      <c r="A64" s="2"/>
      <c r="B64" s="2" t="str">
        <f>IFERROR(__xludf.DUMMYFUNCTION("""COMPUTED_VALUE"""),"*Malavita*")</f>
        <v>*Malavita*</v>
      </c>
      <c r="C64" s="2" t="str">
        <f>IFERROR(__xludf.DUMMYFUNCTION("""COMPUTED_VALUE"""),"Luc Besson")</f>
        <v>Luc Besson</v>
      </c>
      <c r="D64" s="2">
        <f>IFERROR(__xludf.DUMMYFUNCTION("""COMPUTED_VALUE"""),2013.0)</f>
        <v>2013</v>
      </c>
      <c r="E64" s="2" t="str">
        <f>IFERROR(__xludf.DUMMYFUNCTION("""COMPUTED_VALUE"""),"30 000 000 €")</f>
        <v>30 000 000 €</v>
      </c>
      <c r="F64" s="2"/>
    </row>
    <row r="65">
      <c r="A65" s="2"/>
      <c r="B65" s="2" t="str">
        <f>IFERROR(__xludf.DUMMYFUNCTION("""COMPUTED_VALUE"""),"*Anna*")</f>
        <v>*Anna*</v>
      </c>
      <c r="C65" s="2" t="str">
        <f>IFERROR(__xludf.DUMMYFUNCTION("""COMPUTED_VALUE"""),"Luc Besson")</f>
        <v>Luc Besson</v>
      </c>
      <c r="D65" s="2">
        <f>IFERROR(__xludf.DUMMYFUNCTION("""COMPUTED_VALUE"""),2019.0)</f>
        <v>2019</v>
      </c>
      <c r="E65" s="2" t="str">
        <f>IFERROR(__xludf.DUMMYFUNCTION("""COMPUTED_VALUE"""),"30 000 000 €[14],[15],[16]")</f>
        <v>30 000 000 €[14],[15],[16]</v>
      </c>
      <c r="F65" s="2"/>
    </row>
  </sheetData>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tr">
        <f>IFERROR(__xludf.DUMMYFUNCTION("IMPORTHTML(""https://fr.wikipedia.org/wiki/Liste_de_territoires_contest%C3%A9s"",""table"",1)"),"Territoire")</f>
        <v>Territoire</v>
      </c>
      <c r="B1" s="2" t="str">
        <f>IFERROR(__xludf.DUMMYFUNCTION("""COMPUTED_VALUE"""),"Revendication")</f>
        <v>Revendication</v>
      </c>
      <c r="C1" s="2" t="str">
        <f>IFERROR(__xludf.DUMMYFUNCTION("""COMPUTED_VALUE"""),"Notes")</f>
        <v>Notes</v>
      </c>
    </row>
    <row r="2">
      <c r="A2" s="2" t="str">
        <f>IFERROR(__xludf.DUMMYFUNCTION("""COMPUTED_VALUE"""),"Lac Albert")</f>
        <v>Lac Albert</v>
      </c>
      <c r="B2" s="2" t="str">
        <f>IFERROR(__xludf.DUMMYFUNCTION("""COMPUTED_VALUE"""),"République démocratique du Congo
Ouganda")</f>
        <v>République démocratique du Congo
Ouganda</v>
      </c>
      <c r="C2" s="2" t="str">
        <f>IFERROR(__xludf.DUMMYFUNCTION("""COMPUTED_VALUE"""),"Litige frontalier au niveau du district de Mahagi sur les rives nord-ouest 
du Lac Albert. Le conflit est amplifié par la présence d'un gisement de 
pétrole important[1].")</f>
        <v>Litige frontalier au niveau du district de Mahagi sur les rives nord-ouest 
du Lac Albert. Le conflit est amplifié par la présence d'un gisement de 
pétrole important[1].</v>
      </c>
    </row>
    <row r="3">
      <c r="A3" s="2" t="str">
        <f>IFERROR(__xludf.DUMMYFUNCTION("""COMPUTED_VALUE"""),"Alborán")</f>
        <v>Alborán</v>
      </c>
      <c r="B3" s="2" t="str">
        <f>IFERROR(__xludf.DUMMYFUNCTION("""COMPUTED_VALUE"""),"Espagne
Maroc")</f>
        <v>Espagne
Maroc</v>
      </c>
      <c r="C3" s="2" t="str">
        <f>IFERROR(__xludf.DUMMYFUNCTION("""COMPUTED_VALUE"""),"Île de Méditerranée occidentale située à 57 km des côtes marocaines et à 84 
km des côtes espagnoles, sous contrôle de l'Espagne et revendiquée par le 
Maroc.")</f>
        <v>Île de Méditerranée occidentale située à 57 km des côtes marocaines et à 84 
km des côtes espagnoles, sous contrôle de l'Espagne et revendiquée par le 
Maroc.</v>
      </c>
    </row>
    <row r="4">
      <c r="A4" s="2" t="str">
        <f>IFERROR(__xludf.DUMMYFUNCTION("""COMPUTED_VALUE"""),"Ceuta et Melilla")</f>
        <v>Ceuta et Melilla</v>
      </c>
      <c r="B4" s="2" t="str">
        <f>IFERROR(__xludf.DUMMYFUNCTION("""COMPUTED_VALUE"""),"Espagne
Maroc")</f>
        <v>Espagne
Maroc</v>
      </c>
      <c r="C4" s="2" t="str">
        <f>IFERROR(__xludf.DUMMYFUNCTION("""COMPUTED_VALUE"""),"Enclaves espagnoles revendiquées par le Maroc qui l'entoure.")</f>
        <v>Enclaves espagnoles revendiquées par le Maroc qui l'entoure.</v>
      </c>
    </row>
    <row r="5">
      <c r="A5" s="2" t="str">
        <f>IFERROR(__xludf.DUMMYFUNCTION("""COMPUTED_VALUE"""),"Îles Chafarinas ou Zaffarines")</f>
        <v>Îles Chafarinas ou Zaffarines</v>
      </c>
      <c r="B5" s="2" t="str">
        <f>IFERROR(__xludf.DUMMYFUNCTION("""COMPUTED_VALUE"""),"Espagne
Maroc")</f>
        <v>Espagne
Maroc</v>
      </c>
      <c r="C5" s="20" t="str">
        <f>IFERROR(__xludf.DUMMYFUNCTION("""COMPUTED_VALUE"""),"Groupe d'îles comprenant les îles du Congrès, Isabelle II et du Roi sous 
contrôle de l'Espagne, à 3,5 km au large du Maroc, qui les revendique.")</f>
        <v>Groupe d'îles comprenant les îles du Congrès, Isabelle II et du Roi sous 
contrôle de l'Espagne, à 3,5 km au large du Maroc, qui les revendique.</v>
      </c>
      <c r="D5" s="20"/>
      <c r="E5" s="20"/>
      <c r="F5" s="20"/>
      <c r="G5" s="20"/>
      <c r="H5" s="21"/>
    </row>
    <row r="6">
      <c r="A6" s="2" t="str">
        <f>IFERROR(__xludf.DUMMYFUNCTION("""COMPUTED_VALUE"""),"Persil ou Leïla")</f>
        <v>Persil ou Leïla</v>
      </c>
      <c r="B6" s="2" t="str">
        <f>IFERROR(__xludf.DUMMYFUNCTION("""COMPUTED_VALUE"""),"Espagne
Maroc")</f>
        <v>Espagne
Maroc</v>
      </c>
      <c r="C6" s="20" t="str">
        <f>IFERROR(__xludf.DUMMYFUNCTION("""COMPUTED_VALUE"""),"Îlot inhabité, à 200 m des côtes marocaines, revendiqué par le Maroc et 
l'Espagne. Cet îlot est à l'origine de la crise de l'îlot Persil ou Leïla 
de 2002 entre les deux royaumes.")</f>
        <v>Îlot inhabité, à 200 m des côtes marocaines, revendiqué par le Maroc et 
l'Espagne. Cet îlot est à l'origine de la crise de l'îlot Persil ou Leïla 
de 2002 entre les deux royaumes.</v>
      </c>
      <c r="D6" s="20"/>
      <c r="E6" s="20"/>
      <c r="F6" s="20"/>
      <c r="G6" s="20"/>
      <c r="H6" s="21"/>
      <c r="J6" s="21"/>
    </row>
    <row r="7">
      <c r="A7" s="2" t="str">
        <f>IFERROR(__xludf.DUMMYFUNCTION("""COMPUTED_VALUE"""),"Peñón de Vélez de la Gomera ou Rocher Badis")</f>
        <v>Peñón de Vélez de la Gomera ou Rocher Badis</v>
      </c>
      <c r="B7" s="2" t="str">
        <f>IFERROR(__xludf.DUMMYFUNCTION("""COMPUTED_VALUE"""),"Espagne
Maroc")</f>
        <v>Espagne
Maroc</v>
      </c>
      <c r="C7" s="22" t="str">
        <f>IFERROR(__xludf.DUMMYFUNCTION("""COMPUTED_VALUE"""),"Presqu'île située la côte nord-africaine sous contrôle espagnol et 
revendiquée par le Maroc. La frontière entre le rocher et le Royaume du 
Maroc est la plus petite frontière terrestre du monde.")</f>
        <v>Presqu'île située la côte nord-africaine sous contrôle espagnol et 
revendiquée par le Maroc. La frontière entre le rocher et le Royaume du 
Maroc est la plus petite frontière terrestre du monde.</v>
      </c>
      <c r="D7" s="20"/>
      <c r="E7" s="20"/>
      <c r="F7" s="20"/>
      <c r="G7" s="20"/>
      <c r="J7" s="21"/>
    </row>
    <row r="8">
      <c r="A8" s="2" t="str">
        <f>IFERROR(__xludf.DUMMYFUNCTION("""COMPUTED_VALUE"""),"Îles Alhucemas")</f>
        <v>Îles Alhucemas</v>
      </c>
      <c r="B8" s="2" t="str">
        <f>IFERROR(__xludf.DUMMYFUNCTION("""COMPUTED_VALUE"""),"Espagne
Maroc")</f>
        <v>Espagne
Maroc</v>
      </c>
      <c r="C8" s="22" t="str">
        <f>IFERROR(__xludf.DUMMYFUNCTION("""COMPUTED_VALUE"""),"Archipel, comprenant le Peñón de Alhucemas, l'isla de Tierra et l'isla de 
Mar, sous contrôle de l'Espagne, situés à une dizaine de mètres du Maroc, 
qui le revendique.")</f>
        <v>Archipel, comprenant le Peñón de Alhucemas, l'isla de Tierra et l'isla de 
Mar, sous contrôle de l'Espagne, situés à une dizaine de mètres du Maroc, 
qui le revendique.</v>
      </c>
      <c r="D8" s="20"/>
      <c r="E8" s="20"/>
      <c r="F8" s="20"/>
      <c r="G8" s="20"/>
    </row>
    <row r="9">
      <c r="A9" s="2" t="str">
        <f>IFERROR(__xludf.DUMMYFUNCTION("""COMPUTED_VALUE"""),"Îles Glorieuses")</f>
        <v>Îles Glorieuses</v>
      </c>
      <c r="B9" s="2" t="str">
        <f>IFERROR(__xludf.DUMMYFUNCTION("""COMPUTED_VALUE"""),"France
Madagascar
Comores")</f>
        <v>France
Madagascar
Comores</v>
      </c>
      <c r="C9" s="22" t="str">
        <f>IFERROR(__xludf.DUMMYFUNCTION("""COMPUTED_VALUE"""),"Archipel de l'Océan Indien, sous contrôle de la France comme partie des îles 
Éparses, revendiquée par la République malgache et par l'Union des Comores.")</f>
        <v>Archipel de l'Océan Indien, sous contrôle de la France comme partie des îles 
Éparses, revendiquée par la République malgache et par l'Union des Comores.</v>
      </c>
      <c r="D9" s="20"/>
      <c r="E9" s="20"/>
      <c r="F9" s="20"/>
      <c r="G9" s="20"/>
    </row>
    <row r="10">
      <c r="A10" s="2" t="str">
        <f>IFERROR(__xludf.DUMMYFUNCTION("""COMPUTED_VALUE"""),"Bassas da India")</f>
        <v>Bassas da India</v>
      </c>
      <c r="B10" s="2" t="str">
        <f>IFERROR(__xludf.DUMMYFUNCTION("""COMPUTED_VALUE"""),"France
Madagascar")</f>
        <v>France
Madagascar</v>
      </c>
      <c r="C10" s="22" t="str">
        <f>IFERROR(__xludf.DUMMYFUNCTION("""COMPUTED_VALUE"""),"Île de l'Océan Indien, sous contrôle de la France comme partie des îles 
Éparses, revendiquée par la République malgache.")</f>
        <v>Île de l'Océan Indien, sous contrôle de la France comme partie des îles 
Éparses, revendiquée par la République malgache.</v>
      </c>
      <c r="D10" s="20"/>
      <c r="E10" s="20"/>
      <c r="F10" s="20"/>
      <c r="G10" s="20"/>
    </row>
    <row r="11">
      <c r="A11" s="2" t="str">
        <f>IFERROR(__xludf.DUMMYFUNCTION("""COMPUTED_VALUE"""),"Île Europa")</f>
        <v>Île Europa</v>
      </c>
      <c r="B11" s="2"/>
      <c r="C11" s="20"/>
      <c r="D11" s="20"/>
      <c r="E11" s="20"/>
      <c r="F11" s="20"/>
      <c r="G11" s="20"/>
    </row>
    <row r="12">
      <c r="A12" s="2" t="str">
        <f>IFERROR(__xludf.DUMMYFUNCTION("""COMPUTED_VALUE"""),"Îles Juan de Nova")</f>
        <v>Îles Juan de Nova</v>
      </c>
      <c r="B12" s="2"/>
      <c r="C12" s="20"/>
      <c r="D12" s="22"/>
      <c r="E12" s="20"/>
      <c r="F12" s="20"/>
      <c r="G12" s="20"/>
    </row>
    <row r="13">
      <c r="A13" s="2" t="str">
        <f>IFERROR(__xludf.DUMMYFUNCTION("""COMPUTED_VALUE"""),"Bir Tawil")</f>
        <v>Bir Tawil</v>
      </c>
      <c r="B13" s="2" t="str">
        <f>IFERROR(__xludf.DUMMYFUNCTION("""COMPUTED_VALUE"""),"Aucune")</f>
        <v>Aucune</v>
      </c>
      <c r="C13" s="20" t="str">
        <f>IFERROR(__xludf.DUMMYFUNCTION("""COMPUTED_VALUE"""),"Zone hors souveraineté entre l'Égypte et le Soudan, modeste face au 
territoire du Triangle de Hala'ib sur la Mer Rouge (contrôlé par l'Égypte 
et revendiqué par le Soudan) : pour l'Égypte, occuper Bir Tawil serait 
reconnaître les revendications soudanai"&amp;"ses sur Halaïb, et pour le Soudan, 
Bir Tawil est un territoire égyptien du moment que Halaïb est soudanais.")</f>
        <v>Zone hors souveraineté entre l'Égypte et le Soudan, modeste face au 
territoire du Triangle de Hala'ib sur la Mer Rouge (contrôlé par l'Égypte 
et revendiqué par le Soudan) : pour l'Égypte, occuper Bir Tawil serait 
reconnaître les revendications soudanaises sur Halaïb, et pour le Soudan, 
Bir Tawil est un territoire égyptien du moment que Halaïb est soudanais.</v>
      </c>
      <c r="D13" s="20"/>
      <c r="E13" s="20"/>
      <c r="F13" s="20"/>
      <c r="G13" s="20"/>
    </row>
    <row r="14">
      <c r="A14" s="2" t="str">
        <f>IFERROR(__xludf.DUMMYFUNCTION("""COMPUTED_VALUE"""),"Triangle d'Hala'ib")</f>
        <v>Triangle d'Hala'ib</v>
      </c>
      <c r="B14" s="2" t="str">
        <f>IFERROR(__xludf.DUMMYFUNCTION("""COMPUTED_VALUE"""),"Égypte
Soudan")</f>
        <v>Égypte
Soudan</v>
      </c>
      <c r="C14" s="2" t="str">
        <f>IFERROR(__xludf.DUMMYFUNCTION("""COMPUTED_VALUE"""),"Zone contrôlée par l'Égypte depuis 2000, revendiquée par le Soudan, sur la 
côte de la mer Rouge.")</f>
        <v>Zone contrôlée par l'Égypte depuis 2000, revendiquée par le Soudan, sur la 
côte de la mer Rouge.</v>
      </c>
    </row>
    <row r="15">
      <c r="A15" s="2" t="str">
        <f>IFERROR(__xludf.DUMMYFUNCTION("""COMPUTED_VALUE"""),"Corisco (également appelé Mandij)")</f>
        <v>Corisco (également appelé Mandij)</v>
      </c>
      <c r="B15" s="2" t="str">
        <f>IFERROR(__xludf.DUMMYFUNCTION("""COMPUTED_VALUE"""),"Guinée équatoriale
Gabon")</f>
        <v>Guinée équatoriale
Gabon</v>
      </c>
      <c r="C15" s="2" t="str">
        <f>IFERROR(__xludf.DUMMYFUNCTION("""COMPUTED_VALUE"""),"Territoire sous contrôle de la Guinée équatoriale, revendiqué par le Gabon.")</f>
        <v>Territoire sous contrôle de la Guinée équatoriale, revendiqué par le Gabon.</v>
      </c>
    </row>
    <row r="16">
      <c r="A16" s="2" t="str">
        <f>IFERROR(__xludf.DUMMYFUNCTION("""COMPUTED_VALUE"""),"Mbanié")</f>
        <v>Mbanié</v>
      </c>
      <c r="B16" s="2" t="str">
        <f>IFERROR(__xludf.DUMMYFUNCTION("""COMPUTED_VALUE"""),"Gabon
Guinée équatoriale")</f>
        <v>Gabon
Guinée équatoriale</v>
      </c>
      <c r="C16" s="2" t="str">
        <f>IFERROR(__xludf.DUMMYFUNCTION("""COMPUTED_VALUE"""),"Île sous contrôle du Gabon, revendiquée par la Guinée équatoriale, ainsi 
que les îlots voisins de Conga et des Cocotiers[2].")</f>
        <v>Île sous contrôle du Gabon, revendiquée par la Guinée équatoriale, ainsi 
que les îlots voisins de Conga et des Cocotiers[2].</v>
      </c>
    </row>
    <row r="17">
      <c r="A17" s="2" t="str">
        <f>IFERROR(__xludf.DUMMYFUNCTION("""COMPUTED_VALUE"""),"Frontière entre la Côte d'Ivoire et le Ghana")</f>
        <v>Frontière entre la Côte d'Ivoire et le Ghana</v>
      </c>
      <c r="B17" s="2" t="str">
        <f>IFERROR(__xludf.DUMMYFUNCTION("""COMPUTED_VALUE"""),"Ghana
Côte d'Ivoire")</f>
        <v>Ghana
Côte d'Ivoire</v>
      </c>
      <c r="C17" s="2" t="str">
        <f>IFERROR(__xludf.DUMMYFUNCTION("""COMPUTED_VALUE"""),"Litige concernant le tracé de la frontière maritime envenimé par 
l'existence de réserves d'hydrocarbure exploitées par le Ghana[3].")</f>
        <v>Litige concernant le tracé de la frontière maritime envenimé par 
l'existence de réserves d'hydrocarbure exploitées par le Ghana[3].</v>
      </c>
    </row>
    <row r="18">
      <c r="A18" s="2" t="str">
        <f>IFERROR(__xludf.DUMMYFUNCTION("""COMPUTED_VALUE"""),"Zone pétrolière de Heglig")</f>
        <v>Zone pétrolière de Heglig</v>
      </c>
      <c r="B18" s="2" t="str">
        <f>IFERROR(__xludf.DUMMYFUNCTION("""COMPUTED_VALUE"""),"Soudan
Soudan du Sud")</f>
        <v>Soudan
Soudan du Sud</v>
      </c>
      <c r="C18" s="2"/>
    </row>
    <row r="19">
      <c r="A19" s="2" t="str">
        <f>IFERROR(__xludf.DUMMYFUNCTION("""COMPUTED_VALUE"""),"KaNgwane")</f>
        <v>KaNgwane</v>
      </c>
      <c r="B19" s="2" t="str">
        <f>IFERROR(__xludf.DUMMYFUNCTION("""COMPUTED_VALUE"""),"Afrique du Sud
Eswatini")</f>
        <v>Afrique du Sud
Eswatini</v>
      </c>
      <c r="C19" s="2" t="str">
        <f>IFERROR(__xludf.DUMMYFUNCTION("""COMPUTED_VALUE"""),"Territoire sud-africain, revendiqué par l'Eswatini[4].")</f>
        <v>Territoire sud-africain, revendiqué par l'Eswatini[4].</v>
      </c>
    </row>
    <row r="20">
      <c r="A20" s="2" t="str">
        <f>IFERROR(__xludf.DUMMYFUNCTION("""COMPUTED_VALUE"""),"Kimba (Ituri)")</f>
        <v>Kimba (Ituri)</v>
      </c>
      <c r="B20" s="2" t="str">
        <f>IFERROR(__xludf.DUMMYFUNCTION("""COMPUTED_VALUE"""),"Soudan du Sud
République démocratique du Congo")</f>
        <v>Soudan du Sud
République démocratique du Congo</v>
      </c>
      <c r="C20" s="2" t="str">
        <f>IFERROR(__xludf.DUMMYFUNCTION("""COMPUTED_VALUE"""),"Village de l'Ituri sous contrôle du Soudan du Sud, revendiqué par la 
république démocratique du Congo[5].")</f>
        <v>Village de l'Ituri sous contrôle du Soudan du Sud, revendiqué par la 
république démocratique du Congo[5].</v>
      </c>
    </row>
    <row r="21">
      <c r="A21" s="2" t="str">
        <f>IFERROR(__xludf.DUMMYFUNCTION("""COMPUTED_VALUE"""),"Koalou")</f>
        <v>Koalou</v>
      </c>
      <c r="B21" s="2" t="str">
        <f>IFERROR(__xludf.DUMMYFUNCTION("""COMPUTED_VALUE"""),"Bénin
Burkina Faso")</f>
        <v>Bénin
Burkina Faso</v>
      </c>
      <c r="C21" s="2" t="str">
        <f>IFERROR(__xludf.DUMMYFUNCTION("""COMPUTED_VALUE"""),"Village sous contrôle du Bénin, revendiqué par le Burkina Faso. Le litige 
est en cours de jugement à la CIJ[6].")</f>
        <v>Village sous contrôle du Bénin, revendiqué par le Burkina Faso. Le litige 
est en cours de jugement à la CIJ[6].</v>
      </c>
    </row>
    <row r="22">
      <c r="A22" s="2" t="str">
        <f>IFERROR(__xludf.DUMMYFUNCTION("""COMPUTED_VALUE"""),"Mayotte")</f>
        <v>Mayotte</v>
      </c>
      <c r="B22" s="2" t="str">
        <f>IFERROR(__xludf.DUMMYFUNCTION("""COMPUTED_VALUE"""),"France
Comores")</f>
        <v>France
Comores</v>
      </c>
      <c r="C22" s="2" t="str">
        <f>IFERROR(__xludf.DUMMYFUNCTION("""COMPUTED_VALUE"""),"Île française, département d'outre-mer, revendiquée par la république des 
Comores.")</f>
        <v>Île française, département d'outre-mer, revendiquée par la république des 
Comores.</v>
      </c>
    </row>
    <row r="23">
      <c r="A23" s="2" t="str">
        <f>IFERROR(__xludf.DUMMYFUNCTION("""COMPUTED_VALUE"""),"Migingo")</f>
        <v>Migingo</v>
      </c>
      <c r="B23" s="2" t="str">
        <f>IFERROR(__xludf.DUMMYFUNCTION("""COMPUTED_VALUE"""),"Kenya
Ouganda")</f>
        <v>Kenya
Ouganda</v>
      </c>
      <c r="C23" s="2" t="str">
        <f>IFERROR(__xludf.DUMMYFUNCTION("""COMPUTED_VALUE"""),"Îlot du Lac Victoria dont la souveraineté est revendiquée par le Kenya et 
l'Ouganda.")</f>
        <v>Îlot du Lac Victoria dont la souveraineté est revendiquée par le Kenya et 
l'Ouganda.</v>
      </c>
    </row>
    <row r="24">
      <c r="A24" s="2" t="str">
        <f>IFERROR(__xludf.DUMMYFUNCTION("""COMPUTED_VALUE"""),"Ogaden")</f>
        <v>Ogaden</v>
      </c>
      <c r="B24" s="2" t="str">
        <f>IFERROR(__xludf.DUMMYFUNCTION("""COMPUTED_VALUE"""),"Éthiopie
Somalie")</f>
        <v>Éthiopie
Somalie</v>
      </c>
      <c r="C24" s="2" t="str">
        <f>IFERROR(__xludf.DUMMYFUNCTION("""COMPUTED_VALUE"""),"Région sous contrôle de l'Éthiopie depuis 1881, revendiquée par les 
Tribunaux Islamiques de Somalie. Ils revendiquent également les territoires 
méridionaux de Djibouti et orientaux du Kenya, peuplés comme l'Ogaden par 
l'ethnie somali, afin de former la"&amp;" Grande Somalie.")</f>
        <v>Région sous contrôle de l'Éthiopie depuis 1881, revendiquée par les 
Tribunaux Islamiques de Somalie. Ils revendiquent également les territoires 
méridionaux de Djibouti et orientaux du Kenya, peuplés comme l'Ogaden par 
l'ethnie somali, afin de former la Grande Somalie.</v>
      </c>
    </row>
    <row r="25">
      <c r="A25" s="2" t="str">
        <f>IFERROR(__xludf.DUMMYFUNCTION("""COMPUTED_VALUE"""),"Douméra")</f>
        <v>Douméra</v>
      </c>
      <c r="B25" s="2" t="str">
        <f>IFERROR(__xludf.DUMMYFUNCTION("""COMPUTED_VALUE"""),"Érythrée
Djibouti")</f>
        <v>Érythrée
Djibouti</v>
      </c>
      <c r="C25" s="2" t="str">
        <f>IFERROR(__xludf.DUMMYFUNCTION("""COMPUTED_VALUE"""),"Territoire sous contrôle de l'Érythrée, revendiqué par Djibouti, auquel la 
communauté internationale reconnaît les droits de souveraineté.")</f>
        <v>Territoire sous contrôle de l'Érythrée, revendiqué par Djibouti, auquel la 
communauté internationale reconnaît les droits de souveraineté.</v>
      </c>
    </row>
    <row r="26">
      <c r="A26" s="2" t="str">
        <f>IFERROR(__xludf.DUMMYFUNCTION("""COMPUTED_VALUE"""),"Triangle d'Ilemi")</f>
        <v>Triangle d'Ilemi</v>
      </c>
      <c r="B26" s="2" t="str">
        <f>IFERROR(__xludf.DUMMYFUNCTION("""COMPUTED_VALUE"""),"Kenya
Éthiopie
Soudan du Sud")</f>
        <v>Kenya
Éthiopie
Soudan du Sud</v>
      </c>
      <c r="C26" s="2" t="str">
        <f>IFERROR(__xludf.DUMMYFUNCTION("""COMPUTED_VALUE"""),"Région sous contrôle du Kenya, revendiquée par l'Éthiopie et le Soudan du 
Sud.")</f>
        <v>Région sous contrôle du Kenya, revendiquée par l'Éthiopie et le Soudan du 
Sud.</v>
      </c>
    </row>
    <row r="27">
      <c r="A27" s="2" t="str">
        <f>IFERROR(__xludf.DUMMYFUNCTION("""COMPUTED_VALUE"""),"Tromelin")</f>
        <v>Tromelin</v>
      </c>
      <c r="B27" s="2" t="str">
        <f>IFERROR(__xludf.DUMMYFUNCTION("""COMPUTED_VALUE"""),"France
Maurice")</f>
        <v>France
Maurice</v>
      </c>
      <c r="C27" s="2" t="str">
        <f>IFERROR(__xludf.DUMMYFUNCTION("""COMPUTED_VALUE"""),"Île de l'Océan Indien, sous contrôle de la France comme partie des îles 
Éparses, revendiquée par l'Île Maurice.")</f>
        <v>Île de l'Océan Indien, sous contrôle de la France comme partie des îles 
Éparses, revendiquée par l'Île Maurice.</v>
      </c>
    </row>
  </sheetData>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9.5"/>
    <col customWidth="1" min="6" max="6" width="21.5"/>
    <col customWidth="1" min="7" max="7" width="24.13"/>
  </cols>
  <sheetData>
    <row r="1">
      <c r="A1" s="2" t="str">
        <f>IFERROR(__xludf.DUMMYFUNCTION("IMPORTHTML (""https://fr.wikipedia.org/wiki/Liste_des_plus_gros_succ%C3%A8s_du_box-office_mondial"", ""table"", 1)"),"Rang")</f>
        <v>Rang</v>
      </c>
      <c r="B1" s="2" t="str">
        <f>IFERROR(__xludf.DUMMYFUNCTION("""COMPUTED_VALUE"""),"Meilleur
rang")</f>
        <v>Meilleur
rang</v>
      </c>
      <c r="C1" s="2" t="str">
        <f>IFERROR(__xludf.DUMMYFUNCTION("""COMPUTED_VALUE"""),"Titre")</f>
        <v>Titre</v>
      </c>
      <c r="D1" s="2" t="str">
        <f>IFERROR(__xludf.DUMMYFUNCTION("""COMPUTED_VALUE"""),"Réalisateur")</f>
        <v>Réalisateur</v>
      </c>
      <c r="E1" s="2" t="str">
        <f>IFERROR(__xludf.DUMMYFUNCTION("""COMPUTED_VALUE"""),"Année")</f>
        <v>Année</v>
      </c>
      <c r="F1" s="2" t="str">
        <f>IFERROR(__xludf.DUMMYFUNCTION("""COMPUTED_VALUE"""),"Pays de
production")</f>
        <v>Pays de
production</v>
      </c>
      <c r="G1" s="2" t="str">
        <f>IFERROR(__xludf.DUMMYFUNCTION("""COMPUTED_VALUE"""),"Recettes")</f>
        <v>Recettes</v>
      </c>
    </row>
    <row r="2">
      <c r="A2" s="2">
        <f>IFERROR(__xludf.DUMMYFUNCTION("""COMPUTED_VALUE"""),1.0)</f>
        <v>1</v>
      </c>
      <c r="B2" s="2">
        <f>IFERROR(__xludf.DUMMYFUNCTION("""COMPUTED_VALUE"""),1.0)</f>
        <v>1</v>
      </c>
      <c r="C2" s="2" t="str">
        <f>IFERROR(__xludf.DUMMYFUNCTION("""COMPUTED_VALUE"""),"*Avatar*")</f>
        <v>*Avatar*</v>
      </c>
      <c r="D2" s="2" t="str">
        <f>IFERROR(__xludf.DUMMYFUNCTION("""COMPUTED_VALUE"""),"James Cameron")</f>
        <v>James Cameron</v>
      </c>
      <c r="E2" s="2">
        <f>IFERROR(__xludf.DUMMYFUNCTION("""COMPUTED_VALUE"""),2009.0)</f>
        <v>2009</v>
      </c>
      <c r="F2" s="3" t="str">
        <f>IFERROR(__xludf.DUMMYFUNCTION("""COMPUTED_VALUE"""),"États-Unis")</f>
        <v>États-Unis</v>
      </c>
      <c r="G2" s="3" t="str">
        <f>IFERROR(__xludf.DUMMYFUNCTION("""COMPUTED_VALUE"""),"2 923 710 708 $[a 2]")</f>
        <v>2 923 710 708 $[a 2]</v>
      </c>
      <c r="H2" s="2" t="str">
        <f>IFERROR(__xludf.DUMMYFUNCTION("SPLIT(G2,""$"")"),"2 923 710 708 ")</f>
        <v>2 923 710 708 </v>
      </c>
      <c r="I2" s="2" t="str">
        <f>IFERROR(__xludf.DUMMYFUNCTION("""COMPUTED_VALUE"""),"[a 2]")</f>
        <v>[a 2]</v>
      </c>
    </row>
    <row r="3">
      <c r="A3" s="2">
        <f>IFERROR(__xludf.DUMMYFUNCTION("""COMPUTED_VALUE"""),2.0)</f>
        <v>2</v>
      </c>
      <c r="B3" s="2">
        <f>IFERROR(__xludf.DUMMYFUNCTION("""COMPUTED_VALUE"""),1.0)</f>
        <v>1</v>
      </c>
      <c r="C3" s="2" t="str">
        <f>IFERROR(__xludf.DUMMYFUNCTION("""COMPUTED_VALUE"""),"*Avengers: Endgame*")</f>
        <v>*Avengers: Endgame*</v>
      </c>
      <c r="D3" s="2" t="str">
        <f>IFERROR(__xludf.DUMMYFUNCTION("""COMPUTED_VALUE"""),"Anthony et
Joe Russo")</f>
        <v>Anthony et
Joe Russo</v>
      </c>
      <c r="E3" s="2">
        <f>IFERROR(__xludf.DUMMYFUNCTION("""COMPUTED_VALUE"""),2019.0)</f>
        <v>2019</v>
      </c>
      <c r="F3" s="3" t="str">
        <f>IFERROR(__xludf.DUMMYFUNCTION("""COMPUTED_VALUE"""),"États-Unis")</f>
        <v>États-Unis</v>
      </c>
      <c r="G3" s="3" t="str">
        <f>IFERROR(__xludf.DUMMYFUNCTION("""COMPUTED_VALUE"""),"2 799 439 100 $[a 3]")</f>
        <v>2 799 439 100 $[a 3]</v>
      </c>
      <c r="H3" s="2" t="str">
        <f>IFERROR(__xludf.DUMMYFUNCTION("SPLIT(G3,""$"")"),"2 799 439 100 ")</f>
        <v>2 799 439 100 </v>
      </c>
      <c r="I3" s="2" t="str">
        <f>IFERROR(__xludf.DUMMYFUNCTION("""COMPUTED_VALUE"""),"[a 3]")</f>
        <v>[a 3]</v>
      </c>
    </row>
    <row r="4">
      <c r="A4" s="2">
        <f>IFERROR(__xludf.DUMMYFUNCTION("""COMPUTED_VALUE"""),3.0)</f>
        <v>3</v>
      </c>
      <c r="B4" s="2">
        <f>IFERROR(__xludf.DUMMYFUNCTION("""COMPUTED_VALUE"""),3.0)</f>
        <v>3</v>
      </c>
      <c r="C4" s="2" t="str">
        <f>IFERROR(__xludf.DUMMYFUNCTION("""COMPUTED_VALUE"""),"*Avatar : La Voie de l'eau*")</f>
        <v>*Avatar : La Voie de l'eau*</v>
      </c>
      <c r="D4" s="2" t="str">
        <f>IFERROR(__xludf.DUMMYFUNCTION("""COMPUTED_VALUE"""),"James Cameron")</f>
        <v>James Cameron</v>
      </c>
      <c r="E4" s="2">
        <f>IFERROR(__xludf.DUMMYFUNCTION("""COMPUTED_VALUE"""),2022.0)</f>
        <v>2022</v>
      </c>
      <c r="F4" s="3" t="str">
        <f>IFERROR(__xludf.DUMMYFUNCTION("""COMPUTED_VALUE"""),"États-Unis")</f>
        <v>États-Unis</v>
      </c>
      <c r="G4" s="3" t="str">
        <f>IFERROR(__xludf.DUMMYFUNCTION("""COMPUTED_VALUE"""),"2 334 484 620 $[a 4]")</f>
        <v>2 334 484 620 $[a 4]</v>
      </c>
      <c r="H4" s="2" t="str">
        <f>IFERROR(__xludf.DUMMYFUNCTION("SPLIT(G4,""$"")"),"2 334 484 620 ")</f>
        <v>2 334 484 620 </v>
      </c>
      <c r="I4" s="2" t="str">
        <f>IFERROR(__xludf.DUMMYFUNCTION("""COMPUTED_VALUE"""),"[a 4]")</f>
        <v>[a 4]</v>
      </c>
    </row>
    <row r="5">
      <c r="A5" s="2">
        <f>IFERROR(__xludf.DUMMYFUNCTION("""COMPUTED_VALUE"""),4.0)</f>
        <v>4</v>
      </c>
      <c r="B5" s="2">
        <f>IFERROR(__xludf.DUMMYFUNCTION("""COMPUTED_VALUE"""),1.0)</f>
        <v>1</v>
      </c>
      <c r="C5" s="2" t="str">
        <f>IFERROR(__xludf.DUMMYFUNCTION("""COMPUTED_VALUE"""),"*Titanic*")</f>
        <v>*Titanic*</v>
      </c>
      <c r="D5" s="2" t="str">
        <f>IFERROR(__xludf.DUMMYFUNCTION("""COMPUTED_VALUE"""),"James Cameron")</f>
        <v>James Cameron</v>
      </c>
      <c r="E5" s="2">
        <f>IFERROR(__xludf.DUMMYFUNCTION("""COMPUTED_VALUE"""),1997.0)</f>
        <v>1997</v>
      </c>
      <c r="F5" s="3" t="str">
        <f>IFERROR(__xludf.DUMMYFUNCTION("""COMPUTED_VALUE"""),"États-Unis")</f>
        <v>États-Unis</v>
      </c>
      <c r="G5" s="3" t="str">
        <f>IFERROR(__xludf.DUMMYFUNCTION("""COMPUTED_VALUE"""),"2 264 812 968 $[a 5]")</f>
        <v>2 264 812 968 $[a 5]</v>
      </c>
      <c r="H5" s="2" t="str">
        <f>IFERROR(__xludf.DUMMYFUNCTION("SPLIT(G5,""$"")"),"2 264 812 968 ")</f>
        <v>2 264 812 968 </v>
      </c>
      <c r="I5" s="2" t="str">
        <f>IFERROR(__xludf.DUMMYFUNCTION("""COMPUTED_VALUE"""),"[a 5]")</f>
        <v>[a 5]</v>
      </c>
    </row>
    <row r="6">
      <c r="A6" s="2">
        <f>IFERROR(__xludf.DUMMYFUNCTION("""COMPUTED_VALUE"""),5.0)</f>
        <v>5</v>
      </c>
      <c r="B6" s="2">
        <f>IFERROR(__xludf.DUMMYFUNCTION("""COMPUTED_VALUE"""),5.0)</f>
        <v>5</v>
      </c>
      <c r="C6" s="2" t="str">
        <f>IFERROR(__xludf.DUMMYFUNCTION("""COMPUTED_VALUE"""),"*Ne Zha 2*")</f>
        <v>*Ne Zha 2*</v>
      </c>
      <c r="D6" s="2" t="str">
        <f>IFERROR(__xludf.DUMMYFUNCTION("""COMPUTED_VALUE"""),"Jiaozi (en)")</f>
        <v>Jiaozi (en)</v>
      </c>
      <c r="E6" s="2">
        <f>IFERROR(__xludf.DUMMYFUNCTION("""COMPUTED_VALUE"""),2025.0)</f>
        <v>2025</v>
      </c>
      <c r="F6" s="3" t="str">
        <f>IFERROR(__xludf.DUMMYFUNCTION("""COMPUTED_VALUE"""),"Chine")</f>
        <v>Chine</v>
      </c>
      <c r="G6" s="3" t="str">
        <f>IFERROR(__xludf.DUMMYFUNCTION("""COMPUTED_VALUE"""),"2 259 822 417 $[a 6]")</f>
        <v>2 259 822 417 $[a 6]</v>
      </c>
      <c r="H6" s="2" t="str">
        <f>IFERROR(__xludf.DUMMYFUNCTION("SPLIT(G6,""$"")"),"2 259 822 417 ")</f>
        <v>2 259 822 417 </v>
      </c>
      <c r="I6" s="2" t="str">
        <f>IFERROR(__xludf.DUMMYFUNCTION("""COMPUTED_VALUE"""),"[a 6]")</f>
        <v>[a 6]</v>
      </c>
    </row>
    <row r="7">
      <c r="A7" s="2">
        <f>IFERROR(__xludf.DUMMYFUNCTION("""COMPUTED_VALUE"""),6.0)</f>
        <v>6</v>
      </c>
      <c r="B7" s="2">
        <f>IFERROR(__xludf.DUMMYFUNCTION("""COMPUTED_VALUE"""),3.0)</f>
        <v>3</v>
      </c>
      <c r="C7" s="2" t="str">
        <f>IFERROR(__xludf.DUMMYFUNCTION("""COMPUTED_VALUE"""),"*Star Wars, épisode VII : Le Réveil de la Force*")</f>
        <v>*Star Wars, épisode VII : Le Réveil de la Force*</v>
      </c>
      <c r="D7" s="2" t="str">
        <f>IFERROR(__xludf.DUMMYFUNCTION("""COMPUTED_VALUE"""),"J. J. Abrams")</f>
        <v>J. J. Abrams</v>
      </c>
      <c r="E7" s="2">
        <f>IFERROR(__xludf.DUMMYFUNCTION("""COMPUTED_VALUE"""),2015.0)</f>
        <v>2015</v>
      </c>
      <c r="F7" s="3" t="str">
        <f>IFERROR(__xludf.DUMMYFUNCTION("""COMPUTED_VALUE"""),"États-Unis")</f>
        <v>États-Unis</v>
      </c>
      <c r="G7" s="3" t="str">
        <f>IFERROR(__xludf.DUMMYFUNCTION("""COMPUTED_VALUE"""),"2 071 310 218 $[a 7]")</f>
        <v>2 071 310 218 $[a 7]</v>
      </c>
      <c r="H7" s="2" t="str">
        <f>IFERROR(__xludf.DUMMYFUNCTION("SPLIT(G7,""$"")"),"2 071 310 218 ")</f>
        <v>2 071 310 218 </v>
      </c>
      <c r="I7" s="2" t="str">
        <f>IFERROR(__xludf.DUMMYFUNCTION("""COMPUTED_VALUE"""),"[a 7]")</f>
        <v>[a 7]</v>
      </c>
    </row>
    <row r="8">
      <c r="A8" s="2">
        <f>IFERROR(__xludf.DUMMYFUNCTION("""COMPUTED_VALUE"""),7.0)</f>
        <v>7</v>
      </c>
      <c r="B8" s="2">
        <f>IFERROR(__xludf.DUMMYFUNCTION("""COMPUTED_VALUE"""),4.0)</f>
        <v>4</v>
      </c>
      <c r="C8" s="2" t="str">
        <f>IFERROR(__xludf.DUMMYFUNCTION("""COMPUTED_VALUE"""),"*Avengers: Infinity War*")</f>
        <v>*Avengers: Infinity War*</v>
      </c>
      <c r="D8" s="2" t="str">
        <f>IFERROR(__xludf.DUMMYFUNCTION("""COMPUTED_VALUE"""),"Anthony et
Joe Russo")</f>
        <v>Anthony et
Joe Russo</v>
      </c>
      <c r="E8" s="2">
        <f>IFERROR(__xludf.DUMMYFUNCTION("""COMPUTED_VALUE"""),2018.0)</f>
        <v>2018</v>
      </c>
      <c r="F8" s="3" t="str">
        <f>IFERROR(__xludf.DUMMYFUNCTION("""COMPUTED_VALUE"""),"États-Unis")</f>
        <v>États-Unis</v>
      </c>
      <c r="G8" s="3" t="str">
        <f>IFERROR(__xludf.DUMMYFUNCTION("""COMPUTED_VALUE"""),"2 052 415 039 $[a 8]")</f>
        <v>2 052 415 039 $[a 8]</v>
      </c>
      <c r="H8" s="2" t="str">
        <f>IFERROR(__xludf.DUMMYFUNCTION("SPLIT(G8,""$"")"),"2 052 415 039 ")</f>
        <v>2 052 415 039 </v>
      </c>
      <c r="I8" s="2" t="str">
        <f>IFERROR(__xludf.DUMMYFUNCTION("""COMPUTED_VALUE"""),"[a 8]")</f>
        <v>[a 8]</v>
      </c>
    </row>
    <row r="9">
      <c r="A9" s="2">
        <f>IFERROR(__xludf.DUMMYFUNCTION("""COMPUTED_VALUE"""),8.0)</f>
        <v>8</v>
      </c>
      <c r="B9" s="2">
        <f>IFERROR(__xludf.DUMMYFUNCTION("""COMPUTED_VALUE"""),6.0)</f>
        <v>6</v>
      </c>
      <c r="C9" s="2" t="str">
        <f>IFERROR(__xludf.DUMMYFUNCTION("""COMPUTED_VALUE"""),"*Spider-Man: No Way Home*")</f>
        <v>*Spider-Man: No Way Home*</v>
      </c>
      <c r="D9" s="2" t="str">
        <f>IFERROR(__xludf.DUMMYFUNCTION("""COMPUTED_VALUE"""),"Jon Watts")</f>
        <v>Jon Watts</v>
      </c>
      <c r="E9" s="2">
        <f>IFERROR(__xludf.DUMMYFUNCTION("""COMPUTED_VALUE"""),2021.0)</f>
        <v>2021</v>
      </c>
      <c r="F9" s="3" t="str">
        <f>IFERROR(__xludf.DUMMYFUNCTION("""COMPUTED_VALUE"""),"États-Unis")</f>
        <v>États-Unis</v>
      </c>
      <c r="G9" s="3" t="str">
        <f>IFERROR(__xludf.DUMMYFUNCTION("""COMPUTED_VALUE"""),"1 921 426 073 $[a 9]")</f>
        <v>1 921 426 073 $[a 9]</v>
      </c>
      <c r="H9" s="2" t="str">
        <f>IFERROR(__xludf.DUMMYFUNCTION("SPLIT(G9,""$"")"),"1 921 426 073 ")</f>
        <v>1 921 426 073 </v>
      </c>
      <c r="I9" s="2" t="str">
        <f>IFERROR(__xludf.DUMMYFUNCTION("""COMPUTED_VALUE"""),"[a 9]")</f>
        <v>[a 9]</v>
      </c>
    </row>
    <row r="10">
      <c r="A10" s="2">
        <f>IFERROR(__xludf.DUMMYFUNCTION("""COMPUTED_VALUE"""),9.0)</f>
        <v>9</v>
      </c>
      <c r="B10" s="2">
        <f>IFERROR(__xludf.DUMMYFUNCTION("""COMPUTED_VALUE"""),9.0)</f>
        <v>9</v>
      </c>
      <c r="C10" s="2" t="str">
        <f>IFERROR(__xludf.DUMMYFUNCTION("""COMPUTED_VALUE"""),"*Zootopie 2*")</f>
        <v>*Zootopie 2*</v>
      </c>
      <c r="D10" s="2" t="str">
        <f>IFERROR(__xludf.DUMMYFUNCTION("""COMPUTED_VALUE"""),"Jared Bush")</f>
        <v>Jared Bush</v>
      </c>
      <c r="E10" s="2">
        <f>IFERROR(__xludf.DUMMYFUNCTION("""COMPUTED_VALUE"""),2025.0)</f>
        <v>2025</v>
      </c>
      <c r="F10" s="3" t="str">
        <f>IFERROR(__xludf.DUMMYFUNCTION("""COMPUTED_VALUE"""),"États-Unis")</f>
        <v>États-Unis</v>
      </c>
      <c r="G10" s="3" t="str">
        <f>IFERROR(__xludf.DUMMYFUNCTION("""COMPUTED_VALUE"""),"1 706 542 207 $[a 10]")</f>
        <v>1 706 542 207 $[a 10]</v>
      </c>
      <c r="H10" s="2" t="str">
        <f>IFERROR(__xludf.DUMMYFUNCTION("SPLIT(G10,""$"")"),"1 706 542 207 ")</f>
        <v>1 706 542 207 </v>
      </c>
      <c r="I10" s="2" t="str">
        <f>IFERROR(__xludf.DUMMYFUNCTION("""COMPUTED_VALUE"""),"[a 10]")</f>
        <v>[a 10]</v>
      </c>
    </row>
    <row r="11">
      <c r="A11" s="2">
        <f>IFERROR(__xludf.DUMMYFUNCTION("""COMPUTED_VALUE"""),10.0)</f>
        <v>10</v>
      </c>
      <c r="B11" s="2">
        <f>IFERROR(__xludf.DUMMYFUNCTION("""COMPUTED_VALUE"""),8.0)</f>
        <v>8</v>
      </c>
      <c r="C11" s="2" t="str">
        <f>IFERROR(__xludf.DUMMYFUNCTION("""COMPUTED_VALUE"""),"*Vice-versa 2*")</f>
        <v>*Vice-versa 2*</v>
      </c>
      <c r="D11" s="2" t="str">
        <f>IFERROR(__xludf.DUMMYFUNCTION("""COMPUTED_VALUE"""),"Kelsey Mann")</f>
        <v>Kelsey Mann</v>
      </c>
      <c r="E11" s="2">
        <f>IFERROR(__xludf.DUMMYFUNCTION("""COMPUTED_VALUE"""),2024.0)</f>
        <v>2024</v>
      </c>
      <c r="F11" s="3" t="str">
        <f>IFERROR(__xludf.DUMMYFUNCTION("""COMPUTED_VALUE"""),"États-Unis")</f>
        <v>États-Unis</v>
      </c>
      <c r="G11" s="3" t="str">
        <f>IFERROR(__xludf.DUMMYFUNCTION("""COMPUTED_VALUE"""),"1 698 863 816 $[a 11]")</f>
        <v>1 698 863 816 $[a 11]</v>
      </c>
      <c r="H11" s="2" t="str">
        <f>IFERROR(__xludf.DUMMYFUNCTION("SPLIT(G11,""$"")"),"1 698 863 816 ")</f>
        <v>1 698 863 816 </v>
      </c>
      <c r="I11" s="2" t="str">
        <f>IFERROR(__xludf.DUMMYFUNCTION("""COMPUTED_VALUE"""),"[a 11]")</f>
        <v>[a 11]</v>
      </c>
    </row>
    <row r="12">
      <c r="A12" s="2">
        <f>IFERROR(__xludf.DUMMYFUNCTION("""COMPUTED_VALUE"""),11.0)</f>
        <v>11</v>
      </c>
      <c r="B12" s="2">
        <f>IFERROR(__xludf.DUMMYFUNCTION("""COMPUTED_VALUE"""),3.0)</f>
        <v>3</v>
      </c>
      <c r="C12" s="2" t="str">
        <f>IFERROR(__xludf.DUMMYFUNCTION("""COMPUTED_VALUE"""),"*Jurassic World*")</f>
        <v>*Jurassic World*</v>
      </c>
      <c r="D12" s="2" t="str">
        <f>IFERROR(__xludf.DUMMYFUNCTION("""COMPUTED_VALUE"""),"Colin Trevorrow")</f>
        <v>Colin Trevorrow</v>
      </c>
      <c r="E12" s="2">
        <f>IFERROR(__xludf.DUMMYFUNCTION("""COMPUTED_VALUE"""),2015.0)</f>
        <v>2015</v>
      </c>
      <c r="F12" s="3" t="str">
        <f>IFERROR(__xludf.DUMMYFUNCTION("""COMPUTED_VALUE"""),"États-Unis")</f>
        <v>États-Unis</v>
      </c>
      <c r="G12" s="3" t="str">
        <f>IFERROR(__xludf.DUMMYFUNCTION("""COMPUTED_VALUE"""),"1 671 537 444 $[a 12]")</f>
        <v>1 671 537 444 $[a 12]</v>
      </c>
      <c r="H12" s="2" t="str">
        <f>IFERROR(__xludf.DUMMYFUNCTION("SPLIT(G12,""$"")"),"1 671 537 444 ")</f>
        <v>1 671 537 444 </v>
      </c>
      <c r="I12" s="2" t="str">
        <f>IFERROR(__xludf.DUMMYFUNCTION("""COMPUTED_VALUE"""),"[a 12]")</f>
        <v>[a 12]</v>
      </c>
    </row>
    <row r="13">
      <c r="A13" s="2">
        <f>IFERROR(__xludf.DUMMYFUNCTION("""COMPUTED_VALUE"""),12.0)</f>
        <v>12</v>
      </c>
      <c r="B13" s="2">
        <f>IFERROR(__xludf.DUMMYFUNCTION("""COMPUTED_VALUE"""),7.0)</f>
        <v>7</v>
      </c>
      <c r="C13" s="2" t="str">
        <f>IFERROR(__xludf.DUMMYFUNCTION("""COMPUTED_VALUE"""),"*Le Roi lion*")</f>
        <v>*Le Roi lion*</v>
      </c>
      <c r="D13" s="2" t="str">
        <f>IFERROR(__xludf.DUMMYFUNCTION("""COMPUTED_VALUE"""),"Jon Favreau")</f>
        <v>Jon Favreau</v>
      </c>
      <c r="E13" s="2">
        <f>IFERROR(__xludf.DUMMYFUNCTION("""COMPUTED_VALUE"""),2019.0)</f>
        <v>2019</v>
      </c>
      <c r="F13" s="3" t="str">
        <f>IFERROR(__xludf.DUMMYFUNCTION("""COMPUTED_VALUE"""),"États-Unis")</f>
        <v>États-Unis</v>
      </c>
      <c r="G13" s="3" t="str">
        <f>IFERROR(__xludf.DUMMYFUNCTION("""COMPUTED_VALUE"""),"1 662 020 819 $[a 13]")</f>
        <v>1 662 020 819 $[a 13]</v>
      </c>
      <c r="H13" s="2" t="str">
        <f>IFERROR(__xludf.DUMMYFUNCTION("SPLIT(G13,""$"")"),"1 662 020 819 ")</f>
        <v>1 662 020 819 </v>
      </c>
      <c r="I13" s="2" t="str">
        <f>IFERROR(__xludf.DUMMYFUNCTION("""COMPUTED_VALUE"""),"[a 13]")</f>
        <v>[a 13]</v>
      </c>
    </row>
    <row r="14">
      <c r="A14" s="2">
        <f>IFERROR(__xludf.DUMMYFUNCTION("""COMPUTED_VALUE"""),13.0)</f>
        <v>13</v>
      </c>
      <c r="B14" s="2">
        <f>IFERROR(__xludf.DUMMYFUNCTION("""COMPUTED_VALUE"""),3.0)</f>
        <v>3</v>
      </c>
      <c r="C14" s="2" t="str">
        <f>IFERROR(__xludf.DUMMYFUNCTION("""COMPUTED_VALUE"""),"*Avengers*")</f>
        <v>*Avengers*</v>
      </c>
      <c r="D14" s="2" t="str">
        <f>IFERROR(__xludf.DUMMYFUNCTION("""COMPUTED_VALUE"""),"Joss Whedon")</f>
        <v>Joss Whedon</v>
      </c>
      <c r="E14" s="2">
        <f>IFERROR(__xludf.DUMMYFUNCTION("""COMPUTED_VALUE"""),2012.0)</f>
        <v>2012</v>
      </c>
      <c r="F14" s="3" t="str">
        <f>IFERROR(__xludf.DUMMYFUNCTION("""COMPUTED_VALUE"""),"États-Unis")</f>
        <v>États-Unis</v>
      </c>
      <c r="G14" s="3" t="str">
        <f>IFERROR(__xludf.DUMMYFUNCTION("""COMPUTED_VALUE"""),"1 520 538 536 $[a 14]")</f>
        <v>1 520 538 536 $[a 14]</v>
      </c>
      <c r="H14" s="2" t="str">
        <f>IFERROR(__xludf.DUMMYFUNCTION("SPLIT(G14,""$"")"),"1 520 538 536 ")</f>
        <v>1 520 538 536 </v>
      </c>
      <c r="I14" s="2" t="str">
        <f>IFERROR(__xludf.DUMMYFUNCTION("""COMPUTED_VALUE"""),"[a 14]")</f>
        <v>[a 14]</v>
      </c>
    </row>
    <row r="15">
      <c r="A15" s="2">
        <f>IFERROR(__xludf.DUMMYFUNCTION("""COMPUTED_VALUE"""),14.0)</f>
        <v>14</v>
      </c>
      <c r="B15" s="2">
        <f>IFERROR(__xludf.DUMMYFUNCTION("""COMPUTED_VALUE"""),4.0)</f>
        <v>4</v>
      </c>
      <c r="C15" s="2" t="str">
        <f>IFERROR(__xludf.DUMMYFUNCTION("""COMPUTED_VALUE"""),"*Fast and Furious 7*")</f>
        <v>*Fast and Furious 7*</v>
      </c>
      <c r="D15" s="2" t="str">
        <f>IFERROR(__xludf.DUMMYFUNCTION("""COMPUTED_VALUE"""),"James Wan")</f>
        <v>James Wan</v>
      </c>
      <c r="E15" s="2">
        <f>IFERROR(__xludf.DUMMYFUNCTION("""COMPUTED_VALUE"""),2015.0)</f>
        <v>2015</v>
      </c>
      <c r="F15" s="3" t="str">
        <f>IFERROR(__xludf.DUMMYFUNCTION("""COMPUTED_VALUE"""),"États-Unis")</f>
        <v>États-Unis</v>
      </c>
      <c r="G15" s="3" t="str">
        <f>IFERROR(__xludf.DUMMYFUNCTION("""COMPUTED_VALUE"""),"1 515 342 457 $[a 15]")</f>
        <v>1 515 342 457 $[a 15]</v>
      </c>
      <c r="H15" s="2" t="str">
        <f>IFERROR(__xludf.DUMMYFUNCTION("SPLIT(G15,""$"")"),"1 515 342 457 ")</f>
        <v>1 515 342 457 </v>
      </c>
      <c r="I15" s="2" t="str">
        <f>IFERROR(__xludf.DUMMYFUNCTION("""COMPUTED_VALUE"""),"[a 15]")</f>
        <v>[a 15]</v>
      </c>
    </row>
    <row r="16">
      <c r="A16" s="2">
        <f>IFERROR(__xludf.DUMMYFUNCTION("""COMPUTED_VALUE"""),15.0)</f>
        <v>15</v>
      </c>
      <c r="B16" s="2">
        <f>IFERROR(__xludf.DUMMYFUNCTION("""COMPUTED_VALUE"""),11.0)</f>
        <v>11</v>
      </c>
      <c r="C16" s="2" t="str">
        <f>IFERROR(__xludf.DUMMYFUNCTION("""COMPUTED_VALUE"""),"*Top Gun: Maverick*")</f>
        <v>*Top Gun: Maverick*</v>
      </c>
      <c r="D16" s="2" t="str">
        <f>IFERROR(__xludf.DUMMYFUNCTION("""COMPUTED_VALUE"""),"Joseph Kosinski")</f>
        <v>Joseph Kosinski</v>
      </c>
      <c r="E16" s="2">
        <f>IFERROR(__xludf.DUMMYFUNCTION("""COMPUTED_VALUE"""),2022.0)</f>
        <v>2022</v>
      </c>
      <c r="F16" s="3" t="str">
        <f>IFERROR(__xludf.DUMMYFUNCTION("""COMPUTED_VALUE"""),"États-Unis")</f>
        <v>États-Unis</v>
      </c>
      <c r="G16" s="3" t="str">
        <f>IFERROR(__xludf.DUMMYFUNCTION("""COMPUTED_VALUE"""),"1 495 696 292 $[a 16]")</f>
        <v>1 495 696 292 $[a 16]</v>
      </c>
      <c r="H16" s="2" t="str">
        <f>IFERROR(__xludf.DUMMYFUNCTION("SPLIT(G16,""$"")"),"1 495 696 292 ")</f>
        <v>1 495 696 292 </v>
      </c>
      <c r="I16" s="2" t="str">
        <f>IFERROR(__xludf.DUMMYFUNCTION("""COMPUTED_VALUE"""),"[a 16]")</f>
        <v>[a 16]</v>
      </c>
    </row>
    <row r="17">
      <c r="A17" s="2">
        <f>IFERROR(__xludf.DUMMYFUNCTION("""COMPUTED_VALUE"""),16.0)</f>
        <v>16</v>
      </c>
      <c r="B17" s="2">
        <f>IFERROR(__xludf.DUMMYFUNCTION("""COMPUTED_VALUE"""),10.0)</f>
        <v>10</v>
      </c>
      <c r="C17" s="2" t="str">
        <f>IFERROR(__xludf.DUMMYFUNCTION("""COMPUTED_VALUE"""),"*La Reine des neiges 2*")</f>
        <v>*La Reine des neiges 2*</v>
      </c>
      <c r="D17" s="2" t="str">
        <f>IFERROR(__xludf.DUMMYFUNCTION("""COMPUTED_VALUE"""),"Chris Buck
Jennifer Lee")</f>
        <v>Chris Buck
Jennifer Lee</v>
      </c>
      <c r="E17" s="2">
        <f>IFERROR(__xludf.DUMMYFUNCTION("""COMPUTED_VALUE"""),2019.0)</f>
        <v>2019</v>
      </c>
      <c r="F17" s="3" t="str">
        <f>IFERROR(__xludf.DUMMYFUNCTION("""COMPUTED_VALUE"""),"États-Unis")</f>
        <v>États-Unis</v>
      </c>
      <c r="G17" s="3" t="str">
        <f>IFERROR(__xludf.DUMMYFUNCTION("""COMPUTED_VALUE"""),"1 453 683 476 $[a 17]")</f>
        <v>1 453 683 476 $[a 17]</v>
      </c>
      <c r="H17" s="2" t="str">
        <f>IFERROR(__xludf.DUMMYFUNCTION("SPLIT(G17,""$"")"),"1 453 683 476 ")</f>
        <v>1 453 683 476 </v>
      </c>
      <c r="I17" s="2" t="str">
        <f>IFERROR(__xludf.DUMMYFUNCTION("""COMPUTED_VALUE"""),"[a 17]")</f>
        <v>[a 17]</v>
      </c>
    </row>
    <row r="18">
      <c r="A18" s="2">
        <f>IFERROR(__xludf.DUMMYFUNCTION("""COMPUTED_VALUE"""),17.0)</f>
        <v>17</v>
      </c>
      <c r="B18" s="2">
        <f>IFERROR(__xludf.DUMMYFUNCTION("""COMPUTED_VALUE"""),14.0)</f>
        <v>14</v>
      </c>
      <c r="C18" s="2" t="str">
        <f>IFERROR(__xludf.DUMMYFUNCTION("""COMPUTED_VALUE"""),"*Barbie*")</f>
        <v>*Barbie*</v>
      </c>
      <c r="D18" s="2" t="str">
        <f>IFERROR(__xludf.DUMMYFUNCTION("""COMPUTED_VALUE"""),"Greta Gerwig")</f>
        <v>Greta Gerwig</v>
      </c>
      <c r="E18" s="2">
        <f>IFERROR(__xludf.DUMMYFUNCTION("""COMPUTED_VALUE"""),2023.0)</f>
        <v>2023</v>
      </c>
      <c r="F18" s="3" t="str">
        <f>IFERROR(__xludf.DUMMYFUNCTION("""COMPUTED_VALUE"""),"États-Unis
Royaume-Uni")</f>
        <v>États-Unis
Royaume-Uni</v>
      </c>
      <c r="G18" s="3" t="str">
        <f>IFERROR(__xludf.DUMMYFUNCTION("""COMPUTED_VALUE"""),"1 447 038 421 $[a 18]")</f>
        <v>1 447 038 421 $[a 18]</v>
      </c>
      <c r="H18" s="2" t="str">
        <f>IFERROR(__xludf.DUMMYFUNCTION("SPLIT(G18,""$"")"),"1 447 038 421 ")</f>
        <v>1 447 038 421 </v>
      </c>
      <c r="I18" s="2" t="str">
        <f>IFERROR(__xludf.DUMMYFUNCTION("""COMPUTED_VALUE"""),"[a 18]")</f>
        <v>[a 18]</v>
      </c>
    </row>
    <row r="19">
      <c r="A19" s="2">
        <f>IFERROR(__xludf.DUMMYFUNCTION("""COMPUTED_VALUE"""),18.0)</f>
        <v>18</v>
      </c>
      <c r="B19" s="2">
        <f>IFERROR(__xludf.DUMMYFUNCTION("""COMPUTED_VALUE"""),5.0)</f>
        <v>5</v>
      </c>
      <c r="C19" s="2" t="str">
        <f>IFERROR(__xludf.DUMMYFUNCTION("""COMPUTED_VALUE"""),"*Avengers : L'Ère d'Ultron*")</f>
        <v>*Avengers : L'Ère d'Ultron*</v>
      </c>
      <c r="D19" s="2" t="str">
        <f>IFERROR(__xludf.DUMMYFUNCTION("""COMPUTED_VALUE"""),"Joss Whedon")</f>
        <v>Joss Whedon</v>
      </c>
      <c r="E19" s="2">
        <f>IFERROR(__xludf.DUMMYFUNCTION("""COMPUTED_VALUE"""),2015.0)</f>
        <v>2015</v>
      </c>
      <c r="F19" s="3" t="str">
        <f>IFERROR(__xludf.DUMMYFUNCTION("""COMPUTED_VALUE"""),"États-Unis")</f>
        <v>États-Unis</v>
      </c>
      <c r="G19" s="3" t="str">
        <f>IFERROR(__xludf.DUMMYFUNCTION("""COMPUTED_VALUE"""),"1 405 018 048 $[a 19]")</f>
        <v>1 405 018 048 $[a 19]</v>
      </c>
      <c r="H19" s="2" t="str">
        <f>IFERROR(__xludf.DUMMYFUNCTION("SPLIT(G19,""$"")"),"1 405 018 048 ")</f>
        <v>1 405 018 048 </v>
      </c>
      <c r="I19" s="2" t="str">
        <f>IFERROR(__xludf.DUMMYFUNCTION("""COMPUTED_VALUE"""),"[a 19]")</f>
        <v>[a 19]</v>
      </c>
    </row>
    <row r="20">
      <c r="A20" s="2">
        <f>IFERROR(__xludf.DUMMYFUNCTION("""COMPUTED_VALUE"""),19.0)</f>
        <v>19</v>
      </c>
      <c r="B20" s="2">
        <f>IFERROR(__xludf.DUMMYFUNCTION("""COMPUTED_VALUE"""),19.0)</f>
        <v>19</v>
      </c>
      <c r="C20" s="2" t="str">
        <f>IFERROR(__xludf.DUMMYFUNCTION("""COMPUTED_VALUE"""),"*Avatar : De feu et de cendres*")</f>
        <v>*Avatar : De feu et de cendres*</v>
      </c>
      <c r="D20" s="2" t="str">
        <f>IFERROR(__xludf.DUMMYFUNCTION("""COMPUTED_VALUE"""),"James Cameron")</f>
        <v>James Cameron</v>
      </c>
      <c r="E20" s="2">
        <f>IFERROR(__xludf.DUMMYFUNCTION("""COMPUTED_VALUE"""),2025.0)</f>
        <v>2025</v>
      </c>
      <c r="F20" s="3" t="str">
        <f>IFERROR(__xludf.DUMMYFUNCTION("""COMPUTED_VALUE"""),"États-Unis")</f>
        <v>États-Unis</v>
      </c>
      <c r="G20" s="3" t="str">
        <f>IFERROR(__xludf.DUMMYFUNCTION("""COMPUTED_VALUE"""),"1 379 522 165 $[a 20]")</f>
        <v>1 379 522 165 $[a 20]</v>
      </c>
      <c r="H20" s="2" t="str">
        <f>IFERROR(__xludf.DUMMYFUNCTION("SPLIT(G20,""$"")"),"1 379 522 165 ")</f>
        <v>1 379 522 165 </v>
      </c>
      <c r="I20" s="2" t="str">
        <f>IFERROR(__xludf.DUMMYFUNCTION("""COMPUTED_VALUE"""),"[a 20]")</f>
        <v>[a 20]</v>
      </c>
    </row>
    <row r="21">
      <c r="A21" s="2">
        <f>IFERROR(__xludf.DUMMYFUNCTION("""COMPUTED_VALUE"""),20.0)</f>
        <v>20</v>
      </c>
      <c r="B21" s="2">
        <f>IFERROR(__xludf.DUMMYFUNCTION("""COMPUTED_VALUE"""),15.0)</f>
        <v>15</v>
      </c>
      <c r="C21" s="2" t="str">
        <f>IFERROR(__xludf.DUMMYFUNCTION("""COMPUTED_VALUE"""),"*Super Mario Bros. le film*")</f>
        <v>*Super Mario Bros. le film*</v>
      </c>
      <c r="D21" s="2" t="str">
        <f>IFERROR(__xludf.DUMMYFUNCTION("""COMPUTED_VALUE"""),"Aaron Horvath
Michael Jelenic (en)")</f>
        <v>Aaron Horvath
Michael Jelenic (en)</v>
      </c>
      <c r="E21" s="2">
        <f>IFERROR(__xludf.DUMMYFUNCTION("""COMPUTED_VALUE"""),2023.0)</f>
        <v>2023</v>
      </c>
      <c r="F21" s="3" t="str">
        <f>IFERROR(__xludf.DUMMYFUNCTION("""COMPUTED_VALUE"""),"États-Unis
Japon")</f>
        <v>États-Unis
Japon</v>
      </c>
      <c r="G21" s="3" t="str">
        <f>IFERROR(__xludf.DUMMYFUNCTION("""COMPUTED_VALUE"""),"1 360 879 735 $[a 21]")</f>
        <v>1 360 879 735 $[a 21]</v>
      </c>
      <c r="H21" s="2" t="str">
        <f>IFERROR(__xludf.DUMMYFUNCTION("SPLIT(G21,""$"")"),"1 360 879 735 ")</f>
        <v>1 360 879 735 </v>
      </c>
      <c r="I21" s="2" t="str">
        <f>IFERROR(__xludf.DUMMYFUNCTION("""COMPUTED_VALUE"""),"[a 21]")</f>
        <v>[a 21]</v>
      </c>
    </row>
    <row r="22">
      <c r="A22" s="2">
        <f>IFERROR(__xludf.DUMMYFUNCTION("""COMPUTED_VALUE"""),21.0)</f>
        <v>21</v>
      </c>
      <c r="B22" s="2">
        <f>IFERROR(__xludf.DUMMYFUNCTION("""COMPUTED_VALUE"""),9.0)</f>
        <v>9</v>
      </c>
      <c r="C22" s="2" t="str">
        <f>IFERROR(__xludf.DUMMYFUNCTION("""COMPUTED_VALUE"""),"*Black Panther*")</f>
        <v>*Black Panther*</v>
      </c>
      <c r="D22" s="2" t="str">
        <f>IFERROR(__xludf.DUMMYFUNCTION("""COMPUTED_VALUE"""),"Ryan Coogler")</f>
        <v>Ryan Coogler</v>
      </c>
      <c r="E22" s="2">
        <f>IFERROR(__xludf.DUMMYFUNCTION("""COMPUTED_VALUE"""),2018.0)</f>
        <v>2018</v>
      </c>
      <c r="F22" s="3" t="str">
        <f>IFERROR(__xludf.DUMMYFUNCTION("""COMPUTED_VALUE"""),"États-Unis")</f>
        <v>États-Unis</v>
      </c>
      <c r="G22" s="3" t="str">
        <f>IFERROR(__xludf.DUMMYFUNCTION("""COMPUTED_VALUE"""),"1 349 926 083 $[a 22]")</f>
        <v>1 349 926 083 $[a 22]</v>
      </c>
      <c r="H22" s="2" t="str">
        <f>IFERROR(__xludf.DUMMYFUNCTION("SPLIT(G22,""$"")"),"1 349 926 083 ")</f>
        <v>1 349 926 083 </v>
      </c>
      <c r="I22" s="2" t="str">
        <f>IFERROR(__xludf.DUMMYFUNCTION("""COMPUTED_VALUE"""),"[a 22]")</f>
        <v>[a 22]</v>
      </c>
    </row>
    <row r="23">
      <c r="A23" s="2">
        <f>IFERROR(__xludf.DUMMYFUNCTION("""COMPUTED_VALUE"""),22.0)</f>
        <v>22</v>
      </c>
      <c r="B23" s="2">
        <f>IFERROR(__xludf.DUMMYFUNCTION("""COMPUTED_VALUE"""),3.0)</f>
        <v>3</v>
      </c>
      <c r="C23" s="2" t="str">
        <f>IFERROR(__xludf.DUMMYFUNCTION("""COMPUTED_VALUE"""),"*Harry Potter et les Reliques de la Mort : Partie 2*")</f>
        <v>*Harry Potter et les Reliques de la Mort : Partie 2*</v>
      </c>
      <c r="D23" s="2" t="str">
        <f>IFERROR(__xludf.DUMMYFUNCTION("""COMPUTED_VALUE"""),"David Yates")</f>
        <v>David Yates</v>
      </c>
      <c r="E23" s="2">
        <f>IFERROR(__xludf.DUMMYFUNCTION("""COMPUTED_VALUE"""),2011.0)</f>
        <v>2011</v>
      </c>
      <c r="F23" s="3" t="str">
        <f>IFERROR(__xludf.DUMMYFUNCTION("""COMPUTED_VALUE"""),"États-Unis
Royaume-Uni")</f>
        <v>États-Unis
Royaume-Uni</v>
      </c>
      <c r="G23" s="3" t="str">
        <f>IFERROR(__xludf.DUMMYFUNCTION("""COMPUTED_VALUE"""),"1 342 505 340 $[a 23]")</f>
        <v>1 342 505 340 $[a 23]</v>
      </c>
      <c r="H23" s="2" t="str">
        <f>IFERROR(__xludf.DUMMYFUNCTION("SPLIT(G23,""$"")"),"1 342 505 340 ")</f>
        <v>1 342 505 340 </v>
      </c>
      <c r="I23" s="2" t="str">
        <f>IFERROR(__xludf.DUMMYFUNCTION("""COMPUTED_VALUE"""),"[a 23]")</f>
        <v>[a 23]</v>
      </c>
    </row>
    <row r="24">
      <c r="A24" s="2">
        <f>IFERROR(__xludf.DUMMYFUNCTION("""COMPUTED_VALUE"""),23.0)</f>
        <v>23</v>
      </c>
      <c r="B24" s="2">
        <f>IFERROR(__xludf.DUMMYFUNCTION("""COMPUTED_VALUE"""),20.0)</f>
        <v>20</v>
      </c>
      <c r="C24" s="2" t="str">
        <f>IFERROR(__xludf.DUMMYFUNCTION("""COMPUTED_VALUE"""),"*Deadpool et Wolverine*")</f>
        <v>*Deadpool et Wolverine*</v>
      </c>
      <c r="D24" s="2" t="str">
        <f>IFERROR(__xludf.DUMMYFUNCTION("""COMPUTED_VALUE"""),"Shawn Levy")</f>
        <v>Shawn Levy</v>
      </c>
      <c r="E24" s="2">
        <f>IFERROR(__xludf.DUMMYFUNCTION("""COMPUTED_VALUE"""),2024.0)</f>
        <v>2024</v>
      </c>
      <c r="F24" s="3" t="str">
        <f>IFERROR(__xludf.DUMMYFUNCTION("""COMPUTED_VALUE"""),"États-Unis")</f>
        <v>États-Unis</v>
      </c>
      <c r="G24" s="3" t="str">
        <f>IFERROR(__xludf.DUMMYFUNCTION("""COMPUTED_VALUE"""),"1 338 073 645 $[a 24]")</f>
        <v>1 338 073 645 $[a 24]</v>
      </c>
      <c r="H24" s="2" t="str">
        <f>IFERROR(__xludf.DUMMYFUNCTION("SPLIT(G24,""$"")"),"1 338 073 645 ")</f>
        <v>1 338 073 645 </v>
      </c>
      <c r="I24" s="2" t="str">
        <f>IFERROR(__xludf.DUMMYFUNCTION("""COMPUTED_VALUE"""),"[a 24]")</f>
        <v>[a 24]</v>
      </c>
    </row>
    <row r="25">
      <c r="A25" s="2">
        <f>IFERROR(__xludf.DUMMYFUNCTION("""COMPUTED_VALUE"""),24.0)</f>
        <v>24</v>
      </c>
      <c r="B25" s="2">
        <f>IFERROR(__xludf.DUMMYFUNCTION("""COMPUTED_VALUE"""),9.0)</f>
        <v>9</v>
      </c>
      <c r="C25" s="2" t="str">
        <f>IFERROR(__xludf.DUMMYFUNCTION("""COMPUTED_VALUE"""),"*Star Wars, épisode VIII : Les Derniers Jedi*")</f>
        <v>*Star Wars, épisode VIII : Les Derniers Jedi*</v>
      </c>
      <c r="D25" s="2" t="str">
        <f>IFERROR(__xludf.DUMMYFUNCTION("""COMPUTED_VALUE"""),"Rian Johnson")</f>
        <v>Rian Johnson</v>
      </c>
      <c r="E25" s="2">
        <f>IFERROR(__xludf.DUMMYFUNCTION("""COMPUTED_VALUE"""),2017.0)</f>
        <v>2017</v>
      </c>
      <c r="F25" s="3" t="str">
        <f>IFERROR(__xludf.DUMMYFUNCTION("""COMPUTED_VALUE"""),"États-Unis")</f>
        <v>États-Unis</v>
      </c>
      <c r="G25" s="3" t="str">
        <f>IFERROR(__xludf.DUMMYFUNCTION("""COMPUTED_VALUE"""),"1 334 407 706 $[a 25]")</f>
        <v>1 334 407 706 $[a 25]</v>
      </c>
      <c r="H25" s="2" t="str">
        <f>IFERROR(__xludf.DUMMYFUNCTION("SPLIT(G25,""$"")"),"1 334 407 706 ")</f>
        <v>1 334 407 706 </v>
      </c>
      <c r="I25" s="2" t="str">
        <f>IFERROR(__xludf.DUMMYFUNCTION("""COMPUTED_VALUE"""),"[a 25]")</f>
        <v>[a 25]</v>
      </c>
    </row>
    <row r="26">
      <c r="A26" s="2">
        <f>IFERROR(__xludf.DUMMYFUNCTION("""COMPUTED_VALUE"""),25.0)</f>
        <v>25</v>
      </c>
      <c r="B26" s="2">
        <f>IFERROR(__xludf.DUMMYFUNCTION("""COMPUTED_VALUE"""),5.0)</f>
        <v>5</v>
      </c>
      <c r="C26" s="2" t="str">
        <f>IFERROR(__xludf.DUMMYFUNCTION("""COMPUTED_VALUE"""),"*La Reine des neiges*")</f>
        <v>*La Reine des neiges*</v>
      </c>
      <c r="D26" s="2" t="str">
        <f>IFERROR(__xludf.DUMMYFUNCTION("""COMPUTED_VALUE"""),"Chris Buck
Jennifer Lee")</f>
        <v>Chris Buck
Jennifer Lee</v>
      </c>
      <c r="E26" s="2">
        <f>IFERROR(__xludf.DUMMYFUNCTION("""COMPUTED_VALUE"""),2013.0)</f>
        <v>2013</v>
      </c>
      <c r="F26" s="3" t="str">
        <f>IFERROR(__xludf.DUMMYFUNCTION("""COMPUTED_VALUE"""),"États-Unis")</f>
        <v>États-Unis</v>
      </c>
      <c r="G26" s="3" t="str">
        <f>IFERROR(__xludf.DUMMYFUNCTION("""COMPUTED_VALUE"""),"1 310 530 830 $[a 26]")</f>
        <v>1 310 530 830 $[a 26]</v>
      </c>
      <c r="H26" s="2" t="str">
        <f>IFERROR(__xludf.DUMMYFUNCTION("SPLIT(G26,""$"")"),"1 310 530 830 ")</f>
        <v>1 310 530 830 </v>
      </c>
      <c r="I26" s="2" t="str">
        <f>IFERROR(__xludf.DUMMYFUNCTION("""COMPUTED_VALUE"""),"[a 26]")</f>
        <v>[a 26]</v>
      </c>
    </row>
    <row r="27">
      <c r="A27" s="2">
        <f>IFERROR(__xludf.DUMMYFUNCTION("""COMPUTED_VALUE"""),26.0)</f>
        <v>26</v>
      </c>
      <c r="B27" s="2">
        <f>IFERROR(__xludf.DUMMYFUNCTION("""COMPUTED_VALUE"""),12.0)</f>
        <v>12</v>
      </c>
      <c r="C27" s="2" t="str">
        <f>IFERROR(__xludf.DUMMYFUNCTION("""COMPUTED_VALUE"""),"*Jurassic World: Fallen Kingdom*")</f>
        <v>*Jurassic World: Fallen Kingdom*</v>
      </c>
      <c r="D27" s="2" t="str">
        <f>IFERROR(__xludf.DUMMYFUNCTION("""COMPUTED_VALUE"""),"J.A. Bayona")</f>
        <v>J.A. Bayona</v>
      </c>
      <c r="E27" s="2">
        <f>IFERROR(__xludf.DUMMYFUNCTION("""COMPUTED_VALUE"""),2018.0)</f>
        <v>2018</v>
      </c>
      <c r="F27" s="3" t="str">
        <f>IFERROR(__xludf.DUMMYFUNCTION("""COMPUTED_VALUE"""),"États-Unis")</f>
        <v>États-Unis</v>
      </c>
      <c r="G27" s="3" t="str">
        <f>IFERROR(__xludf.DUMMYFUNCTION("""COMPUTED_VALUE"""),"1 308 566 455 $[a 27]")</f>
        <v>1 308 566 455 $[a 27]</v>
      </c>
      <c r="H27" s="2" t="str">
        <f>IFERROR(__xludf.DUMMYFUNCTION("SPLIT(G27,""$"")"),"1 308 566 455 ")</f>
        <v>1 308 566 455 </v>
      </c>
      <c r="I27" s="2" t="str">
        <f>IFERROR(__xludf.DUMMYFUNCTION("""COMPUTED_VALUE"""),"[a 27]")</f>
        <v>[a 27]</v>
      </c>
    </row>
    <row r="28">
      <c r="A28" s="2">
        <f>IFERROR(__xludf.DUMMYFUNCTION("""COMPUTED_VALUE"""),27.0)</f>
        <v>27</v>
      </c>
      <c r="B28" s="2">
        <f>IFERROR(__xludf.DUMMYFUNCTION("""COMPUTED_VALUE"""),10.0)</f>
        <v>10</v>
      </c>
      <c r="C28" s="2" t="str">
        <f>IFERROR(__xludf.DUMMYFUNCTION("""COMPUTED_VALUE"""),"*La Belle et la Bête*")</f>
        <v>*La Belle et la Bête*</v>
      </c>
      <c r="D28" s="2" t="str">
        <f>IFERROR(__xludf.DUMMYFUNCTION("""COMPUTED_VALUE"""),"Bill Condon")</f>
        <v>Bill Condon</v>
      </c>
      <c r="E28" s="2">
        <f>IFERROR(__xludf.DUMMYFUNCTION("""COMPUTED_VALUE"""),2017.0)</f>
        <v>2017</v>
      </c>
      <c r="F28" s="3" t="str">
        <f>IFERROR(__xludf.DUMMYFUNCTION("""COMPUTED_VALUE"""),"États-Unis")</f>
        <v>États-Unis</v>
      </c>
      <c r="G28" s="3" t="str">
        <f>IFERROR(__xludf.DUMMYFUNCTION("""COMPUTED_VALUE"""),"1 266 115 964 $[a 28]")</f>
        <v>1 266 115 964 $[a 28]</v>
      </c>
      <c r="H28" s="2" t="str">
        <f>IFERROR(__xludf.DUMMYFUNCTION("SPLIT(G28,""$"")"),"1 266 115 964 ")</f>
        <v>1 266 115 964 </v>
      </c>
      <c r="I28" s="2" t="str">
        <f>IFERROR(__xludf.DUMMYFUNCTION("""COMPUTED_VALUE"""),"[a 28]")</f>
        <v>[a 28]</v>
      </c>
    </row>
    <row r="29">
      <c r="A29" s="2">
        <f>IFERROR(__xludf.DUMMYFUNCTION("""COMPUTED_VALUE"""),28.0)</f>
        <v>28</v>
      </c>
      <c r="B29" s="2">
        <f>IFERROR(__xludf.DUMMYFUNCTION("""COMPUTED_VALUE"""),15.0)</f>
        <v>15</v>
      </c>
      <c r="C29" s="2" t="str">
        <f>IFERROR(__xludf.DUMMYFUNCTION("""COMPUTED_VALUE"""),"*Les Indestructibles 2*")</f>
        <v>*Les Indestructibles 2*</v>
      </c>
      <c r="D29" s="2" t="str">
        <f>IFERROR(__xludf.DUMMYFUNCTION("""COMPUTED_VALUE"""),"Brad Bird")</f>
        <v>Brad Bird</v>
      </c>
      <c r="E29" s="2">
        <f>IFERROR(__xludf.DUMMYFUNCTION("""COMPUTED_VALUE"""),2018.0)</f>
        <v>2018</v>
      </c>
      <c r="F29" s="3" t="str">
        <f>IFERROR(__xludf.DUMMYFUNCTION("""COMPUTED_VALUE"""),"États-Unis")</f>
        <v>États-Unis</v>
      </c>
      <c r="G29" s="3" t="str">
        <f>IFERROR(__xludf.DUMMYFUNCTION("""COMPUTED_VALUE"""),"1 243 225 667 $[a 29]")</f>
        <v>1 243 225 667 $[a 29]</v>
      </c>
      <c r="H29" s="2" t="str">
        <f>IFERROR(__xludf.DUMMYFUNCTION("SPLIT(G29,""$"")"),"1 243 225 667 ")</f>
        <v>1 243 225 667 </v>
      </c>
      <c r="I29" s="2" t="str">
        <f>IFERROR(__xludf.DUMMYFUNCTION("""COMPUTED_VALUE"""),"[a 29]")</f>
        <v>[a 29]</v>
      </c>
    </row>
    <row r="30">
      <c r="A30" s="2">
        <f>IFERROR(__xludf.DUMMYFUNCTION("""COMPUTED_VALUE"""),29.0)</f>
        <v>29</v>
      </c>
      <c r="B30" s="2">
        <f>IFERROR(__xludf.DUMMYFUNCTION("""COMPUTED_VALUE"""),11.0)</f>
        <v>11</v>
      </c>
      <c r="C30" s="2" t="str">
        <f>IFERROR(__xludf.DUMMYFUNCTION("""COMPUTED_VALUE"""),"*Fast and Furious 8*")</f>
        <v>*Fast and Furious 8*</v>
      </c>
      <c r="D30" s="2" t="str">
        <f>IFERROR(__xludf.DUMMYFUNCTION("""COMPUTED_VALUE"""),"F. Gary Gray")</f>
        <v>F. Gary Gray</v>
      </c>
      <c r="E30" s="2">
        <f>IFERROR(__xludf.DUMMYFUNCTION("""COMPUTED_VALUE"""),2017.0)</f>
        <v>2017</v>
      </c>
      <c r="F30" s="3" t="str">
        <f>IFERROR(__xludf.DUMMYFUNCTION("""COMPUTED_VALUE"""),"États-Unis")</f>
        <v>États-Unis</v>
      </c>
      <c r="G30" s="3" t="str">
        <f>IFERROR(__xludf.DUMMYFUNCTION("""COMPUTED_VALUE"""),"1 236 009 236 $[a 30]")</f>
        <v>1 236 009 236 $[a 30]</v>
      </c>
      <c r="H30" s="2" t="str">
        <f>IFERROR(__xludf.DUMMYFUNCTION("SPLIT(G30,""$"")"),"1 236 009 236 ")</f>
        <v>1 236 009 236 </v>
      </c>
      <c r="I30" s="2" t="str">
        <f>IFERROR(__xludf.DUMMYFUNCTION("""COMPUTED_VALUE"""),"[a 30]")</f>
        <v>[a 30]</v>
      </c>
    </row>
    <row r="31">
      <c r="A31" s="2">
        <f>IFERROR(__xludf.DUMMYFUNCTION("""COMPUTED_VALUE"""),30.0)</f>
        <v>30</v>
      </c>
      <c r="B31" s="2">
        <f>IFERROR(__xludf.DUMMYFUNCTION("""COMPUTED_VALUE"""),5.0)</f>
        <v>5</v>
      </c>
      <c r="C31" s="2" t="str">
        <f>IFERROR(__xludf.DUMMYFUNCTION("""COMPUTED_VALUE"""),"*Iron Man 3*")</f>
        <v>*Iron Man 3*</v>
      </c>
      <c r="D31" s="2" t="str">
        <f>IFERROR(__xludf.DUMMYFUNCTION("""COMPUTED_VALUE"""),"Shane Black")</f>
        <v>Shane Black</v>
      </c>
      <c r="E31" s="2">
        <f>IFERROR(__xludf.DUMMYFUNCTION("""COMPUTED_VALUE"""),2013.0)</f>
        <v>2013</v>
      </c>
      <c r="F31" s="3" t="str">
        <f>IFERROR(__xludf.DUMMYFUNCTION("""COMPUTED_VALUE"""),"États-Unis")</f>
        <v>États-Unis</v>
      </c>
      <c r="G31" s="3" t="str">
        <f>IFERROR(__xludf.DUMMYFUNCTION("""COMPUTED_VALUE"""),"1 215 577 205 $[a 31]")</f>
        <v>1 215 577 205 $[a 31]</v>
      </c>
      <c r="H31" s="2" t="str">
        <f>IFERROR(__xludf.DUMMYFUNCTION("SPLIT(G31,""$"")"),"1 215 577 205 ")</f>
        <v>1 215 577 205 </v>
      </c>
      <c r="I31" s="2" t="str">
        <f>IFERROR(__xludf.DUMMYFUNCTION("""COMPUTED_VALUE"""),"[a 31]")</f>
        <v>[a 31]</v>
      </c>
    </row>
    <row r="32">
      <c r="A32" s="2">
        <f>IFERROR(__xludf.DUMMYFUNCTION("""COMPUTED_VALUE"""),31.0)</f>
        <v>31</v>
      </c>
      <c r="B32" s="2">
        <f>IFERROR(__xludf.DUMMYFUNCTION("""COMPUTED_VALUE"""),10.0)</f>
        <v>10</v>
      </c>
      <c r="C32" s="2" t="str">
        <f>IFERROR(__xludf.DUMMYFUNCTION("""COMPUTED_VALUE"""),"*Les Minions*")</f>
        <v>*Les Minions*</v>
      </c>
      <c r="D32" s="2" t="str">
        <f>IFERROR(__xludf.DUMMYFUNCTION("""COMPUTED_VALUE"""),"Kyle Balda
Pierre Coffin")</f>
        <v>Kyle Balda
Pierre Coffin</v>
      </c>
      <c r="E32" s="2">
        <f>IFERROR(__xludf.DUMMYFUNCTION("""COMPUTED_VALUE"""),2015.0)</f>
        <v>2015</v>
      </c>
      <c r="F32" s="3" t="str">
        <f>IFERROR(__xludf.DUMMYFUNCTION("""COMPUTED_VALUE"""),"États-Unis")</f>
        <v>États-Unis</v>
      </c>
      <c r="G32" s="3" t="str">
        <f>IFERROR(__xludf.DUMMYFUNCTION("""COMPUTED_VALUE"""),"1 159 457 503 $[a 32]")</f>
        <v>1 159 457 503 $[a 32]</v>
      </c>
      <c r="H32" s="2" t="str">
        <f>IFERROR(__xludf.DUMMYFUNCTION("SPLIT(G32,""$"")"),"1 159 457 503 ")</f>
        <v>1 159 457 503 </v>
      </c>
      <c r="I32" s="2" t="str">
        <f>IFERROR(__xludf.DUMMYFUNCTION("""COMPUTED_VALUE"""),"[a 32]")</f>
        <v>[a 32]</v>
      </c>
    </row>
    <row r="33">
      <c r="A33" s="2">
        <f>IFERROR(__xludf.DUMMYFUNCTION("""COMPUTED_VALUE"""),32.0)</f>
        <v>32</v>
      </c>
      <c r="B33" s="2">
        <f>IFERROR(__xludf.DUMMYFUNCTION("""COMPUTED_VALUE"""),12.0)</f>
        <v>12</v>
      </c>
      <c r="C33" s="2" t="str">
        <f>IFERROR(__xludf.DUMMYFUNCTION("""COMPUTED_VALUE"""),"*Captain America: Civil War*")</f>
        <v>*Captain America: Civil War*</v>
      </c>
      <c r="D33" s="2" t="str">
        <f>IFERROR(__xludf.DUMMYFUNCTION("""COMPUTED_VALUE"""),"Anthony et
Joe Russo")</f>
        <v>Anthony et
Joe Russo</v>
      </c>
      <c r="E33" s="2">
        <f>IFERROR(__xludf.DUMMYFUNCTION("""COMPUTED_VALUE"""),2016.0)</f>
        <v>2016</v>
      </c>
      <c r="F33" s="3" t="str">
        <f>IFERROR(__xludf.DUMMYFUNCTION("""COMPUTED_VALUE"""),"États-Unis")</f>
        <v>États-Unis</v>
      </c>
      <c r="G33" s="3" t="str">
        <f>IFERROR(__xludf.DUMMYFUNCTION("""COMPUTED_VALUE"""),"1 155 046 416 $[a 33]")</f>
        <v>1 155 046 416 $[a 33]</v>
      </c>
      <c r="H33" s="2" t="str">
        <f>IFERROR(__xludf.DUMMYFUNCTION("SPLIT(G33,""$"")"),"1 155 046 416 ")</f>
        <v>1 155 046 416 </v>
      </c>
      <c r="I33" s="2" t="str">
        <f>IFERROR(__xludf.DUMMYFUNCTION("""COMPUTED_VALUE"""),"[a 33]")</f>
        <v>[a 33]</v>
      </c>
    </row>
    <row r="34">
      <c r="A34" s="2">
        <f>IFERROR(__xludf.DUMMYFUNCTION("""COMPUTED_VALUE"""),33.0)</f>
        <v>33</v>
      </c>
      <c r="B34" s="2">
        <f>IFERROR(__xludf.DUMMYFUNCTION("""COMPUTED_VALUE"""),20.0)</f>
        <v>20</v>
      </c>
      <c r="C34" s="2" t="str">
        <f>IFERROR(__xludf.DUMMYFUNCTION("""COMPUTED_VALUE"""),"*Aquaman*")</f>
        <v>*Aquaman*</v>
      </c>
      <c r="D34" s="2" t="str">
        <f>IFERROR(__xludf.DUMMYFUNCTION("""COMPUTED_VALUE"""),"James Wan")</f>
        <v>James Wan</v>
      </c>
      <c r="E34" s="2">
        <f>IFERROR(__xludf.DUMMYFUNCTION("""COMPUTED_VALUE"""),2018.0)</f>
        <v>2018</v>
      </c>
      <c r="F34" s="3" t="str">
        <f>IFERROR(__xludf.DUMMYFUNCTION("""COMPUTED_VALUE"""),"États-Unis")</f>
        <v>États-Unis</v>
      </c>
      <c r="G34" s="3" t="str">
        <f>IFERROR(__xludf.DUMMYFUNCTION("""COMPUTED_VALUE"""),"1 152 028 393 $[a 34]")</f>
        <v>1 152 028 393 $[a 34]</v>
      </c>
      <c r="H34" s="2" t="str">
        <f>IFERROR(__xludf.DUMMYFUNCTION("SPLIT(G34,""$"")"),"1 152 028 393 ")</f>
        <v>1 152 028 393 </v>
      </c>
      <c r="I34" s="2" t="str">
        <f>IFERROR(__xludf.DUMMYFUNCTION("""COMPUTED_VALUE"""),"[a 34]")</f>
        <v>[a 34]</v>
      </c>
    </row>
    <row r="35">
      <c r="A35" s="2">
        <f>IFERROR(__xludf.DUMMYFUNCTION("""COMPUTED_VALUE"""),34.0)</f>
        <v>34</v>
      </c>
      <c r="B35" s="2">
        <f>IFERROR(__xludf.DUMMYFUNCTION("""COMPUTED_VALUE"""),2.0)</f>
        <v>2</v>
      </c>
      <c r="C35" s="2" t="str">
        <f>IFERROR(__xludf.DUMMYFUNCTION("""COMPUTED_VALUE"""),"*Le Seigneur des anneaux : Le Retour du roi*")</f>
        <v>*Le Seigneur des anneaux : Le Retour du roi*</v>
      </c>
      <c r="D35" s="2" t="str">
        <f>IFERROR(__xludf.DUMMYFUNCTION("""COMPUTED_VALUE"""),"Peter Jackson")</f>
        <v>Peter Jackson</v>
      </c>
      <c r="E35" s="2">
        <f>IFERROR(__xludf.DUMMYFUNCTION("""COMPUTED_VALUE"""),2003.0)</f>
        <v>2003</v>
      </c>
      <c r="F35" s="3" t="str">
        <f>IFERROR(__xludf.DUMMYFUNCTION("""COMPUTED_VALUE"""),"États-Unis
Nouvelle-Zélande")</f>
        <v>États-Unis
Nouvelle-Zélande</v>
      </c>
      <c r="G35" s="3" t="str">
        <f>IFERROR(__xludf.DUMMYFUNCTION("""COMPUTED_VALUE"""),"1 148 108 624 $[a 35]")</f>
        <v>1 148 108 624 $[a 35]</v>
      </c>
      <c r="H35" s="2" t="str">
        <f>IFERROR(__xludf.DUMMYFUNCTION("SPLIT(G35,""$"")"),"1 148 108 624 ")</f>
        <v>1 148 108 624 </v>
      </c>
      <c r="I35" s="2" t="str">
        <f>IFERROR(__xludf.DUMMYFUNCTION("""COMPUTED_VALUE"""),"[a 35]")</f>
        <v>[a 35]</v>
      </c>
    </row>
    <row r="36">
      <c r="A36" s="2">
        <f>IFERROR(__xludf.DUMMYFUNCTION("""COMPUTED_VALUE"""),35.0)</f>
        <v>35</v>
      </c>
      <c r="B36" s="2">
        <f>IFERROR(__xludf.DUMMYFUNCTION("""COMPUTED_VALUE"""),24.0)</f>
        <v>24</v>
      </c>
      <c r="C36" s="2" t="str">
        <f>IFERROR(__xludf.DUMMYFUNCTION("""COMPUTED_VALUE"""),"*Spider-Man: Far From Home*")</f>
        <v>*Spider-Man: Far From Home*</v>
      </c>
      <c r="D36" s="2" t="str">
        <f>IFERROR(__xludf.DUMMYFUNCTION("""COMPUTED_VALUE"""),"Jon Watts")</f>
        <v>Jon Watts</v>
      </c>
      <c r="E36" s="2">
        <f>IFERROR(__xludf.DUMMYFUNCTION("""COMPUTED_VALUE"""),2019.0)</f>
        <v>2019</v>
      </c>
      <c r="F36" s="3" t="str">
        <f>IFERROR(__xludf.DUMMYFUNCTION("""COMPUTED_VALUE"""),"États-Unis")</f>
        <v>États-Unis</v>
      </c>
      <c r="G36" s="3" t="str">
        <f>IFERROR(__xludf.DUMMYFUNCTION("""COMPUTED_VALUE"""),"1 132 723 226 $[a 36]")</f>
        <v>1 132 723 226 $[a 36]</v>
      </c>
      <c r="H36" s="2" t="str">
        <f>IFERROR(__xludf.DUMMYFUNCTION("SPLIT(G36,""$"")"),"1 132 723 226 ")</f>
        <v>1 132 723 226 </v>
      </c>
      <c r="I36" s="2" t="str">
        <f>IFERROR(__xludf.DUMMYFUNCTION("""COMPUTED_VALUE"""),"[a 36]")</f>
        <v>[a 36]</v>
      </c>
    </row>
    <row r="37">
      <c r="A37" s="2">
        <f>IFERROR(__xludf.DUMMYFUNCTION("""COMPUTED_VALUE"""),36.0)</f>
        <v>36</v>
      </c>
      <c r="B37" s="2">
        <f>IFERROR(__xludf.DUMMYFUNCTION("""COMPUTED_VALUE"""),23.0)</f>
        <v>23</v>
      </c>
      <c r="C37" s="2" t="str">
        <f>IFERROR(__xludf.DUMMYFUNCTION("""COMPUTED_VALUE"""),"*Captain Marvel*")</f>
        <v>*Captain Marvel*</v>
      </c>
      <c r="D37" s="2" t="str">
        <f>IFERROR(__xludf.DUMMYFUNCTION("""COMPUTED_VALUE"""),"Anna Boden
Ryan Fleck")</f>
        <v>Anna Boden
Ryan Fleck</v>
      </c>
      <c r="E37" s="2">
        <f>IFERROR(__xludf.DUMMYFUNCTION("""COMPUTED_VALUE"""),2019.0)</f>
        <v>2019</v>
      </c>
      <c r="F37" s="3" t="str">
        <f>IFERROR(__xludf.DUMMYFUNCTION("""COMPUTED_VALUE"""),"États-Unis")</f>
        <v>États-Unis</v>
      </c>
      <c r="G37" s="3" t="str">
        <f>IFERROR(__xludf.DUMMYFUNCTION("""COMPUTED_VALUE"""),"1 131 416 446 $[a 37]")</f>
        <v>1 131 416 446 $[a 37]</v>
      </c>
      <c r="H37" s="2" t="str">
        <f>IFERROR(__xludf.DUMMYFUNCTION("SPLIT(G37,""$"")"),"1 131 416 446 ")</f>
        <v>1 131 416 446 </v>
      </c>
      <c r="I37" s="2" t="str">
        <f>IFERROR(__xludf.DUMMYFUNCTION("""COMPUTED_VALUE"""),"[a 37]")</f>
        <v>[a 37]</v>
      </c>
    </row>
    <row r="38">
      <c r="A38" s="2">
        <f>IFERROR(__xludf.DUMMYFUNCTION("""COMPUTED_VALUE"""),37.0)</f>
        <v>37</v>
      </c>
      <c r="B38" s="2">
        <f>IFERROR(__xludf.DUMMYFUNCTION("""COMPUTED_VALUE"""),5.0)</f>
        <v>5</v>
      </c>
      <c r="C38" s="2" t="str">
        <f>IFERROR(__xludf.DUMMYFUNCTION("""COMPUTED_VALUE"""),"*Transformers 3 : La Face cachée de la Lune*")</f>
        <v>*Transformers 3 : La Face cachée de la Lune*</v>
      </c>
      <c r="D38" s="2" t="str">
        <f>IFERROR(__xludf.DUMMYFUNCTION("""COMPUTED_VALUE"""),"Michael Bay")</f>
        <v>Michael Bay</v>
      </c>
      <c r="E38" s="2">
        <f>IFERROR(__xludf.DUMMYFUNCTION("""COMPUTED_VALUE"""),2011.0)</f>
        <v>2011</v>
      </c>
      <c r="F38" s="3" t="str">
        <f>IFERROR(__xludf.DUMMYFUNCTION("""COMPUTED_VALUE"""),"États-Unis")</f>
        <v>États-Unis</v>
      </c>
      <c r="G38" s="3" t="str">
        <f>IFERROR(__xludf.DUMMYFUNCTION("""COMPUTED_VALUE"""),"1 123 794 079 $[a 38]")</f>
        <v>1 123 794 079 $[a 38]</v>
      </c>
      <c r="H38" s="2" t="str">
        <f>IFERROR(__xludf.DUMMYFUNCTION("SPLIT(G38,""$"")"),"1 123 794 079 ")</f>
        <v>1 123 794 079 </v>
      </c>
      <c r="I38" s="2" t="str">
        <f>IFERROR(__xludf.DUMMYFUNCTION("""COMPUTED_VALUE"""),"[a 38]")</f>
        <v>[a 38]</v>
      </c>
    </row>
    <row r="39">
      <c r="A39" s="2">
        <f>IFERROR(__xludf.DUMMYFUNCTION("""COMPUTED_VALUE"""),38.0)</f>
        <v>38</v>
      </c>
      <c r="B39" s="2">
        <f>IFERROR(__xludf.DUMMYFUNCTION("""COMPUTED_VALUE"""),7.0)</f>
        <v>7</v>
      </c>
      <c r="C39" s="2" t="str">
        <f>IFERROR(__xludf.DUMMYFUNCTION("""COMPUTED_VALUE"""),"*Skyfall*")</f>
        <v>*Skyfall*</v>
      </c>
      <c r="D39" s="2" t="str">
        <f>IFERROR(__xludf.DUMMYFUNCTION("""COMPUTED_VALUE"""),"Sam Mendes")</f>
        <v>Sam Mendes</v>
      </c>
      <c r="E39" s="2">
        <f>IFERROR(__xludf.DUMMYFUNCTION("""COMPUTED_VALUE"""),2012.0)</f>
        <v>2012</v>
      </c>
      <c r="F39" s="3" t="str">
        <f>IFERROR(__xludf.DUMMYFUNCTION("""COMPUTED_VALUE"""),"États-Unis
Royaume-Uni")</f>
        <v>États-Unis
Royaume-Uni</v>
      </c>
      <c r="G39" s="3" t="str">
        <f>IFERROR(__xludf.DUMMYFUNCTION("""COMPUTED_VALUE"""),"1 108 594 137 $[a 39]")</f>
        <v>1 108 594 137 $[a 39]</v>
      </c>
      <c r="H39" s="2" t="str">
        <f>IFERROR(__xludf.DUMMYFUNCTION("SPLIT(G39,""$"")"),"1 108 594 137 ")</f>
        <v>1 108 594 137 </v>
      </c>
      <c r="I39" s="2" t="str">
        <f>IFERROR(__xludf.DUMMYFUNCTION("""COMPUTED_VALUE"""),"[a 39]")</f>
        <v>[a 39]</v>
      </c>
    </row>
    <row r="40">
      <c r="A40" s="2">
        <f>IFERROR(__xludf.DUMMYFUNCTION("""COMPUTED_VALUE"""),39.0)</f>
        <v>39</v>
      </c>
      <c r="B40" s="2">
        <f>IFERROR(__xludf.DUMMYFUNCTION("""COMPUTED_VALUE"""),10.0)</f>
        <v>10</v>
      </c>
      <c r="C40" s="2" t="str">
        <f>IFERROR(__xludf.DUMMYFUNCTION("""COMPUTED_VALUE"""),"*Transformers : L'Âge de l'extinction*")</f>
        <v>*Transformers : L'Âge de l'extinction*</v>
      </c>
      <c r="D40" s="2" t="str">
        <f>IFERROR(__xludf.DUMMYFUNCTION("""COMPUTED_VALUE"""),"Michael Bay")</f>
        <v>Michael Bay</v>
      </c>
      <c r="E40" s="2">
        <f>IFERROR(__xludf.DUMMYFUNCTION("""COMPUTED_VALUE"""),2014.0)</f>
        <v>2014</v>
      </c>
      <c r="F40" s="3" t="str">
        <f>IFERROR(__xludf.DUMMYFUNCTION("""COMPUTED_VALUE"""),"États-Unis")</f>
        <v>États-Unis</v>
      </c>
      <c r="G40" s="3" t="str">
        <f>IFERROR(__xludf.DUMMYFUNCTION("""COMPUTED_VALUE"""),"1 105 261 713 $[a 40]")</f>
        <v>1 105 261 713 $[a 40]</v>
      </c>
      <c r="H40" s="2" t="str">
        <f>IFERROR(__xludf.DUMMYFUNCTION("SPLIT(G40,""$"")"),"1 105 261 713 ")</f>
        <v>1 105 261 713 </v>
      </c>
      <c r="I40" s="2" t="str">
        <f>IFERROR(__xludf.DUMMYFUNCTION("""COMPUTED_VALUE"""),"[a 40]")</f>
        <v>[a 40]</v>
      </c>
    </row>
    <row r="41">
      <c r="A41" s="2">
        <f>IFERROR(__xludf.DUMMYFUNCTION("""COMPUTED_VALUE"""),40.0)</f>
        <v>40</v>
      </c>
      <c r="B41" s="2">
        <f>IFERROR(__xludf.DUMMYFUNCTION("""COMPUTED_VALUE"""),1.0)</f>
        <v>1</v>
      </c>
      <c r="C41" s="2" t="str">
        <f>IFERROR(__xludf.DUMMYFUNCTION("""COMPUTED_VALUE"""),"*Jurassic Park*")</f>
        <v>*Jurassic Park*</v>
      </c>
      <c r="D41" s="2" t="str">
        <f>IFERROR(__xludf.DUMMYFUNCTION("""COMPUTED_VALUE"""),"Steven Spielberg")</f>
        <v>Steven Spielberg</v>
      </c>
      <c r="E41" s="2">
        <f>IFERROR(__xludf.DUMMYFUNCTION("""COMPUTED_VALUE"""),1993.0)</f>
        <v>1993</v>
      </c>
      <c r="F41" s="3" t="str">
        <f>IFERROR(__xludf.DUMMYFUNCTION("""COMPUTED_VALUE"""),"États-Unis")</f>
        <v>États-Unis</v>
      </c>
      <c r="G41" s="3" t="str">
        <f>IFERROR(__xludf.DUMMYFUNCTION("""COMPUTED_VALUE"""),"1 103 096 466 $[a 41]")</f>
        <v>1 103 096 466 $[a 41]</v>
      </c>
      <c r="H41" s="2" t="str">
        <f>IFERROR(__xludf.DUMMYFUNCTION("SPLIT(G41,""$"")"),"1 103 096 466 ")</f>
        <v>1 103 096 466 </v>
      </c>
      <c r="I41" s="2" t="str">
        <f>IFERROR(__xludf.DUMMYFUNCTION("""COMPUTED_VALUE"""),"[a 41]")</f>
        <v>[a 41]</v>
      </c>
    </row>
    <row r="42">
      <c r="A42" s="2">
        <f>IFERROR(__xludf.DUMMYFUNCTION("""COMPUTED_VALUE"""),41.0)</f>
        <v>41</v>
      </c>
      <c r="B42" s="2">
        <f>IFERROR(__xludf.DUMMYFUNCTION("""COMPUTED_VALUE"""),7.0)</f>
        <v>7</v>
      </c>
      <c r="C42" s="2" t="str">
        <f>IFERROR(__xludf.DUMMYFUNCTION("""COMPUTED_VALUE"""),"*The Dark Knight Rises*")</f>
        <v>*The Dark Knight Rises*</v>
      </c>
      <c r="D42" s="2" t="str">
        <f>IFERROR(__xludf.DUMMYFUNCTION("""COMPUTED_VALUE"""),"Christopher Nolan")</f>
        <v>Christopher Nolan</v>
      </c>
      <c r="E42" s="2">
        <f>IFERROR(__xludf.DUMMYFUNCTION("""COMPUTED_VALUE"""),2012.0)</f>
        <v>2012</v>
      </c>
      <c r="F42" s="3" t="str">
        <f>IFERROR(__xludf.DUMMYFUNCTION("""COMPUTED_VALUE"""),"États-Unis
Royaume-Uni")</f>
        <v>États-Unis
Royaume-Uni</v>
      </c>
      <c r="G42" s="3" t="str">
        <f>IFERROR(__xludf.DUMMYFUNCTION("""COMPUTED_VALUE"""),"1 085 199 115 $[a 42]")</f>
        <v>1 085 199 115 $[a 42]</v>
      </c>
      <c r="H42" s="2" t="str">
        <f>IFERROR(__xludf.DUMMYFUNCTION("SPLIT(G42,""$"")"),"1 085 199 115 ")</f>
        <v>1 085 199 115 </v>
      </c>
      <c r="I42" s="2" t="str">
        <f>IFERROR(__xludf.DUMMYFUNCTION("""COMPUTED_VALUE"""),"[a 42]")</f>
        <v>[a 42]</v>
      </c>
    </row>
    <row r="43">
      <c r="A43" s="2">
        <f>IFERROR(__xludf.DUMMYFUNCTION("""COMPUTED_VALUE"""),42.0)</f>
        <v>42</v>
      </c>
      <c r="B43" s="2">
        <f>IFERROR(__xludf.DUMMYFUNCTION("""COMPUTED_VALUE"""),31.0)</f>
        <v>31</v>
      </c>
      <c r="C43" s="2" t="str">
        <f>IFERROR(__xludf.DUMMYFUNCTION("""COMPUTED_VALUE"""),"*Joker*")</f>
        <v>*Joker*</v>
      </c>
      <c r="D43" s="2" t="str">
        <f>IFERROR(__xludf.DUMMYFUNCTION("""COMPUTED_VALUE"""),"Todd Phillips")</f>
        <v>Todd Phillips</v>
      </c>
      <c r="E43" s="2">
        <f>IFERROR(__xludf.DUMMYFUNCTION("""COMPUTED_VALUE"""),2019.0)</f>
        <v>2019</v>
      </c>
      <c r="F43" s="3" t="str">
        <f>IFERROR(__xludf.DUMMYFUNCTION("""COMPUTED_VALUE"""),"États-Unis")</f>
        <v>États-Unis</v>
      </c>
      <c r="G43" s="3" t="str">
        <f>IFERROR(__xludf.DUMMYFUNCTION("""COMPUTED_VALUE"""),"1 078 958 629 $[a 43]")</f>
        <v>1 078 958 629 $[a 43]</v>
      </c>
      <c r="H43" s="2" t="str">
        <f>IFERROR(__xludf.DUMMYFUNCTION("SPLIT(G43,""$"")"),"1 078 958 629 ")</f>
        <v>1 078 958 629 </v>
      </c>
      <c r="I43" s="2" t="str">
        <f>IFERROR(__xludf.DUMMYFUNCTION("""COMPUTED_VALUE"""),"[a 43]")</f>
        <v>[a 43]</v>
      </c>
    </row>
    <row r="44">
      <c r="A44" s="2">
        <f>IFERROR(__xludf.DUMMYFUNCTION("""COMPUTED_VALUE"""),43.0)</f>
        <v>43</v>
      </c>
      <c r="B44" s="2">
        <f>IFERROR(__xludf.DUMMYFUNCTION("""COMPUTED_VALUE"""),32.0)</f>
        <v>32</v>
      </c>
      <c r="C44" s="2" t="str">
        <f>IFERROR(__xludf.DUMMYFUNCTION("""COMPUTED_VALUE"""),"*Star Wars, épisode IX : L'Ascension de Skywalker*")</f>
        <v>*Star Wars, épisode IX : L'Ascension de Skywalker*</v>
      </c>
      <c r="D44" s="2" t="str">
        <f>IFERROR(__xludf.DUMMYFUNCTION("""COMPUTED_VALUE"""),"J. J. Abrams")</f>
        <v>J. J. Abrams</v>
      </c>
      <c r="E44" s="2">
        <f>IFERROR(__xludf.DUMMYFUNCTION("""COMPUTED_VALUE"""),2019.0)</f>
        <v>2019</v>
      </c>
      <c r="F44" s="3" t="str">
        <f>IFERROR(__xludf.DUMMYFUNCTION("""COMPUTED_VALUE"""),"États-Unis")</f>
        <v>États-Unis</v>
      </c>
      <c r="G44" s="3" t="str">
        <f>IFERROR(__xludf.DUMMYFUNCTION("""COMPUTED_VALUE"""),"1 077 022 372 $[a 44]")</f>
        <v>1 077 022 372 $[a 44]</v>
      </c>
      <c r="H44" s="2" t="str">
        <f>IFERROR(__xludf.DUMMYFUNCTION("SPLIT(G44,""$"")"),"1 077 022 372 ")</f>
        <v>1 077 022 372 </v>
      </c>
      <c r="I44" s="2" t="str">
        <f>IFERROR(__xludf.DUMMYFUNCTION("""COMPUTED_VALUE"""),"[a 44]")</f>
        <v>[a 44]</v>
      </c>
    </row>
    <row r="45">
      <c r="A45" s="2">
        <f>IFERROR(__xludf.DUMMYFUNCTION("""COMPUTED_VALUE"""),44.0)</f>
        <v>44</v>
      </c>
      <c r="B45" s="2">
        <f>IFERROR(__xludf.DUMMYFUNCTION("""COMPUTED_VALUE"""),30.0)</f>
        <v>30</v>
      </c>
      <c r="C45" s="2" t="str">
        <f>IFERROR(__xludf.DUMMYFUNCTION("""COMPUTED_VALUE"""),"*Toy Story 4*")</f>
        <v>*Toy Story 4*</v>
      </c>
      <c r="D45" s="2" t="str">
        <f>IFERROR(__xludf.DUMMYFUNCTION("""COMPUTED_VALUE"""),"Josh Cooley")</f>
        <v>Josh Cooley</v>
      </c>
      <c r="E45" s="2">
        <f>IFERROR(__xludf.DUMMYFUNCTION("""COMPUTED_VALUE"""),2019.0)</f>
        <v>2019</v>
      </c>
      <c r="F45" s="3" t="str">
        <f>IFERROR(__xludf.DUMMYFUNCTION("""COMPUTED_VALUE"""),"États-Unis")</f>
        <v>États-Unis</v>
      </c>
      <c r="G45" s="3" t="str">
        <f>IFERROR(__xludf.DUMMYFUNCTION("""COMPUTED_VALUE"""),"1 073 841 394 $[a 45]")</f>
        <v>1 073 841 394 $[a 45]</v>
      </c>
      <c r="H45" s="2" t="str">
        <f>IFERROR(__xludf.DUMMYFUNCTION("SPLIT(G45,""$"")"),"1 073 841 394 ")</f>
        <v>1 073 841 394 </v>
      </c>
      <c r="I45" s="2" t="str">
        <f>IFERROR(__xludf.DUMMYFUNCTION("""COMPUTED_VALUE"""),"[a 45]")</f>
        <v>[a 45]</v>
      </c>
    </row>
    <row r="46">
      <c r="A46" s="2">
        <f>IFERROR(__xludf.DUMMYFUNCTION("""COMPUTED_VALUE"""),45.0)</f>
        <v>45</v>
      </c>
      <c r="B46" s="2">
        <f>IFERROR(__xludf.DUMMYFUNCTION("""COMPUTED_VALUE"""),4.0)</f>
        <v>4</v>
      </c>
      <c r="C46" s="2" t="str">
        <f>IFERROR(__xludf.DUMMYFUNCTION("""COMPUTED_VALUE"""),"*Toy Story 3*")</f>
        <v>*Toy Story 3*</v>
      </c>
      <c r="D46" s="2" t="str">
        <f>IFERROR(__xludf.DUMMYFUNCTION("""COMPUTED_VALUE"""),"Lee Unkrich")</f>
        <v>Lee Unkrich</v>
      </c>
      <c r="E46" s="2">
        <f>IFERROR(__xludf.DUMMYFUNCTION("""COMPUTED_VALUE"""),2010.0)</f>
        <v>2010</v>
      </c>
      <c r="F46" s="3" t="str">
        <f>IFERROR(__xludf.DUMMYFUNCTION("""COMPUTED_VALUE"""),"États-Unis")</f>
        <v>États-Unis</v>
      </c>
      <c r="G46" s="3" t="str">
        <f>IFERROR(__xludf.DUMMYFUNCTION("""COMPUTED_VALUE"""),"1 067 316 101 $[a 46]")</f>
        <v>1 067 316 101 $[a 46]</v>
      </c>
      <c r="H46" s="2" t="str">
        <f>IFERROR(__xludf.DUMMYFUNCTION("SPLIT(G46,""$"")"),"1 067 316 101 ")</f>
        <v>1 067 316 101 </v>
      </c>
      <c r="I46" s="2" t="str">
        <f>IFERROR(__xludf.DUMMYFUNCTION("""COMPUTED_VALUE"""),"[a 46]")</f>
        <v>[a 46]</v>
      </c>
    </row>
    <row r="47">
      <c r="A47" s="2">
        <f>IFERROR(__xludf.DUMMYFUNCTION("""COMPUTED_VALUE"""),46.0)</f>
        <v>46</v>
      </c>
      <c r="B47" s="2">
        <f>IFERROR(__xludf.DUMMYFUNCTION("""COMPUTED_VALUE"""),3.0)</f>
        <v>3</v>
      </c>
      <c r="C47" s="2" t="str">
        <f>IFERROR(__xludf.DUMMYFUNCTION("""COMPUTED_VALUE"""),"*Pirates des Caraïbes : Le Secret du coffre maudit*")</f>
        <v>*Pirates des Caraïbes : Le Secret du coffre maudit*</v>
      </c>
      <c r="D47" s="2" t="str">
        <f>IFERROR(__xludf.DUMMYFUNCTION("""COMPUTED_VALUE"""),"Gore Verbinski")</f>
        <v>Gore Verbinski</v>
      </c>
      <c r="E47" s="2">
        <f>IFERROR(__xludf.DUMMYFUNCTION("""COMPUTED_VALUE"""),2006.0)</f>
        <v>2006</v>
      </c>
      <c r="F47" s="3" t="str">
        <f>IFERROR(__xludf.DUMMYFUNCTION("""COMPUTED_VALUE"""),"États-Unis")</f>
        <v>États-Unis</v>
      </c>
      <c r="G47" s="3" t="str">
        <f>IFERROR(__xludf.DUMMYFUNCTION("""COMPUTED_VALUE"""),"1 066 179 747 $[a 47]")</f>
        <v>1 066 179 747 $[a 47]</v>
      </c>
      <c r="H47" s="2" t="str">
        <f>IFERROR(__xludf.DUMMYFUNCTION("SPLIT(G47,""$"")"),"1 066 179 747 ")</f>
        <v>1 066 179 747 </v>
      </c>
      <c r="I47" s="2" t="str">
        <f>IFERROR(__xludf.DUMMYFUNCTION("""COMPUTED_VALUE"""),"[a 47]")</f>
        <v>[a 47]</v>
      </c>
    </row>
    <row r="48">
      <c r="A48" s="2">
        <f>IFERROR(__xludf.DUMMYFUNCTION("""COMPUTED_VALUE"""),47.0)</f>
        <v>47</v>
      </c>
      <c r="B48" s="2">
        <f>IFERROR(__xludf.DUMMYFUNCTION("""COMPUTED_VALUE"""),45.0)</f>
        <v>45</v>
      </c>
      <c r="C48" s="2" t="str">
        <f>IFERROR(__xludf.DUMMYFUNCTION("""COMPUTED_VALUE"""),"*Vaiana 2*")</f>
        <v>*Vaiana 2*</v>
      </c>
      <c r="D48" s="2" t="str">
        <f>IFERROR(__xludf.DUMMYFUNCTION("""COMPUTED_VALUE"""),"David Derrick Jr. (en)")</f>
        <v>David Derrick Jr. (en)</v>
      </c>
      <c r="E48" s="2">
        <f>IFERROR(__xludf.DUMMYFUNCTION("""COMPUTED_VALUE"""),2024.0)</f>
        <v>2024</v>
      </c>
      <c r="F48" s="3" t="str">
        <f>IFERROR(__xludf.DUMMYFUNCTION("""COMPUTED_VALUE"""),"États-Unis")</f>
        <v>États-Unis</v>
      </c>
      <c r="G48" s="3" t="str">
        <f>IFERROR(__xludf.DUMMYFUNCTION("""COMPUTED_VALUE"""),"1 059 242 164 $[a 48]")</f>
        <v>1 059 242 164 $[a 48]</v>
      </c>
      <c r="H48" s="2" t="str">
        <f>IFERROR(__xludf.DUMMYFUNCTION("SPLIT(G48,""$"")"),"1 059 242 164 ")</f>
        <v>1 059 242 164 </v>
      </c>
      <c r="I48" s="2" t="str">
        <f>IFERROR(__xludf.DUMMYFUNCTION("""COMPUTED_VALUE"""),"[a 48]")</f>
        <v>[a 48]</v>
      </c>
    </row>
    <row r="49">
      <c r="A49" s="2">
        <f>IFERROR(__xludf.DUMMYFUNCTION("""COMPUTED_VALUE"""),48.0)</f>
        <v>48</v>
      </c>
      <c r="B49" s="2">
        <f>IFERROR(__xludf.DUMMYFUNCTION("""COMPUTED_VALUE"""),20.0)</f>
        <v>20</v>
      </c>
      <c r="C49" s="2" t="str">
        <f>IFERROR(__xludf.DUMMYFUNCTION("""COMPUTED_VALUE"""),"*Rogue One: A Star Wars Story*")</f>
        <v>*Rogue One: A Star Wars Story*</v>
      </c>
      <c r="D49" s="2" t="str">
        <f>IFERROR(__xludf.DUMMYFUNCTION("""COMPUTED_VALUE"""),"Gareth Edwards")</f>
        <v>Gareth Edwards</v>
      </c>
      <c r="E49" s="2">
        <f>IFERROR(__xludf.DUMMYFUNCTION("""COMPUTED_VALUE"""),2016.0)</f>
        <v>2016</v>
      </c>
      <c r="F49" s="3" t="str">
        <f>IFERROR(__xludf.DUMMYFUNCTION("""COMPUTED_VALUE"""),"États-Unis")</f>
        <v>États-Unis</v>
      </c>
      <c r="G49" s="3" t="str">
        <f>IFERROR(__xludf.DUMMYFUNCTION("""COMPUTED_VALUE"""),"1 058 684 742 $[a 49]")</f>
        <v>1 058 684 742 $[a 49]</v>
      </c>
      <c r="H49" s="2" t="str">
        <f>IFERROR(__xludf.DUMMYFUNCTION("SPLIT(G49,""$"")"),"1 058 684 742 ")</f>
        <v>1 058 684 742 </v>
      </c>
      <c r="I49" s="2" t="str">
        <f>IFERROR(__xludf.DUMMYFUNCTION("""COMPUTED_VALUE"""),"[a 49]")</f>
        <v>[a 49]</v>
      </c>
    </row>
    <row r="50">
      <c r="A50" s="2">
        <f>IFERROR(__xludf.DUMMYFUNCTION("""COMPUTED_VALUE"""),49.0)</f>
        <v>49</v>
      </c>
      <c r="B50" s="2">
        <f>IFERROR(__xludf.DUMMYFUNCTION("""COMPUTED_VALUE"""),34.0)</f>
        <v>34</v>
      </c>
      <c r="C50" s="2" t="str">
        <f>IFERROR(__xludf.DUMMYFUNCTION("""COMPUTED_VALUE"""),"*Aladdin*")</f>
        <v>*Aladdin*</v>
      </c>
      <c r="D50" s="2" t="str">
        <f>IFERROR(__xludf.DUMMYFUNCTION("""COMPUTED_VALUE"""),"Guy Ritchie")</f>
        <v>Guy Ritchie</v>
      </c>
      <c r="E50" s="2">
        <f>IFERROR(__xludf.DUMMYFUNCTION("""COMPUTED_VALUE"""),2019.0)</f>
        <v>2019</v>
      </c>
      <c r="F50" s="3" t="str">
        <f>IFERROR(__xludf.DUMMYFUNCTION("""COMPUTED_VALUE"""),"États-Unis")</f>
        <v>États-Unis</v>
      </c>
      <c r="G50" s="3" t="str">
        <f>IFERROR(__xludf.DUMMYFUNCTION("""COMPUTED_VALUE"""),"1 054 304 000 $[a 50]")</f>
        <v>1 054 304 000 $[a 50]</v>
      </c>
      <c r="H50" s="2" t="str">
        <f>IFERROR(__xludf.DUMMYFUNCTION("SPLIT(G50,""$"")"),"1 054 304 000 ")</f>
        <v>1 054 304 000 </v>
      </c>
      <c r="I50" s="2" t="str">
        <f>IFERROR(__xludf.DUMMYFUNCTION("""COMPUTED_VALUE"""),"[a 50]")</f>
        <v>[a 50]</v>
      </c>
    </row>
    <row r="51">
      <c r="A51" s="2">
        <f>IFERROR(__xludf.DUMMYFUNCTION("""COMPUTED_VALUE"""),50.0)</f>
        <v>50</v>
      </c>
      <c r="B51" s="2">
        <f>IFERROR(__xludf.DUMMYFUNCTION("""COMPUTED_VALUE"""),6.0)</f>
        <v>6</v>
      </c>
      <c r="C51" s="2" t="str">
        <f>IFERROR(__xludf.DUMMYFUNCTION("""COMPUTED_VALUE"""),"*Pirates des Caraïbes : La Fontaine de Jouvence*")</f>
        <v>*Pirates des Caraïbes : La Fontaine de Jouvence*</v>
      </c>
      <c r="D51" s="2" t="str">
        <f>IFERROR(__xludf.DUMMYFUNCTION("""COMPUTED_VALUE"""),"Rob Marshall")</f>
        <v>Rob Marshall</v>
      </c>
      <c r="E51" s="2">
        <f>IFERROR(__xludf.DUMMYFUNCTION("""COMPUTED_VALUE"""),2011.0)</f>
        <v>2011</v>
      </c>
      <c r="F51" s="3" t="str">
        <f>IFERROR(__xludf.DUMMYFUNCTION("""COMPUTED_VALUE"""),"États-Unis")</f>
        <v>États-Unis</v>
      </c>
      <c r="G51" s="3" t="str">
        <f>IFERROR(__xludf.DUMMYFUNCTION("""COMPUTED_VALUE"""),"1 046 721 266 $[a 51]")</f>
        <v>1 046 721 266 $[a 51]</v>
      </c>
      <c r="H51" s="2" t="str">
        <f>IFERROR(__xludf.DUMMYFUNCTION("SPLIT(G51,""$"")"),"1 046 721 266 ")</f>
        <v>1 046 721 266 </v>
      </c>
      <c r="I51" s="2" t="str">
        <f>IFERROR(__xludf.DUMMYFUNCTION("""COMPUTED_VALUE"""),"[a 51]")</f>
        <v>[a 51]</v>
      </c>
    </row>
  </sheetData>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1.25"/>
    <col customWidth="1" min="3" max="3" width="13.75"/>
    <col customWidth="1" min="4" max="4" width="9.38"/>
    <col customWidth="1" min="5" max="5" width="7.38"/>
    <col customWidth="1" min="6" max="6" width="9.13"/>
    <col customWidth="1" min="7" max="8" width="8.88"/>
    <col customWidth="1" min="9" max="9" width="8.63"/>
    <col customWidth="1" min="10" max="10" width="8.5"/>
    <col customWidth="1" min="11" max="11" width="9.0"/>
    <col customWidth="1" min="12" max="12" width="9.25"/>
    <col customWidth="1" min="13" max="13" width="9.38"/>
    <col customWidth="1" min="14" max="14" width="8.88"/>
    <col customWidth="1" min="15" max="15" width="9.0"/>
    <col customWidth="1" min="16" max="16" width="8.38"/>
    <col customWidth="1" min="17" max="17" width="9.0"/>
  </cols>
  <sheetData>
    <row r="1">
      <c r="A1" s="23" t="str">
        <f>IFERROR(__xludf.DUMMYFUNCTION("IMPORTHTML(""https://fr.wikipedia.org/wiki/Vikash_Dhorasoo"",""table"", 3)"),"Saison")</f>
        <v>Saison</v>
      </c>
      <c r="B1" s="23" t="str">
        <f>IFERROR(__xludf.DUMMYFUNCTION("""COMPUTED_VALUE"""),"Club")</f>
        <v>Club</v>
      </c>
      <c r="C1" s="24" t="str">
        <f>IFERROR(__xludf.DUMMYFUNCTION("""COMPUTED_VALUE"""),"*Championnat*")</f>
        <v>*Championnat*</v>
      </c>
      <c r="D1" s="2"/>
      <c r="E1" s="2"/>
      <c r="F1" s="2" t="str">
        <f>IFERROR(__xludf.DUMMYFUNCTION("""COMPUTED_VALUE"""),"Coupe(s) nationale(s)")</f>
        <v>Coupe(s) nationale(s)</v>
      </c>
      <c r="G1" s="2"/>
      <c r="H1" s="2" t="str">
        <f>IFERROR(__xludf.DUMMYFUNCTION("""COMPUTED_VALUE"""),"Compétition(s)
continentale(s)")</f>
        <v>Compétition(s)
continentale(s)</v>
      </c>
      <c r="I1" s="2"/>
      <c r="J1" s="2"/>
      <c r="K1" s="2" t="str">
        <f>IFERROR(__xludf.DUMMYFUNCTION("""COMPUTED_VALUE"""),"France")</f>
        <v>France</v>
      </c>
      <c r="L1" s="2"/>
      <c r="M1" s="2" t="str">
        <f>IFERROR(__xludf.DUMMYFUNCTION("""COMPUTED_VALUE"""),"Total")</f>
        <v>Total</v>
      </c>
      <c r="N1" s="2"/>
    </row>
    <row r="2">
      <c r="A2" s="25"/>
      <c r="B2" s="25"/>
      <c r="C2" s="24" t="str">
        <f>IFERROR(__xludf.DUMMYFUNCTION("""COMPUTED_VALUE"""),"Division")</f>
        <v>Division</v>
      </c>
      <c r="D2" s="23" t="str">
        <f>IFERROR(__xludf.DUMMYFUNCTION("""COMPUTED_VALUE"""),"M.")</f>
        <v>M.</v>
      </c>
      <c r="E2" s="23" t="str">
        <f>IFERROR(__xludf.DUMMYFUNCTION("""COMPUTED_VALUE"""),"B.")</f>
        <v>B.</v>
      </c>
      <c r="F2" s="23" t="str">
        <f>IFERROR(__xludf.DUMMYFUNCTION("""COMPUTED_VALUE"""),"M.")</f>
        <v>M.</v>
      </c>
      <c r="G2" s="23" t="str">
        <f>IFERROR(__xludf.DUMMYFUNCTION("""COMPUTED_VALUE"""),"B.")</f>
        <v>B.</v>
      </c>
      <c r="H2" s="23" t="str">
        <f>IFERROR(__xludf.DUMMYFUNCTION("""COMPUTED_VALUE"""),"Comp.")</f>
        <v>Comp.</v>
      </c>
      <c r="I2" s="23" t="str">
        <f>IFERROR(__xludf.DUMMYFUNCTION("""COMPUTED_VALUE"""),"M.")</f>
        <v>M.</v>
      </c>
      <c r="J2" s="23" t="str">
        <f>IFERROR(__xludf.DUMMYFUNCTION("""COMPUTED_VALUE"""),"B.")</f>
        <v>B.</v>
      </c>
      <c r="K2" s="23" t="str">
        <f>IFERROR(__xludf.DUMMYFUNCTION("""COMPUTED_VALUE"""),"M.")</f>
        <v>M.</v>
      </c>
      <c r="L2" s="23" t="str">
        <f>IFERROR(__xludf.DUMMYFUNCTION("""COMPUTED_VALUE"""),"B.")</f>
        <v>B.</v>
      </c>
      <c r="M2" s="23" t="str">
        <f>IFERROR(__xludf.DUMMYFUNCTION("""COMPUTED_VALUE"""),"M.")</f>
        <v>M.</v>
      </c>
      <c r="N2" s="23" t="str">
        <f>IFERROR(__xludf.DUMMYFUNCTION("""COMPUTED_VALUE"""),"B.")</f>
        <v>B.</v>
      </c>
    </row>
    <row r="3">
      <c r="A3" s="25" t="str">
        <f>IFERROR(__xludf.DUMMYFUNCTION("""COMPUTED_VALUE"""),"1993-1994")</f>
        <v>1993-1994</v>
      </c>
      <c r="B3" s="25" t="str">
        <f>IFERROR(__xludf.DUMMYFUNCTION("""COMPUTED_VALUE"""),"Le Havre AC")</f>
        <v>Le Havre AC</v>
      </c>
      <c r="C3" s="24" t="str">
        <f>IFERROR(__xludf.DUMMYFUNCTION("""COMPUTED_VALUE"""),"Division 1")</f>
        <v>Division 1</v>
      </c>
      <c r="D3" s="23">
        <f>IFERROR(__xludf.DUMMYFUNCTION("""COMPUTED_VALUE"""),7.0)</f>
        <v>7</v>
      </c>
      <c r="E3" s="23">
        <f>IFERROR(__xludf.DUMMYFUNCTION("""COMPUTED_VALUE"""),0.0)</f>
        <v>0</v>
      </c>
      <c r="F3" s="23" t="str">
        <f>IFERROR(__xludf.DUMMYFUNCTION("""COMPUTED_VALUE"""),"-")</f>
        <v>-</v>
      </c>
      <c r="G3" s="23" t="str">
        <f>IFERROR(__xludf.DUMMYFUNCTION("""COMPUTED_VALUE"""),"-")</f>
        <v>-</v>
      </c>
      <c r="H3" s="23" t="str">
        <f>IFERROR(__xludf.DUMMYFUNCTION("""COMPUTED_VALUE"""),"*-*")</f>
        <v>*-*</v>
      </c>
      <c r="I3" s="23" t="str">
        <f>IFERROR(__xludf.DUMMYFUNCTION("""COMPUTED_VALUE"""),"-")</f>
        <v>-</v>
      </c>
      <c r="J3" s="23" t="str">
        <f>IFERROR(__xludf.DUMMYFUNCTION("""COMPUTED_VALUE"""),"-")</f>
        <v>-</v>
      </c>
      <c r="K3" s="23" t="str">
        <f>IFERROR(__xludf.DUMMYFUNCTION("""COMPUTED_VALUE"""),"-")</f>
        <v>-</v>
      </c>
      <c r="L3" s="23" t="str">
        <f>IFERROR(__xludf.DUMMYFUNCTION("""COMPUTED_VALUE"""),"-")</f>
        <v>-</v>
      </c>
      <c r="M3" s="23">
        <f>IFERROR(__xludf.DUMMYFUNCTION("""COMPUTED_VALUE"""),7.0)</f>
        <v>7</v>
      </c>
      <c r="N3" s="23">
        <f>IFERROR(__xludf.DUMMYFUNCTION("""COMPUTED_VALUE"""),0.0)</f>
        <v>0</v>
      </c>
    </row>
    <row r="4">
      <c r="A4" s="25" t="str">
        <f>IFERROR(__xludf.DUMMYFUNCTION("""COMPUTED_VALUE"""),"1994-1995")</f>
        <v>1994-1995</v>
      </c>
      <c r="B4" s="25" t="str">
        <f>IFERROR(__xludf.DUMMYFUNCTION("""COMPUTED_VALUE"""),"Le Havre AC")</f>
        <v>Le Havre AC</v>
      </c>
      <c r="C4" s="24" t="str">
        <f>IFERROR(__xludf.DUMMYFUNCTION("""COMPUTED_VALUE"""),"Division 1")</f>
        <v>Division 1</v>
      </c>
      <c r="D4" s="23">
        <f>IFERROR(__xludf.DUMMYFUNCTION("""COMPUTED_VALUE"""),30.0)</f>
        <v>30</v>
      </c>
      <c r="E4" s="23">
        <f>IFERROR(__xludf.DUMMYFUNCTION("""COMPUTED_VALUE"""),2.0)</f>
        <v>2</v>
      </c>
      <c r="F4" s="23">
        <f>IFERROR(__xludf.DUMMYFUNCTION("""COMPUTED_VALUE"""),6.0)</f>
        <v>6</v>
      </c>
      <c r="G4" s="23">
        <f>IFERROR(__xludf.DUMMYFUNCTION("""COMPUTED_VALUE"""),0.0)</f>
        <v>0</v>
      </c>
      <c r="H4" s="23" t="str">
        <f>IFERROR(__xludf.DUMMYFUNCTION("""COMPUTED_VALUE"""),"*-*")</f>
        <v>*-*</v>
      </c>
      <c r="I4" s="23" t="str">
        <f>IFERROR(__xludf.DUMMYFUNCTION("""COMPUTED_VALUE"""),"-")</f>
        <v>-</v>
      </c>
      <c r="J4" s="23" t="str">
        <f>IFERROR(__xludf.DUMMYFUNCTION("""COMPUTED_VALUE"""),"-")</f>
        <v>-</v>
      </c>
      <c r="K4" s="23" t="str">
        <f>IFERROR(__xludf.DUMMYFUNCTION("""COMPUTED_VALUE"""),"-")</f>
        <v>-</v>
      </c>
      <c r="L4" s="23" t="str">
        <f>IFERROR(__xludf.DUMMYFUNCTION("""COMPUTED_VALUE"""),"-")</f>
        <v>-</v>
      </c>
      <c r="M4" s="23">
        <f>IFERROR(__xludf.DUMMYFUNCTION("""COMPUTED_VALUE"""),36.0)</f>
        <v>36</v>
      </c>
      <c r="N4" s="23">
        <f>IFERROR(__xludf.DUMMYFUNCTION("""COMPUTED_VALUE"""),2.0)</f>
        <v>2</v>
      </c>
    </row>
    <row r="5">
      <c r="A5" s="25" t="str">
        <f>IFERROR(__xludf.DUMMYFUNCTION("""COMPUTED_VALUE"""),"1995-1996")</f>
        <v>1995-1996</v>
      </c>
      <c r="B5" s="25" t="str">
        <f>IFERROR(__xludf.DUMMYFUNCTION("""COMPUTED_VALUE"""),"Le Havre AC")</f>
        <v>Le Havre AC</v>
      </c>
      <c r="C5" s="24" t="str">
        <f>IFERROR(__xludf.DUMMYFUNCTION("""COMPUTED_VALUE"""),"Division 1")</f>
        <v>Division 1</v>
      </c>
      <c r="D5" s="23">
        <f>IFERROR(__xludf.DUMMYFUNCTION("""COMPUTED_VALUE"""),30.0)</f>
        <v>30</v>
      </c>
      <c r="E5" s="23">
        <f>IFERROR(__xludf.DUMMYFUNCTION("""COMPUTED_VALUE"""),0.0)</f>
        <v>0</v>
      </c>
      <c r="F5" s="23">
        <f>IFERROR(__xludf.DUMMYFUNCTION("""COMPUTED_VALUE"""),4.0)</f>
        <v>4</v>
      </c>
      <c r="G5" s="23">
        <f>IFERROR(__xludf.DUMMYFUNCTION("""COMPUTED_VALUE"""),0.0)</f>
        <v>0</v>
      </c>
      <c r="H5" s="23" t="str">
        <f>IFERROR(__xludf.DUMMYFUNCTION("""COMPUTED_VALUE"""),"*-*")</f>
        <v>*-*</v>
      </c>
      <c r="I5" s="23" t="str">
        <f>IFERROR(__xludf.DUMMYFUNCTION("""COMPUTED_VALUE"""),"-")</f>
        <v>-</v>
      </c>
      <c r="J5" s="23" t="str">
        <f>IFERROR(__xludf.DUMMYFUNCTION("""COMPUTED_VALUE"""),"-")</f>
        <v>-</v>
      </c>
      <c r="K5" s="23" t="str">
        <f>IFERROR(__xludf.DUMMYFUNCTION("""COMPUTED_VALUE"""),"-")</f>
        <v>-</v>
      </c>
      <c r="L5" s="23" t="str">
        <f>IFERROR(__xludf.DUMMYFUNCTION("""COMPUTED_VALUE"""),"-")</f>
        <v>-</v>
      </c>
      <c r="M5" s="23">
        <f>IFERROR(__xludf.DUMMYFUNCTION("""COMPUTED_VALUE"""),34.0)</f>
        <v>34</v>
      </c>
      <c r="N5" s="23">
        <f>IFERROR(__xludf.DUMMYFUNCTION("""COMPUTED_VALUE"""),0.0)</f>
        <v>0</v>
      </c>
    </row>
    <row r="6">
      <c r="A6" s="25" t="str">
        <f>IFERROR(__xludf.DUMMYFUNCTION("""COMPUTED_VALUE"""),"1996-1997")</f>
        <v>1996-1997</v>
      </c>
      <c r="B6" s="25" t="str">
        <f>IFERROR(__xludf.DUMMYFUNCTION("""COMPUTED_VALUE"""),"Le Havre AC")</f>
        <v>Le Havre AC</v>
      </c>
      <c r="C6" s="24" t="str">
        <f>IFERROR(__xludf.DUMMYFUNCTION("""COMPUTED_VALUE"""),"Division 1")</f>
        <v>Division 1</v>
      </c>
      <c r="D6" s="23">
        <f>IFERROR(__xludf.DUMMYFUNCTION("""COMPUTED_VALUE"""),36.0)</f>
        <v>36</v>
      </c>
      <c r="E6" s="23">
        <f>IFERROR(__xludf.DUMMYFUNCTION("""COMPUTED_VALUE"""),0.0)</f>
        <v>0</v>
      </c>
      <c r="F6" s="23">
        <f>IFERROR(__xludf.DUMMYFUNCTION("""COMPUTED_VALUE"""),2.0)</f>
        <v>2</v>
      </c>
      <c r="G6" s="23">
        <f>IFERROR(__xludf.DUMMYFUNCTION("""COMPUTED_VALUE"""),0.0)</f>
        <v>0</v>
      </c>
      <c r="H6" s="23" t="str">
        <f>IFERROR(__xludf.DUMMYFUNCTION("""COMPUTED_VALUE"""),"*-*")</f>
        <v>*-*</v>
      </c>
      <c r="I6" s="23" t="str">
        <f>IFERROR(__xludf.DUMMYFUNCTION("""COMPUTED_VALUE"""),"-")</f>
        <v>-</v>
      </c>
      <c r="J6" s="23" t="str">
        <f>IFERROR(__xludf.DUMMYFUNCTION("""COMPUTED_VALUE"""),"-")</f>
        <v>-</v>
      </c>
      <c r="K6" s="23" t="str">
        <f>IFERROR(__xludf.DUMMYFUNCTION("""COMPUTED_VALUE"""),"-")</f>
        <v>-</v>
      </c>
      <c r="L6" s="23" t="str">
        <f>IFERROR(__xludf.DUMMYFUNCTION("""COMPUTED_VALUE"""),"-")</f>
        <v>-</v>
      </c>
      <c r="M6" s="23">
        <f>IFERROR(__xludf.DUMMYFUNCTION("""COMPUTED_VALUE"""),38.0)</f>
        <v>38</v>
      </c>
      <c r="N6" s="23">
        <f>IFERROR(__xludf.DUMMYFUNCTION("""COMPUTED_VALUE"""),0.0)</f>
        <v>0</v>
      </c>
    </row>
    <row r="7">
      <c r="A7" s="23" t="str">
        <f>IFERROR(__xludf.DUMMYFUNCTION("""COMPUTED_VALUE"""),"1997-1998")</f>
        <v>1997-1998</v>
      </c>
      <c r="B7" s="23" t="str">
        <f>IFERROR(__xludf.DUMMYFUNCTION("""COMPUTED_VALUE"""),"Le Havre AC")</f>
        <v>Le Havre AC</v>
      </c>
      <c r="C7" s="24" t="str">
        <f>IFERROR(__xludf.DUMMYFUNCTION("""COMPUTED_VALUE"""),"Division 1")</f>
        <v>Division 1</v>
      </c>
      <c r="D7" s="23">
        <f>IFERROR(__xludf.DUMMYFUNCTION("""COMPUTED_VALUE"""),34.0)</f>
        <v>34</v>
      </c>
      <c r="E7" s="23">
        <f>IFERROR(__xludf.DUMMYFUNCTION("""COMPUTED_VALUE"""),2.0)</f>
        <v>2</v>
      </c>
      <c r="F7" s="23">
        <f>IFERROR(__xludf.DUMMYFUNCTION("""COMPUTED_VALUE"""),3.0)</f>
        <v>3</v>
      </c>
      <c r="G7" s="23">
        <f>IFERROR(__xludf.DUMMYFUNCTION("""COMPUTED_VALUE"""),0.0)</f>
        <v>0</v>
      </c>
      <c r="H7" s="23" t="str">
        <f>IFERROR(__xludf.DUMMYFUNCTION("""COMPUTED_VALUE"""),"*-*")</f>
        <v>*-*</v>
      </c>
      <c r="I7" s="23" t="str">
        <f>IFERROR(__xludf.DUMMYFUNCTION("""COMPUTED_VALUE"""),"-")</f>
        <v>-</v>
      </c>
      <c r="J7" s="23" t="str">
        <f>IFERROR(__xludf.DUMMYFUNCTION("""COMPUTED_VALUE"""),"-")</f>
        <v>-</v>
      </c>
      <c r="K7" s="23" t="str">
        <f>IFERROR(__xludf.DUMMYFUNCTION("""COMPUTED_VALUE"""),"-")</f>
        <v>-</v>
      </c>
      <c r="L7" s="23" t="str">
        <f>IFERROR(__xludf.DUMMYFUNCTION("""COMPUTED_VALUE"""),"-")</f>
        <v>-</v>
      </c>
      <c r="M7" s="23">
        <f>IFERROR(__xludf.DUMMYFUNCTION("""COMPUTED_VALUE"""),37.0)</f>
        <v>37</v>
      </c>
      <c r="N7" s="23">
        <f>IFERROR(__xludf.DUMMYFUNCTION("""COMPUTED_VALUE"""),2.0)</f>
        <v>2</v>
      </c>
    </row>
    <row r="8">
      <c r="A8" s="23" t="str">
        <f>IFERROR(__xludf.DUMMYFUNCTION("""COMPUTED_VALUE"""),"Sous-total")</f>
        <v>Sous-total</v>
      </c>
      <c r="B8" s="23"/>
      <c r="C8" s="24"/>
      <c r="D8" s="23">
        <f>IFERROR(__xludf.DUMMYFUNCTION("""COMPUTED_VALUE"""),137.0)</f>
        <v>137</v>
      </c>
      <c r="E8" s="23">
        <f>IFERROR(__xludf.DUMMYFUNCTION("""COMPUTED_VALUE"""),4.0)</f>
        <v>4</v>
      </c>
      <c r="F8" s="23">
        <f>IFERROR(__xludf.DUMMYFUNCTION("""COMPUTED_VALUE"""),15.0)</f>
        <v>15</v>
      </c>
      <c r="G8" s="23">
        <f>IFERROR(__xludf.DUMMYFUNCTION("""COMPUTED_VALUE"""),0.0)</f>
        <v>0</v>
      </c>
      <c r="H8" s="23" t="str">
        <f>IFERROR(__xludf.DUMMYFUNCTION("""COMPUTED_VALUE"""),"-")</f>
        <v>-</v>
      </c>
      <c r="I8" s="23">
        <f>IFERROR(__xludf.DUMMYFUNCTION("""COMPUTED_VALUE"""),0.0)</f>
        <v>0</v>
      </c>
      <c r="J8" s="23">
        <f>IFERROR(__xludf.DUMMYFUNCTION("""COMPUTED_VALUE"""),0.0)</f>
        <v>0</v>
      </c>
      <c r="K8" s="23">
        <f>IFERROR(__xludf.DUMMYFUNCTION("""COMPUTED_VALUE"""),0.0)</f>
        <v>0</v>
      </c>
      <c r="L8" s="23">
        <f>IFERROR(__xludf.DUMMYFUNCTION("""COMPUTED_VALUE"""),0.0)</f>
        <v>0</v>
      </c>
      <c r="M8" s="23">
        <f>IFERROR(__xludf.DUMMYFUNCTION("""COMPUTED_VALUE"""),152.0)</f>
        <v>152</v>
      </c>
      <c r="N8" s="23">
        <f>IFERROR(__xludf.DUMMYFUNCTION("""COMPUTED_VALUE"""),4.0)</f>
        <v>4</v>
      </c>
    </row>
    <row r="9">
      <c r="A9" s="23" t="str">
        <f>IFERROR(__xludf.DUMMYFUNCTION("""COMPUTED_VALUE"""),"1998-1999")</f>
        <v>1998-1999</v>
      </c>
      <c r="B9" s="23" t="str">
        <f>IFERROR(__xludf.DUMMYFUNCTION("""COMPUTED_VALUE"""),"Olympique lyonnais")</f>
        <v>Olympique lyonnais</v>
      </c>
      <c r="C9" s="24" t="str">
        <f>IFERROR(__xludf.DUMMYFUNCTION("""COMPUTED_VALUE"""),"Division 1")</f>
        <v>Division 1</v>
      </c>
      <c r="D9" s="23">
        <f>IFERROR(__xludf.DUMMYFUNCTION("""COMPUTED_VALUE"""),34.0)</f>
        <v>34</v>
      </c>
      <c r="E9" s="23">
        <f>IFERROR(__xludf.DUMMYFUNCTION("""COMPUTED_VALUE"""),2.0)</f>
        <v>2</v>
      </c>
      <c r="F9" s="23">
        <f>IFERROR(__xludf.DUMMYFUNCTION("""COMPUTED_VALUE"""),1.0)</f>
        <v>1</v>
      </c>
      <c r="G9" s="23">
        <f>IFERROR(__xludf.DUMMYFUNCTION("""COMPUTED_VALUE"""),0.0)</f>
        <v>0</v>
      </c>
      <c r="H9" s="23" t="str">
        <f>IFERROR(__xludf.DUMMYFUNCTION("""COMPUTED_VALUE"""),"*C3*")</f>
        <v>*C3*</v>
      </c>
      <c r="I9" s="23">
        <f>IFERROR(__xludf.DUMMYFUNCTION("""COMPUTED_VALUE"""),8.0)</f>
        <v>8</v>
      </c>
      <c r="J9" s="23">
        <f>IFERROR(__xludf.DUMMYFUNCTION("""COMPUTED_VALUE"""),1.0)</f>
        <v>1</v>
      </c>
      <c r="K9" s="23">
        <f>IFERROR(__xludf.DUMMYFUNCTION("""COMPUTED_VALUE"""),2.0)</f>
        <v>2</v>
      </c>
      <c r="L9" s="23">
        <f>IFERROR(__xludf.DUMMYFUNCTION("""COMPUTED_VALUE"""),0.0)</f>
        <v>0</v>
      </c>
      <c r="M9" s="23">
        <f>IFERROR(__xludf.DUMMYFUNCTION("""COMPUTED_VALUE"""),45.0)</f>
        <v>45</v>
      </c>
      <c r="N9" s="23">
        <f>IFERROR(__xludf.DUMMYFUNCTION("""COMPUTED_VALUE"""),3.0)</f>
        <v>3</v>
      </c>
    </row>
    <row r="10">
      <c r="A10" s="23" t="str">
        <f>IFERROR(__xludf.DUMMYFUNCTION("""COMPUTED_VALUE"""),"1999-2000")</f>
        <v>1999-2000</v>
      </c>
      <c r="B10" s="23" t="str">
        <f>IFERROR(__xludf.DUMMYFUNCTION("""COMPUTED_VALUE"""),"Olympique lyonnais")</f>
        <v>Olympique lyonnais</v>
      </c>
      <c r="C10" s="24" t="str">
        <f>IFERROR(__xludf.DUMMYFUNCTION("""COMPUTED_VALUE"""),"Division 1")</f>
        <v>Division 1</v>
      </c>
      <c r="D10" s="23">
        <f>IFERROR(__xludf.DUMMYFUNCTION("""COMPUTED_VALUE"""),32.0)</f>
        <v>32</v>
      </c>
      <c r="E10" s="23">
        <f>IFERROR(__xludf.DUMMYFUNCTION("""COMPUTED_VALUE"""),0.0)</f>
        <v>0</v>
      </c>
      <c r="F10" s="23">
        <f>IFERROR(__xludf.DUMMYFUNCTION("""COMPUTED_VALUE"""),7.0)</f>
        <v>7</v>
      </c>
      <c r="G10" s="23">
        <f>IFERROR(__xludf.DUMMYFUNCTION("""COMPUTED_VALUE"""),0.0)</f>
        <v>0</v>
      </c>
      <c r="H10" s="23" t="str">
        <f>IFERROR(__xludf.DUMMYFUNCTION("""COMPUTED_VALUE"""),"*C1+C3*")</f>
        <v>*C1+C3*</v>
      </c>
      <c r="I10" s="23" t="str">
        <f>IFERROR(__xludf.DUMMYFUNCTION("""COMPUTED_VALUE"""),"2+6")</f>
        <v>2+6</v>
      </c>
      <c r="J10" s="23">
        <f>IFERROR(__xludf.DUMMYFUNCTION("""COMPUTED_VALUE"""),0.0)</f>
        <v>0</v>
      </c>
      <c r="K10" s="23" t="str">
        <f>IFERROR(__xludf.DUMMYFUNCTION("""COMPUTED_VALUE"""),"-")</f>
        <v>-</v>
      </c>
      <c r="L10" s="23" t="str">
        <f>IFERROR(__xludf.DUMMYFUNCTION("""COMPUTED_VALUE"""),"-")</f>
        <v>-</v>
      </c>
      <c r="M10" s="23">
        <f>IFERROR(__xludf.DUMMYFUNCTION("""COMPUTED_VALUE"""),47.0)</f>
        <v>47</v>
      </c>
      <c r="N10" s="23">
        <f>IFERROR(__xludf.DUMMYFUNCTION("""COMPUTED_VALUE"""),0.0)</f>
        <v>0</v>
      </c>
    </row>
    <row r="11">
      <c r="A11" s="23" t="str">
        <f>IFERROR(__xludf.DUMMYFUNCTION("""COMPUTED_VALUE"""),"2000-2001")</f>
        <v>2000-2001</v>
      </c>
      <c r="B11" s="23" t="str">
        <f>IFERROR(__xludf.DUMMYFUNCTION("""COMPUTED_VALUE"""),"Olympique lyonnais")</f>
        <v>Olympique lyonnais</v>
      </c>
      <c r="C11" s="24" t="str">
        <f>IFERROR(__xludf.DUMMYFUNCTION("""COMPUTED_VALUE"""),"Division 1")</f>
        <v>Division 1</v>
      </c>
      <c r="D11" s="23">
        <f>IFERROR(__xludf.DUMMYFUNCTION("""COMPUTED_VALUE"""),27.0)</f>
        <v>27</v>
      </c>
      <c r="E11" s="23">
        <f>IFERROR(__xludf.DUMMYFUNCTION("""COMPUTED_VALUE"""),3.0)</f>
        <v>3</v>
      </c>
      <c r="F11" s="23">
        <f>IFERROR(__xludf.DUMMYFUNCTION("""COMPUTED_VALUE"""),7.0)</f>
        <v>7</v>
      </c>
      <c r="G11" s="23">
        <f>IFERROR(__xludf.DUMMYFUNCTION("""COMPUTED_VALUE"""),0.0)</f>
        <v>0</v>
      </c>
      <c r="H11" s="23" t="str">
        <f>IFERROR(__xludf.DUMMYFUNCTION("""COMPUTED_VALUE"""),"*C1*")</f>
        <v>*C1*</v>
      </c>
      <c r="I11" s="23">
        <f>IFERROR(__xludf.DUMMYFUNCTION("""COMPUTED_VALUE"""),10.0)</f>
        <v>10</v>
      </c>
      <c r="J11" s="23">
        <f>IFERROR(__xludf.DUMMYFUNCTION("""COMPUTED_VALUE"""),0.0)</f>
        <v>0</v>
      </c>
      <c r="K11" s="23" t="str">
        <f>IFERROR(__xludf.DUMMYFUNCTION("""COMPUTED_VALUE"""),"-")</f>
        <v>-</v>
      </c>
      <c r="L11" s="23" t="str">
        <f>IFERROR(__xludf.DUMMYFUNCTION("""COMPUTED_VALUE"""),"-")</f>
        <v>-</v>
      </c>
      <c r="M11" s="23">
        <f>IFERROR(__xludf.DUMMYFUNCTION("""COMPUTED_VALUE"""),44.0)</f>
        <v>44</v>
      </c>
      <c r="N11" s="23">
        <f>IFERROR(__xludf.DUMMYFUNCTION("""COMPUTED_VALUE"""),3.0)</f>
        <v>3</v>
      </c>
    </row>
    <row r="12">
      <c r="A12" s="23" t="str">
        <f>IFERROR(__xludf.DUMMYFUNCTION("""COMPUTED_VALUE"""),"Sous-total")</f>
        <v>Sous-total</v>
      </c>
      <c r="B12" s="23"/>
      <c r="C12" s="24"/>
      <c r="D12" s="23">
        <f>IFERROR(__xludf.DUMMYFUNCTION("""COMPUTED_VALUE"""),93.0)</f>
        <v>93</v>
      </c>
      <c r="E12" s="23">
        <f>IFERROR(__xludf.DUMMYFUNCTION("""COMPUTED_VALUE"""),5.0)</f>
        <v>5</v>
      </c>
      <c r="F12" s="23">
        <f>IFERROR(__xludf.DUMMYFUNCTION("""COMPUTED_VALUE"""),15.0)</f>
        <v>15</v>
      </c>
      <c r="G12" s="23">
        <f>IFERROR(__xludf.DUMMYFUNCTION("""COMPUTED_VALUE"""),0.0)</f>
        <v>0</v>
      </c>
      <c r="H12" s="23" t="str">
        <f>IFERROR(__xludf.DUMMYFUNCTION("""COMPUTED_VALUE"""),"-")</f>
        <v>-</v>
      </c>
      <c r="I12" s="23">
        <f>IFERROR(__xludf.DUMMYFUNCTION("""COMPUTED_VALUE"""),26.0)</f>
        <v>26</v>
      </c>
      <c r="J12" s="23">
        <f>IFERROR(__xludf.DUMMYFUNCTION("""COMPUTED_VALUE"""),1.0)</f>
        <v>1</v>
      </c>
      <c r="K12" s="23">
        <f>IFERROR(__xludf.DUMMYFUNCTION("""COMPUTED_VALUE"""),2.0)</f>
        <v>2</v>
      </c>
      <c r="L12" s="23">
        <f>IFERROR(__xludf.DUMMYFUNCTION("""COMPUTED_VALUE"""),0.0)</f>
        <v>0</v>
      </c>
      <c r="M12" s="23">
        <f>IFERROR(__xludf.DUMMYFUNCTION("""COMPUTED_VALUE"""),136.0)</f>
        <v>136</v>
      </c>
      <c r="N12" s="23">
        <f>IFERROR(__xludf.DUMMYFUNCTION("""COMPUTED_VALUE"""),6.0)</f>
        <v>6</v>
      </c>
    </row>
    <row r="13">
      <c r="A13" s="23" t="str">
        <f>IFERROR(__xludf.DUMMYFUNCTION("""COMPUTED_VALUE"""),"2001-2002")</f>
        <v>2001-2002</v>
      </c>
      <c r="B13" s="23" t="str">
        <f>IFERROR(__xludf.DUMMYFUNCTION("""COMPUTED_VALUE"""),"Girondins de Bordeaux*(prêt)*")</f>
        <v>Girondins de Bordeaux*(prêt)*</v>
      </c>
      <c r="C13" s="24" t="str">
        <f>IFERROR(__xludf.DUMMYFUNCTION("""COMPUTED_VALUE"""),"Division 1")</f>
        <v>Division 1</v>
      </c>
      <c r="D13" s="23">
        <f>IFERROR(__xludf.DUMMYFUNCTION("""COMPUTED_VALUE"""),28.0)</f>
        <v>28</v>
      </c>
      <c r="E13" s="23">
        <f>IFERROR(__xludf.DUMMYFUNCTION("""COMPUTED_VALUE"""),1.0)</f>
        <v>1</v>
      </c>
      <c r="F13" s="23">
        <f>IFERROR(__xludf.DUMMYFUNCTION("""COMPUTED_VALUE"""),7.0)</f>
        <v>7</v>
      </c>
      <c r="G13" s="23">
        <f>IFERROR(__xludf.DUMMYFUNCTION("""COMPUTED_VALUE"""),1.0)</f>
        <v>1</v>
      </c>
      <c r="H13" s="23" t="str">
        <f>IFERROR(__xludf.DUMMYFUNCTION("""COMPUTED_VALUE"""),"*C3*")</f>
        <v>*C3*</v>
      </c>
      <c r="I13" s="23">
        <f>IFERROR(__xludf.DUMMYFUNCTION("""COMPUTED_VALUE"""),5.0)</f>
        <v>5</v>
      </c>
      <c r="J13" s="23">
        <f>IFERROR(__xludf.DUMMYFUNCTION("""COMPUTED_VALUE"""),0.0)</f>
        <v>0</v>
      </c>
      <c r="K13" s="23" t="str">
        <f>IFERROR(__xludf.DUMMYFUNCTION("""COMPUTED_VALUE"""),"-")</f>
        <v>-</v>
      </c>
      <c r="L13" s="23" t="str">
        <f>IFERROR(__xludf.DUMMYFUNCTION("""COMPUTED_VALUE"""),"-")</f>
        <v>-</v>
      </c>
      <c r="M13" s="23">
        <f>IFERROR(__xludf.DUMMYFUNCTION("""COMPUTED_VALUE"""),40.0)</f>
        <v>40</v>
      </c>
      <c r="N13" s="23">
        <f>IFERROR(__xludf.DUMMYFUNCTION("""COMPUTED_VALUE"""),2.0)</f>
        <v>2</v>
      </c>
    </row>
    <row r="14">
      <c r="A14" s="23" t="str">
        <f>IFERROR(__xludf.DUMMYFUNCTION("""COMPUTED_VALUE"""),"2002-2003")</f>
        <v>2002-2003</v>
      </c>
      <c r="B14" s="23" t="str">
        <f>IFERROR(__xludf.DUMMYFUNCTION("""COMPUTED_VALUE"""),"Olympique lyonnais")</f>
        <v>Olympique lyonnais</v>
      </c>
      <c r="C14" s="24" t="str">
        <f>IFERROR(__xludf.DUMMYFUNCTION("""COMPUTED_VALUE"""),"Ligue 1")</f>
        <v>Ligue 1</v>
      </c>
      <c r="D14" s="23">
        <f>IFERROR(__xludf.DUMMYFUNCTION("""COMPUTED_VALUE"""),37.0)</f>
        <v>37</v>
      </c>
      <c r="E14" s="23">
        <f>IFERROR(__xludf.DUMMYFUNCTION("""COMPUTED_VALUE"""),2.0)</f>
        <v>2</v>
      </c>
      <c r="F14" s="23">
        <f>IFERROR(__xludf.DUMMYFUNCTION("""COMPUTED_VALUE"""),3.0)</f>
        <v>3</v>
      </c>
      <c r="G14" s="23">
        <f>IFERROR(__xludf.DUMMYFUNCTION("""COMPUTED_VALUE"""),1.0)</f>
        <v>1</v>
      </c>
      <c r="H14" s="23" t="str">
        <f>IFERROR(__xludf.DUMMYFUNCTION("""COMPUTED_VALUE"""),"*C1+C3*")</f>
        <v>*C1+C3*</v>
      </c>
      <c r="I14" s="23" t="str">
        <f>IFERROR(__xludf.DUMMYFUNCTION("""COMPUTED_VALUE"""),"6+1")</f>
        <v>6+1</v>
      </c>
      <c r="J14" s="23">
        <f>IFERROR(__xludf.DUMMYFUNCTION("""COMPUTED_VALUE"""),0.0)</f>
        <v>0</v>
      </c>
      <c r="K14" s="23" t="str">
        <f>IFERROR(__xludf.DUMMYFUNCTION("""COMPUTED_VALUE"""),"-")</f>
        <v>-</v>
      </c>
      <c r="L14" s="23" t="str">
        <f>IFERROR(__xludf.DUMMYFUNCTION("""COMPUTED_VALUE"""),"-")</f>
        <v>-</v>
      </c>
      <c r="M14" s="23">
        <f>IFERROR(__xludf.DUMMYFUNCTION("""COMPUTED_VALUE"""),47.0)</f>
        <v>47</v>
      </c>
      <c r="N14" s="23">
        <f>IFERROR(__xludf.DUMMYFUNCTION("""COMPUTED_VALUE"""),3.0)</f>
        <v>3</v>
      </c>
    </row>
    <row r="15">
      <c r="A15" s="23" t="str">
        <f>IFERROR(__xludf.DUMMYFUNCTION("""COMPUTED_VALUE"""),"2003-2004")</f>
        <v>2003-2004</v>
      </c>
      <c r="B15" s="23" t="str">
        <f>IFERROR(__xludf.DUMMYFUNCTION("""COMPUTED_VALUE"""),"Olympique lyonnais")</f>
        <v>Olympique lyonnais</v>
      </c>
      <c r="C15" s="24" t="str">
        <f>IFERROR(__xludf.DUMMYFUNCTION("""COMPUTED_VALUE"""),"Ligue 1")</f>
        <v>Ligue 1</v>
      </c>
      <c r="D15" s="23">
        <f>IFERROR(__xludf.DUMMYFUNCTION("""COMPUTED_VALUE"""),31.0)</f>
        <v>31</v>
      </c>
      <c r="E15" s="23">
        <f>IFERROR(__xludf.DUMMYFUNCTION("""COMPUTED_VALUE"""),4.0)</f>
        <v>4</v>
      </c>
      <c r="F15" s="23">
        <f>IFERROR(__xludf.DUMMYFUNCTION("""COMPUTED_VALUE"""),4.0)</f>
        <v>4</v>
      </c>
      <c r="G15" s="23">
        <f>IFERROR(__xludf.DUMMYFUNCTION("""COMPUTED_VALUE"""),0.0)</f>
        <v>0</v>
      </c>
      <c r="H15" s="23" t="str">
        <f>IFERROR(__xludf.DUMMYFUNCTION("""COMPUTED_VALUE"""),"*C1*")</f>
        <v>*C1*</v>
      </c>
      <c r="I15" s="23">
        <f>IFERROR(__xludf.DUMMYFUNCTION("""COMPUTED_VALUE"""),8.0)</f>
        <v>8</v>
      </c>
      <c r="J15" s="23">
        <f>IFERROR(__xludf.DUMMYFUNCTION("""COMPUTED_VALUE"""),0.0)</f>
        <v>0</v>
      </c>
      <c r="K15" s="23" t="str">
        <f>IFERROR(__xludf.DUMMYFUNCTION("""COMPUTED_VALUE"""),"-")</f>
        <v>-</v>
      </c>
      <c r="L15" s="23" t="str">
        <f>IFERROR(__xludf.DUMMYFUNCTION("""COMPUTED_VALUE"""),"-")</f>
        <v>-</v>
      </c>
      <c r="M15" s="23">
        <f>IFERROR(__xludf.DUMMYFUNCTION("""COMPUTED_VALUE"""),43.0)</f>
        <v>43</v>
      </c>
      <c r="N15" s="23">
        <f>IFERROR(__xludf.DUMMYFUNCTION("""COMPUTED_VALUE"""),4.0)</f>
        <v>4</v>
      </c>
    </row>
    <row r="16">
      <c r="A16" s="23" t="str">
        <f>IFERROR(__xludf.DUMMYFUNCTION("""COMPUTED_VALUE"""),"Sous-total")</f>
        <v>Sous-total</v>
      </c>
      <c r="B16" s="23"/>
      <c r="C16" s="24"/>
      <c r="D16" s="23">
        <f>IFERROR(__xludf.DUMMYFUNCTION("""COMPUTED_VALUE"""),68.0)</f>
        <v>68</v>
      </c>
      <c r="E16" s="23">
        <f>IFERROR(__xludf.DUMMYFUNCTION("""COMPUTED_VALUE"""),6.0)</f>
        <v>6</v>
      </c>
      <c r="F16" s="23">
        <f>IFERROR(__xludf.DUMMYFUNCTION("""COMPUTED_VALUE"""),7.0)</f>
        <v>7</v>
      </c>
      <c r="G16" s="23">
        <f>IFERROR(__xludf.DUMMYFUNCTION("""COMPUTED_VALUE"""),1.0)</f>
        <v>1</v>
      </c>
      <c r="H16" s="23" t="str">
        <f>IFERROR(__xludf.DUMMYFUNCTION("""COMPUTED_VALUE"""),"-")</f>
        <v>-</v>
      </c>
      <c r="I16" s="23">
        <f>IFERROR(__xludf.DUMMYFUNCTION("""COMPUTED_VALUE"""),15.0)</f>
        <v>15</v>
      </c>
      <c r="J16" s="23">
        <f>IFERROR(__xludf.DUMMYFUNCTION("""COMPUTED_VALUE"""),0.0)</f>
        <v>0</v>
      </c>
      <c r="K16" s="23">
        <f>IFERROR(__xludf.DUMMYFUNCTION("""COMPUTED_VALUE"""),0.0)</f>
        <v>0</v>
      </c>
      <c r="L16" s="23">
        <f>IFERROR(__xludf.DUMMYFUNCTION("""COMPUTED_VALUE"""),0.0)</f>
        <v>0</v>
      </c>
      <c r="M16" s="23">
        <f>IFERROR(__xludf.DUMMYFUNCTION("""COMPUTED_VALUE"""),90.0)</f>
        <v>90</v>
      </c>
      <c r="N16" s="23">
        <f>IFERROR(__xludf.DUMMYFUNCTION("""COMPUTED_VALUE"""),7.0)</f>
        <v>7</v>
      </c>
    </row>
    <row r="17">
      <c r="A17" s="23" t="str">
        <f>IFERROR(__xludf.DUMMYFUNCTION("""COMPUTED_VALUE"""),"2004-2005")</f>
        <v>2004-2005</v>
      </c>
      <c r="B17" s="23" t="str">
        <f>IFERROR(__xludf.DUMMYFUNCTION("""COMPUTED_VALUE"""),"AC Milan")</f>
        <v>AC Milan</v>
      </c>
      <c r="C17" s="24" t="str">
        <f>IFERROR(__xludf.DUMMYFUNCTION("""COMPUTED_VALUE"""),"Serie A")</f>
        <v>Serie A</v>
      </c>
      <c r="D17" s="23">
        <f>IFERROR(__xludf.DUMMYFUNCTION("""COMPUTED_VALUE"""),12.0)</f>
        <v>12</v>
      </c>
      <c r="E17" s="23">
        <f>IFERROR(__xludf.DUMMYFUNCTION("""COMPUTED_VALUE"""),0.0)</f>
        <v>0</v>
      </c>
      <c r="F17" s="23">
        <f>IFERROR(__xludf.DUMMYFUNCTION("""COMPUTED_VALUE"""),4.0)</f>
        <v>4</v>
      </c>
      <c r="G17" s="23">
        <f>IFERROR(__xludf.DUMMYFUNCTION("""COMPUTED_VALUE"""),0.0)</f>
        <v>0</v>
      </c>
      <c r="H17" s="23" t="str">
        <f>IFERROR(__xludf.DUMMYFUNCTION("""COMPUTED_VALUE"""),"*C1*")</f>
        <v>*C1*</v>
      </c>
      <c r="I17" s="23">
        <f>IFERROR(__xludf.DUMMYFUNCTION("""COMPUTED_VALUE"""),4.0)</f>
        <v>4</v>
      </c>
      <c r="J17" s="23">
        <f>IFERROR(__xludf.DUMMYFUNCTION("""COMPUTED_VALUE"""),0.0)</f>
        <v>0</v>
      </c>
      <c r="K17" s="23">
        <f>IFERROR(__xludf.DUMMYFUNCTION("""COMPUTED_VALUE"""),5.0)</f>
        <v>5</v>
      </c>
      <c r="L17" s="23">
        <f>IFERROR(__xludf.DUMMYFUNCTION("""COMPUTED_VALUE"""),0.0)</f>
        <v>0</v>
      </c>
      <c r="M17" s="23">
        <f>IFERROR(__xludf.DUMMYFUNCTION("""COMPUTED_VALUE"""),25.0)</f>
        <v>25</v>
      </c>
      <c r="N17" s="23">
        <f>IFERROR(__xludf.DUMMYFUNCTION("""COMPUTED_VALUE"""),0.0)</f>
        <v>0</v>
      </c>
    </row>
    <row r="18">
      <c r="A18" s="23" t="str">
        <f>IFERROR(__xludf.DUMMYFUNCTION("""COMPUTED_VALUE"""),"2005-2006")</f>
        <v>2005-2006</v>
      </c>
      <c r="B18" s="23" t="str">
        <f>IFERROR(__xludf.DUMMYFUNCTION("""COMPUTED_VALUE"""),"Paris Saint-Germain")</f>
        <v>Paris Saint-Germain</v>
      </c>
      <c r="C18" s="24" t="str">
        <f>IFERROR(__xludf.DUMMYFUNCTION("""COMPUTED_VALUE"""),"Ligue 1")</f>
        <v>Ligue 1</v>
      </c>
      <c r="D18" s="23">
        <f>IFERROR(__xludf.DUMMYFUNCTION("""COMPUTED_VALUE"""),34.0)</f>
        <v>34</v>
      </c>
      <c r="E18" s="23">
        <f>IFERROR(__xludf.DUMMYFUNCTION("""COMPUTED_VALUE"""),0.0)</f>
        <v>0</v>
      </c>
      <c r="F18" s="23">
        <f>IFERROR(__xludf.DUMMYFUNCTION("""COMPUTED_VALUE"""),6.0)</f>
        <v>6</v>
      </c>
      <c r="G18" s="23">
        <f>IFERROR(__xludf.DUMMYFUNCTION("""COMPUTED_VALUE"""),1.0)</f>
        <v>1</v>
      </c>
      <c r="H18" s="23" t="str">
        <f>IFERROR(__xludf.DUMMYFUNCTION("""COMPUTED_VALUE"""),"*-*")</f>
        <v>*-*</v>
      </c>
      <c r="I18" s="23" t="str">
        <f>IFERROR(__xludf.DUMMYFUNCTION("""COMPUTED_VALUE"""),"-")</f>
        <v>-</v>
      </c>
      <c r="J18" s="23" t="str">
        <f>IFERROR(__xludf.DUMMYFUNCTION("""COMPUTED_VALUE"""),"-")</f>
        <v>-</v>
      </c>
      <c r="K18" s="23">
        <f>IFERROR(__xludf.DUMMYFUNCTION("""COMPUTED_VALUE"""),11.0)</f>
        <v>11</v>
      </c>
      <c r="L18" s="23">
        <f>IFERROR(__xludf.DUMMYFUNCTION("""COMPUTED_VALUE"""),1.0)</f>
        <v>1</v>
      </c>
      <c r="M18" s="23">
        <f>IFERROR(__xludf.DUMMYFUNCTION("""COMPUTED_VALUE"""),51.0)</f>
        <v>51</v>
      </c>
      <c r="N18" s="23">
        <f>IFERROR(__xludf.DUMMYFUNCTION("""COMPUTED_VALUE"""),2.0)</f>
        <v>2</v>
      </c>
    </row>
    <row r="19">
      <c r="A19" s="23" t="str">
        <f>IFERROR(__xludf.DUMMYFUNCTION("""COMPUTED_VALUE"""),"2006-2007")</f>
        <v>2006-2007</v>
      </c>
      <c r="B19" s="23" t="str">
        <f>IFERROR(__xludf.DUMMYFUNCTION("""COMPUTED_VALUE"""),"Paris Saint-Germain")</f>
        <v>Paris Saint-Germain</v>
      </c>
      <c r="C19" s="24" t="str">
        <f>IFERROR(__xludf.DUMMYFUNCTION("""COMPUTED_VALUE"""),"Ligue 1")</f>
        <v>Ligue 1</v>
      </c>
      <c r="D19" s="23">
        <f>IFERROR(__xludf.DUMMYFUNCTION("""COMPUTED_VALUE"""),3.0)</f>
        <v>3</v>
      </c>
      <c r="E19" s="23">
        <f>IFERROR(__xludf.DUMMYFUNCTION("""COMPUTED_VALUE"""),0.0)</f>
        <v>0</v>
      </c>
      <c r="F19" s="23" t="str">
        <f>IFERROR(__xludf.DUMMYFUNCTION("""COMPUTED_VALUE"""),"-")</f>
        <v>-</v>
      </c>
      <c r="G19" s="23" t="str">
        <f>IFERROR(__xludf.DUMMYFUNCTION("""COMPUTED_VALUE"""),"-")</f>
        <v>-</v>
      </c>
      <c r="H19" s="23" t="str">
        <f>IFERROR(__xludf.DUMMYFUNCTION("""COMPUTED_VALUE"""),"*-*")</f>
        <v>*-*</v>
      </c>
      <c r="I19" s="23" t="str">
        <f>IFERROR(__xludf.DUMMYFUNCTION("""COMPUTED_VALUE"""),"-")</f>
        <v>-</v>
      </c>
      <c r="J19" s="23" t="str">
        <f>IFERROR(__xludf.DUMMYFUNCTION("""COMPUTED_VALUE"""),"-")</f>
        <v>-</v>
      </c>
      <c r="K19" s="23" t="str">
        <f>IFERROR(__xludf.DUMMYFUNCTION("""COMPUTED_VALUE"""),"-")</f>
        <v>-</v>
      </c>
      <c r="L19" s="23" t="str">
        <f>IFERROR(__xludf.DUMMYFUNCTION("""COMPUTED_VALUE"""),"-")</f>
        <v>-</v>
      </c>
      <c r="M19" s="23">
        <f>IFERROR(__xludf.DUMMYFUNCTION("""COMPUTED_VALUE"""),3.0)</f>
        <v>3</v>
      </c>
      <c r="N19" s="23">
        <f>IFERROR(__xludf.DUMMYFUNCTION("""COMPUTED_VALUE"""),0.0)</f>
        <v>0</v>
      </c>
    </row>
    <row r="20">
      <c r="A20" s="23" t="str">
        <f>IFERROR(__xludf.DUMMYFUNCTION("""COMPUTED_VALUE"""),"Sous-total")</f>
        <v>Sous-total</v>
      </c>
      <c r="B20" s="23"/>
      <c r="C20" s="24"/>
      <c r="D20" s="23">
        <f>IFERROR(__xludf.DUMMYFUNCTION("""COMPUTED_VALUE"""),37.0)</f>
        <v>37</v>
      </c>
      <c r="E20" s="23">
        <f>IFERROR(__xludf.DUMMYFUNCTION("""COMPUTED_VALUE"""),0.0)</f>
        <v>0</v>
      </c>
      <c r="F20" s="23">
        <f>IFERROR(__xludf.DUMMYFUNCTION("""COMPUTED_VALUE"""),6.0)</f>
        <v>6</v>
      </c>
      <c r="G20" s="23">
        <f>IFERROR(__xludf.DUMMYFUNCTION("""COMPUTED_VALUE"""),1.0)</f>
        <v>1</v>
      </c>
      <c r="H20" s="23" t="str">
        <f>IFERROR(__xludf.DUMMYFUNCTION("""COMPUTED_VALUE"""),"-")</f>
        <v>-</v>
      </c>
      <c r="I20" s="23" t="str">
        <f>IFERROR(__xludf.DUMMYFUNCTION("""COMPUTED_VALUE"""),"-")</f>
        <v>-</v>
      </c>
      <c r="J20" s="23" t="str">
        <f>IFERROR(__xludf.DUMMYFUNCTION("""COMPUTED_VALUE"""),"-")</f>
        <v>-</v>
      </c>
      <c r="K20" s="23">
        <f>IFERROR(__xludf.DUMMYFUNCTION("""COMPUTED_VALUE"""),11.0)</f>
        <v>11</v>
      </c>
      <c r="L20" s="23">
        <f>IFERROR(__xludf.DUMMYFUNCTION("""COMPUTED_VALUE"""),1.0)</f>
        <v>1</v>
      </c>
      <c r="M20" s="23">
        <f>IFERROR(__xludf.DUMMYFUNCTION("""COMPUTED_VALUE"""),54.0)</f>
        <v>54</v>
      </c>
      <c r="N20" s="23">
        <f>IFERROR(__xludf.DUMMYFUNCTION("""COMPUTED_VALUE"""),2.0)</f>
        <v>2</v>
      </c>
    </row>
    <row r="21">
      <c r="A21" s="23" t="str">
        <f>IFERROR(__xludf.DUMMYFUNCTION("""COMPUTED_VALUE"""),"2007-2008")</f>
        <v>2007-2008</v>
      </c>
      <c r="B21" s="23" t="str">
        <f>IFERROR(__xludf.DUMMYFUNCTION("""COMPUTED_VALUE"""),"AS Livourne Calcio")</f>
        <v>AS Livourne Calcio</v>
      </c>
      <c r="C21" s="24" t="str">
        <f>IFERROR(__xludf.DUMMYFUNCTION("""COMPUTED_VALUE"""),"Serie A")</f>
        <v>Serie A</v>
      </c>
      <c r="D21" s="23" t="str">
        <f>IFERROR(__xludf.DUMMYFUNCTION("""COMPUTED_VALUE"""),"-")</f>
        <v>-</v>
      </c>
      <c r="E21" s="23" t="str">
        <f>IFERROR(__xludf.DUMMYFUNCTION("""COMPUTED_VALUE"""),"-")</f>
        <v>-</v>
      </c>
      <c r="F21" s="23" t="str">
        <f>IFERROR(__xludf.DUMMYFUNCTION("""COMPUTED_VALUE"""),"-")</f>
        <v>-</v>
      </c>
      <c r="G21" s="23" t="str">
        <f>IFERROR(__xludf.DUMMYFUNCTION("""COMPUTED_VALUE"""),"-")</f>
        <v>-</v>
      </c>
      <c r="H21" s="23" t="str">
        <f>IFERROR(__xludf.DUMMYFUNCTION("""COMPUTED_VALUE"""),"*-*")</f>
        <v>*-*</v>
      </c>
      <c r="I21" s="23" t="str">
        <f>IFERROR(__xludf.DUMMYFUNCTION("""COMPUTED_VALUE"""),"-")</f>
        <v>-</v>
      </c>
      <c r="J21" s="23" t="str">
        <f>IFERROR(__xludf.DUMMYFUNCTION("""COMPUTED_VALUE"""),"-")</f>
        <v>-</v>
      </c>
      <c r="K21" s="23" t="str">
        <f>IFERROR(__xludf.DUMMYFUNCTION("""COMPUTED_VALUE"""),"-")</f>
        <v>-</v>
      </c>
      <c r="L21" s="23" t="str">
        <f>IFERROR(__xludf.DUMMYFUNCTION("""COMPUTED_VALUE"""),"-")</f>
        <v>-</v>
      </c>
      <c r="M21" s="23">
        <f>IFERROR(__xludf.DUMMYFUNCTION("""COMPUTED_VALUE"""),0.0)</f>
        <v>0</v>
      </c>
      <c r="N21" s="23">
        <f>IFERROR(__xludf.DUMMYFUNCTION("""COMPUTED_VALUE"""),0.0)</f>
        <v>0</v>
      </c>
    </row>
    <row r="22">
      <c r="A22" s="23" t="str">
        <f>IFERROR(__xludf.DUMMYFUNCTION("""COMPUTED_VALUE"""),"Total sur la carrière")</f>
        <v>Total sur la carrière</v>
      </c>
      <c r="B22" s="25"/>
      <c r="C22" s="24"/>
      <c r="D22" s="23">
        <f>IFERROR(__xludf.DUMMYFUNCTION("""COMPUTED_VALUE"""),375.0)</f>
        <v>375</v>
      </c>
      <c r="E22" s="23">
        <f>IFERROR(__xludf.DUMMYFUNCTION("""COMPUTED_VALUE"""),16.0)</f>
        <v>16</v>
      </c>
      <c r="F22" s="23">
        <f>IFERROR(__xludf.DUMMYFUNCTION("""COMPUTED_VALUE"""),54.0)</f>
        <v>54</v>
      </c>
      <c r="G22" s="23">
        <f>IFERROR(__xludf.DUMMYFUNCTION("""COMPUTED_VALUE"""),3.0)</f>
        <v>3</v>
      </c>
      <c r="H22" s="23" t="str">
        <f>IFERROR(__xludf.DUMMYFUNCTION("""COMPUTED_VALUE"""),"-")</f>
        <v>-</v>
      </c>
      <c r="I22" s="23">
        <f>IFERROR(__xludf.DUMMYFUNCTION("""COMPUTED_VALUE"""),50.0)</f>
        <v>50</v>
      </c>
      <c r="J22" s="23">
        <f>IFERROR(__xludf.DUMMYFUNCTION("""COMPUTED_VALUE"""),1.0)</f>
        <v>1</v>
      </c>
      <c r="K22" s="23">
        <f>IFERROR(__xludf.DUMMYFUNCTION("""COMPUTED_VALUE"""),18.0)</f>
        <v>18</v>
      </c>
      <c r="L22" s="23">
        <f>IFERROR(__xludf.DUMMYFUNCTION("""COMPUTED_VALUE"""),1.0)</f>
        <v>1</v>
      </c>
      <c r="M22" s="23">
        <f>IFERROR(__xludf.DUMMYFUNCTION("""COMPUTED_VALUE"""),497.0)</f>
        <v>497</v>
      </c>
      <c r="N22" s="23">
        <f>IFERROR(__xludf.DUMMYFUNCTION("""COMPUTED_VALUE"""),21.0)</f>
        <v>21</v>
      </c>
    </row>
    <row r="23">
      <c r="A23" s="23"/>
      <c r="B23" s="23"/>
      <c r="C23" s="24"/>
      <c r="D23" s="23"/>
      <c r="E23" s="23"/>
      <c r="F23" s="23"/>
      <c r="G23" s="23"/>
      <c r="H23" s="23"/>
      <c r="I23" s="23"/>
      <c r="J23" s="23"/>
      <c r="K23" s="23"/>
      <c r="L23" s="23"/>
      <c r="M23" s="23"/>
      <c r="N23" s="23"/>
    </row>
    <row r="24">
      <c r="A24" s="23"/>
      <c r="B24" s="23"/>
      <c r="C24" s="24"/>
      <c r="D24" s="23"/>
      <c r="E24" s="23"/>
      <c r="F24" s="23"/>
      <c r="G24" s="23"/>
      <c r="H24" s="23"/>
      <c r="I24" s="23"/>
      <c r="J24" s="23"/>
      <c r="K24" s="23"/>
      <c r="L24" s="23"/>
      <c r="M24" s="23"/>
      <c r="N24" s="23"/>
    </row>
    <row r="25">
      <c r="A25" s="23"/>
      <c r="B25" s="23"/>
      <c r="C25" s="24"/>
      <c r="D25" s="23"/>
      <c r="E25" s="23"/>
      <c r="F25" s="23"/>
      <c r="G25" s="23"/>
      <c r="H25" s="23"/>
      <c r="I25" s="23"/>
      <c r="J25" s="23"/>
      <c r="K25" s="23"/>
      <c r="L25" s="23"/>
      <c r="M25" s="23"/>
      <c r="N25" s="23"/>
    </row>
    <row r="26">
      <c r="A26" s="23"/>
      <c r="B26" s="23"/>
      <c r="C26" s="24"/>
    </row>
    <row r="27">
      <c r="A27" s="23"/>
      <c r="B27" s="23"/>
      <c r="C27" s="24"/>
    </row>
    <row r="28">
      <c r="A28" s="23" t="s">
        <v>1266</v>
      </c>
      <c r="B28" s="23" t="s">
        <v>1267</v>
      </c>
      <c r="C28" s="24" t="s">
        <v>1268</v>
      </c>
      <c r="F28" s="2" t="s">
        <v>1269</v>
      </c>
      <c r="H28" s="2" t="s">
        <v>1270</v>
      </c>
      <c r="K28" s="2" t="s">
        <v>191</v>
      </c>
      <c r="M28" s="2" t="s">
        <v>1271</v>
      </c>
    </row>
    <row r="29">
      <c r="A29" s="23"/>
      <c r="B29" s="23"/>
      <c r="C29" s="24" t="s">
        <v>1272</v>
      </c>
      <c r="D29" s="2" t="s">
        <v>1273</v>
      </c>
      <c r="E29" s="2" t="s">
        <v>1274</v>
      </c>
      <c r="F29" s="2" t="s">
        <v>1273</v>
      </c>
      <c r="G29" s="2" t="s">
        <v>1274</v>
      </c>
      <c r="H29" s="2" t="s">
        <v>1275</v>
      </c>
      <c r="I29" s="2" t="s">
        <v>1273</v>
      </c>
      <c r="J29" s="2" t="s">
        <v>1274</v>
      </c>
      <c r="K29" s="2" t="s">
        <v>1273</v>
      </c>
      <c r="L29" s="2" t="s">
        <v>1274</v>
      </c>
      <c r="M29" s="2" t="s">
        <v>1273</v>
      </c>
      <c r="N29" s="2" t="s">
        <v>1274</v>
      </c>
    </row>
    <row r="30">
      <c r="A30" s="23" t="s">
        <v>1276</v>
      </c>
      <c r="B30" s="23" t="s">
        <v>1277</v>
      </c>
      <c r="C30" s="24" t="s">
        <v>1278</v>
      </c>
      <c r="D30" s="2">
        <v>7.0</v>
      </c>
      <c r="E30" s="2">
        <v>0.0</v>
      </c>
      <c r="F30" s="2" t="s">
        <v>1279</v>
      </c>
      <c r="G30" s="2" t="s">
        <v>1279</v>
      </c>
      <c r="H30" s="2" t="s">
        <v>1280</v>
      </c>
      <c r="I30" s="2" t="s">
        <v>1279</v>
      </c>
      <c r="J30" s="2" t="s">
        <v>1279</v>
      </c>
      <c r="K30" s="2" t="s">
        <v>1279</v>
      </c>
      <c r="L30" s="2" t="s">
        <v>1279</v>
      </c>
      <c r="M30" s="2">
        <v>7.0</v>
      </c>
      <c r="N30" s="2">
        <v>0.0</v>
      </c>
    </row>
    <row r="31">
      <c r="A31" s="23" t="s">
        <v>1281</v>
      </c>
      <c r="B31" s="23" t="s">
        <v>1277</v>
      </c>
      <c r="C31" s="24" t="s">
        <v>1278</v>
      </c>
      <c r="D31" s="2">
        <v>30.0</v>
      </c>
      <c r="E31" s="2">
        <v>2.0</v>
      </c>
      <c r="F31" s="2">
        <v>6.0</v>
      </c>
      <c r="G31" s="2">
        <v>0.0</v>
      </c>
      <c r="H31" s="2" t="s">
        <v>1280</v>
      </c>
      <c r="I31" s="2" t="s">
        <v>1279</v>
      </c>
      <c r="J31" s="2" t="s">
        <v>1279</v>
      </c>
      <c r="K31" s="2" t="s">
        <v>1279</v>
      </c>
      <c r="L31" s="2" t="s">
        <v>1279</v>
      </c>
      <c r="M31" s="2">
        <v>36.0</v>
      </c>
      <c r="N31" s="2">
        <v>2.0</v>
      </c>
    </row>
    <row r="32">
      <c r="A32" s="23" t="s">
        <v>1282</v>
      </c>
      <c r="B32" s="23" t="s">
        <v>1277</v>
      </c>
      <c r="C32" s="24" t="s">
        <v>1278</v>
      </c>
      <c r="D32" s="2">
        <v>30.0</v>
      </c>
      <c r="E32" s="2">
        <v>0.0</v>
      </c>
      <c r="F32" s="2">
        <v>4.0</v>
      </c>
      <c r="G32" s="2">
        <v>0.0</v>
      </c>
      <c r="H32" s="2" t="s">
        <v>1280</v>
      </c>
      <c r="I32" s="2" t="s">
        <v>1279</v>
      </c>
      <c r="J32" s="2" t="s">
        <v>1279</v>
      </c>
      <c r="K32" s="2" t="s">
        <v>1279</v>
      </c>
      <c r="L32" s="2" t="s">
        <v>1279</v>
      </c>
      <c r="M32" s="2">
        <v>34.0</v>
      </c>
      <c r="N32" s="2">
        <v>0.0</v>
      </c>
    </row>
    <row r="33">
      <c r="A33" s="23" t="s">
        <v>1283</v>
      </c>
      <c r="B33" s="23" t="s">
        <v>1277</v>
      </c>
      <c r="C33" s="24" t="s">
        <v>1278</v>
      </c>
      <c r="D33" s="2">
        <v>36.0</v>
      </c>
      <c r="E33" s="2">
        <v>0.0</v>
      </c>
      <c r="F33" s="2">
        <v>2.0</v>
      </c>
      <c r="G33" s="2">
        <v>0.0</v>
      </c>
      <c r="H33" s="2" t="s">
        <v>1280</v>
      </c>
      <c r="I33" s="2" t="s">
        <v>1279</v>
      </c>
      <c r="J33" s="2" t="s">
        <v>1279</v>
      </c>
      <c r="K33" s="2" t="s">
        <v>1279</v>
      </c>
      <c r="L33" s="2" t="s">
        <v>1279</v>
      </c>
      <c r="M33" s="2">
        <v>38.0</v>
      </c>
      <c r="N33" s="2">
        <v>0.0</v>
      </c>
    </row>
    <row r="34">
      <c r="A34" s="23" t="s">
        <v>1284</v>
      </c>
      <c r="B34" s="23" t="s">
        <v>1277</v>
      </c>
      <c r="C34" s="24" t="s">
        <v>1278</v>
      </c>
      <c r="D34" s="2">
        <v>34.0</v>
      </c>
      <c r="E34" s="2">
        <v>2.0</v>
      </c>
      <c r="F34" s="2">
        <v>3.0</v>
      </c>
      <c r="G34" s="2">
        <v>0.0</v>
      </c>
      <c r="H34" s="2" t="s">
        <v>1280</v>
      </c>
      <c r="I34" s="2" t="s">
        <v>1279</v>
      </c>
      <c r="J34" s="2" t="s">
        <v>1279</v>
      </c>
      <c r="K34" s="2" t="s">
        <v>1279</v>
      </c>
      <c r="L34" s="2" t="s">
        <v>1279</v>
      </c>
      <c r="M34" s="2">
        <v>37.0</v>
      </c>
      <c r="N34" s="2">
        <v>2.0</v>
      </c>
    </row>
    <row r="35">
      <c r="A35" s="23" t="s">
        <v>1285</v>
      </c>
      <c r="B35" s="23"/>
      <c r="C35" s="24"/>
      <c r="D35" s="2">
        <v>137.0</v>
      </c>
      <c r="E35" s="2">
        <v>4.0</v>
      </c>
      <c r="F35" s="2">
        <v>15.0</v>
      </c>
      <c r="G35" s="2">
        <v>0.0</v>
      </c>
      <c r="H35" s="2" t="s">
        <v>1279</v>
      </c>
      <c r="I35" s="2">
        <v>0.0</v>
      </c>
      <c r="J35" s="2">
        <v>0.0</v>
      </c>
      <c r="K35" s="2">
        <v>0.0</v>
      </c>
      <c r="L35" s="2">
        <v>0.0</v>
      </c>
      <c r="M35" s="2">
        <v>152.0</v>
      </c>
      <c r="N35" s="2">
        <v>4.0</v>
      </c>
    </row>
    <row r="36">
      <c r="A36" s="23" t="s">
        <v>1286</v>
      </c>
      <c r="B36" s="23" t="s">
        <v>1287</v>
      </c>
      <c r="C36" s="24" t="s">
        <v>1278</v>
      </c>
      <c r="D36" s="2">
        <v>34.0</v>
      </c>
      <c r="E36" s="2">
        <v>2.0</v>
      </c>
      <c r="F36" s="2">
        <v>1.0</v>
      </c>
      <c r="G36" s="2">
        <v>0.0</v>
      </c>
      <c r="H36" s="2" t="s">
        <v>1288</v>
      </c>
      <c r="I36" s="2">
        <v>8.0</v>
      </c>
      <c r="J36" s="2">
        <v>1.0</v>
      </c>
      <c r="K36" s="2">
        <v>2.0</v>
      </c>
      <c r="L36" s="2">
        <v>0.0</v>
      </c>
      <c r="M36" s="2">
        <v>45.0</v>
      </c>
      <c r="N36" s="2">
        <v>3.0</v>
      </c>
    </row>
    <row r="37">
      <c r="A37" s="23" t="s">
        <v>1289</v>
      </c>
      <c r="B37" s="23" t="s">
        <v>1287</v>
      </c>
      <c r="C37" s="24" t="s">
        <v>1278</v>
      </c>
      <c r="D37" s="2">
        <v>32.0</v>
      </c>
      <c r="E37" s="2">
        <v>0.0</v>
      </c>
      <c r="F37" s="2">
        <v>7.0</v>
      </c>
      <c r="G37" s="2">
        <v>0.0</v>
      </c>
      <c r="H37" s="2" t="s">
        <v>1290</v>
      </c>
      <c r="I37" s="2">
        <v>8.0</v>
      </c>
      <c r="J37" s="2">
        <v>0.0</v>
      </c>
      <c r="K37" s="2" t="s">
        <v>1279</v>
      </c>
      <c r="L37" s="2" t="s">
        <v>1279</v>
      </c>
      <c r="M37" s="2">
        <v>47.0</v>
      </c>
      <c r="N37" s="2">
        <v>0.0</v>
      </c>
    </row>
    <row r="38">
      <c r="A38" s="23" t="s">
        <v>1291</v>
      </c>
      <c r="B38" s="23" t="s">
        <v>1287</v>
      </c>
      <c r="C38" s="24" t="s">
        <v>1278</v>
      </c>
      <c r="D38" s="2">
        <v>27.0</v>
      </c>
      <c r="E38" s="2">
        <v>3.0</v>
      </c>
      <c r="F38" s="2">
        <v>7.0</v>
      </c>
      <c r="G38" s="2">
        <v>0.0</v>
      </c>
      <c r="H38" s="2" t="s">
        <v>1292</v>
      </c>
      <c r="I38" s="2">
        <v>10.0</v>
      </c>
      <c r="J38" s="2">
        <v>0.0</v>
      </c>
      <c r="K38" s="2" t="s">
        <v>1279</v>
      </c>
      <c r="L38" s="2" t="s">
        <v>1279</v>
      </c>
      <c r="M38" s="2">
        <v>44.0</v>
      </c>
      <c r="N38" s="2">
        <v>3.0</v>
      </c>
    </row>
    <row r="39">
      <c r="A39" s="23" t="s">
        <v>1285</v>
      </c>
      <c r="B39" s="23"/>
      <c r="C39" s="24"/>
      <c r="D39" s="2">
        <v>93.0</v>
      </c>
      <c r="E39" s="2">
        <v>5.0</v>
      </c>
      <c r="F39" s="2">
        <v>15.0</v>
      </c>
      <c r="G39" s="2">
        <v>0.0</v>
      </c>
      <c r="H39" s="2" t="s">
        <v>1279</v>
      </c>
      <c r="I39" s="2">
        <v>26.0</v>
      </c>
      <c r="J39" s="2">
        <v>1.0</v>
      </c>
      <c r="K39" s="2">
        <v>2.0</v>
      </c>
      <c r="L39" s="2">
        <v>0.0</v>
      </c>
      <c r="M39" s="2">
        <v>136.0</v>
      </c>
      <c r="N39" s="2">
        <v>6.0</v>
      </c>
    </row>
    <row r="40">
      <c r="A40" s="23" t="s">
        <v>1293</v>
      </c>
      <c r="B40" s="23" t="s">
        <v>1294</v>
      </c>
      <c r="C40" s="24" t="s">
        <v>1278</v>
      </c>
      <c r="D40" s="2">
        <v>28.0</v>
      </c>
      <c r="E40" s="2">
        <v>1.0</v>
      </c>
      <c r="F40" s="2">
        <v>7.0</v>
      </c>
      <c r="G40" s="2">
        <v>1.0</v>
      </c>
      <c r="H40" s="2" t="s">
        <v>1288</v>
      </c>
      <c r="I40" s="2">
        <v>5.0</v>
      </c>
      <c r="J40" s="2">
        <v>0.0</v>
      </c>
      <c r="K40" s="2" t="s">
        <v>1279</v>
      </c>
      <c r="L40" s="2" t="s">
        <v>1279</v>
      </c>
      <c r="M40" s="2">
        <v>40.0</v>
      </c>
      <c r="N40" s="2">
        <v>2.0</v>
      </c>
    </row>
    <row r="41">
      <c r="A41" s="23" t="s">
        <v>1285</v>
      </c>
      <c r="B41" s="23"/>
      <c r="C41" s="24"/>
      <c r="D41" s="2">
        <v>28.0</v>
      </c>
      <c r="E41" s="2">
        <v>1.0</v>
      </c>
      <c r="F41" s="2">
        <v>7.0</v>
      </c>
      <c r="G41" s="2">
        <v>1.0</v>
      </c>
      <c r="H41" s="2" t="s">
        <v>1279</v>
      </c>
      <c r="I41" s="2">
        <v>5.0</v>
      </c>
      <c r="J41" s="2">
        <v>0.0</v>
      </c>
      <c r="K41" s="2">
        <v>0.0</v>
      </c>
      <c r="L41" s="2">
        <v>0.0</v>
      </c>
      <c r="M41" s="2">
        <v>40.0</v>
      </c>
      <c r="N41" s="2">
        <v>2.0</v>
      </c>
    </row>
    <row r="42">
      <c r="A42" s="23" t="s">
        <v>1295</v>
      </c>
      <c r="B42" s="23" t="s">
        <v>1287</v>
      </c>
      <c r="C42" s="24" t="s">
        <v>1296</v>
      </c>
      <c r="D42" s="2">
        <v>37.0</v>
      </c>
      <c r="E42" s="2">
        <v>2.0</v>
      </c>
      <c r="F42" s="2">
        <v>3.0</v>
      </c>
      <c r="G42" s="2">
        <v>1.0</v>
      </c>
      <c r="H42" s="2" t="s">
        <v>1290</v>
      </c>
      <c r="I42" s="2">
        <v>7.0</v>
      </c>
      <c r="J42" s="2">
        <v>0.0</v>
      </c>
      <c r="K42" s="2" t="s">
        <v>1279</v>
      </c>
      <c r="L42" s="2" t="s">
        <v>1279</v>
      </c>
      <c r="M42" s="2">
        <v>47.0</v>
      </c>
      <c r="N42" s="2">
        <v>3.0</v>
      </c>
    </row>
    <row r="43">
      <c r="A43" s="23" t="s">
        <v>1297</v>
      </c>
      <c r="B43" s="23" t="s">
        <v>1287</v>
      </c>
      <c r="C43" s="24" t="s">
        <v>1296</v>
      </c>
      <c r="D43" s="2">
        <v>31.0</v>
      </c>
      <c r="E43" s="2">
        <v>4.0</v>
      </c>
      <c r="F43" s="2">
        <v>4.0</v>
      </c>
      <c r="G43" s="2">
        <v>0.0</v>
      </c>
      <c r="H43" s="2" t="s">
        <v>1292</v>
      </c>
      <c r="I43" s="2">
        <v>8.0</v>
      </c>
      <c r="J43" s="2">
        <v>0.0</v>
      </c>
      <c r="K43" s="2" t="s">
        <v>1279</v>
      </c>
      <c r="L43" s="2" t="s">
        <v>1279</v>
      </c>
      <c r="M43" s="2">
        <v>43.0</v>
      </c>
      <c r="N43" s="2">
        <v>4.0</v>
      </c>
    </row>
    <row r="44">
      <c r="A44" s="23" t="s">
        <v>1285</v>
      </c>
      <c r="B44" s="23"/>
      <c r="C44" s="24"/>
      <c r="D44" s="2">
        <v>68.0</v>
      </c>
      <c r="E44" s="2">
        <v>6.0</v>
      </c>
      <c r="F44" s="2">
        <v>7.0</v>
      </c>
      <c r="G44" s="2">
        <v>1.0</v>
      </c>
      <c r="H44" s="2" t="s">
        <v>1279</v>
      </c>
      <c r="I44" s="2">
        <v>15.0</v>
      </c>
      <c r="J44" s="2">
        <v>0.0</v>
      </c>
      <c r="K44" s="2">
        <v>0.0</v>
      </c>
      <c r="L44" s="2">
        <v>0.0</v>
      </c>
      <c r="M44" s="2">
        <v>90.0</v>
      </c>
      <c r="N44" s="2">
        <v>7.0</v>
      </c>
    </row>
    <row r="45">
      <c r="A45" s="23" t="s">
        <v>1298</v>
      </c>
      <c r="B45" s="23" t="s">
        <v>1299</v>
      </c>
      <c r="C45" s="24" t="s">
        <v>1300</v>
      </c>
      <c r="D45" s="2">
        <v>12.0</v>
      </c>
      <c r="E45" s="2">
        <v>0.0</v>
      </c>
      <c r="F45" s="2">
        <v>4.0</v>
      </c>
      <c r="G45" s="2">
        <v>0.0</v>
      </c>
      <c r="H45" s="2" t="s">
        <v>1292</v>
      </c>
      <c r="I45" s="2">
        <v>4.0</v>
      </c>
      <c r="J45" s="2">
        <v>0.0</v>
      </c>
      <c r="K45" s="2">
        <v>5.0</v>
      </c>
      <c r="L45" s="2">
        <v>0.0</v>
      </c>
      <c r="M45" s="2">
        <v>25.0</v>
      </c>
      <c r="N45" s="2">
        <v>0.0</v>
      </c>
    </row>
    <row r="46">
      <c r="A46" s="23" t="s">
        <v>1285</v>
      </c>
      <c r="B46" s="23"/>
      <c r="C46" s="24"/>
      <c r="D46" s="2">
        <v>12.0</v>
      </c>
      <c r="E46" s="2">
        <v>0.0</v>
      </c>
      <c r="F46" s="2">
        <v>4.0</v>
      </c>
      <c r="G46" s="2">
        <v>0.0</v>
      </c>
      <c r="H46" s="2" t="s">
        <v>1279</v>
      </c>
      <c r="I46" s="2">
        <v>4.0</v>
      </c>
      <c r="J46" s="2">
        <v>0.0</v>
      </c>
      <c r="K46" s="2">
        <v>5.0</v>
      </c>
      <c r="L46" s="2">
        <v>0.0</v>
      </c>
      <c r="M46" s="2">
        <v>25.0</v>
      </c>
      <c r="N46" s="2">
        <v>0.0</v>
      </c>
    </row>
    <row r="47">
      <c r="A47" s="23" t="s">
        <v>1301</v>
      </c>
      <c r="B47" s="23" t="s">
        <v>1302</v>
      </c>
      <c r="C47" s="24" t="s">
        <v>1296</v>
      </c>
      <c r="D47" s="2">
        <v>34.0</v>
      </c>
      <c r="E47" s="2">
        <v>0.0</v>
      </c>
      <c r="F47" s="2">
        <v>6.0</v>
      </c>
      <c r="G47" s="2">
        <v>1.0</v>
      </c>
      <c r="H47" s="2" t="s">
        <v>1280</v>
      </c>
      <c r="I47" s="2" t="s">
        <v>1279</v>
      </c>
      <c r="J47" s="2" t="s">
        <v>1279</v>
      </c>
      <c r="K47" s="2">
        <v>11.0</v>
      </c>
      <c r="L47" s="2">
        <v>1.0</v>
      </c>
      <c r="M47" s="2">
        <v>51.0</v>
      </c>
      <c r="N47" s="2">
        <v>2.0</v>
      </c>
    </row>
    <row r="48">
      <c r="A48" s="23" t="s">
        <v>1303</v>
      </c>
      <c r="B48" s="23" t="s">
        <v>1302</v>
      </c>
      <c r="C48" s="24" t="s">
        <v>1296</v>
      </c>
      <c r="D48" s="2">
        <v>3.0</v>
      </c>
      <c r="E48" s="2">
        <v>0.0</v>
      </c>
      <c r="F48" s="2" t="s">
        <v>1279</v>
      </c>
      <c r="G48" s="2" t="s">
        <v>1279</v>
      </c>
      <c r="H48" s="2" t="s">
        <v>1280</v>
      </c>
      <c r="I48" s="2" t="s">
        <v>1279</v>
      </c>
      <c r="J48" s="2" t="s">
        <v>1279</v>
      </c>
      <c r="K48" s="2" t="s">
        <v>1279</v>
      </c>
      <c r="L48" s="2" t="s">
        <v>1279</v>
      </c>
      <c r="M48" s="2">
        <v>3.0</v>
      </c>
      <c r="N48" s="2">
        <v>0.0</v>
      </c>
    </row>
    <row r="49">
      <c r="A49" s="23" t="s">
        <v>1285</v>
      </c>
      <c r="B49" s="23"/>
      <c r="C49" s="24"/>
      <c r="D49" s="2">
        <v>37.0</v>
      </c>
      <c r="E49" s="2">
        <v>0.0</v>
      </c>
      <c r="F49" s="2">
        <v>6.0</v>
      </c>
      <c r="G49" s="2">
        <v>1.0</v>
      </c>
      <c r="H49" s="2" t="s">
        <v>1279</v>
      </c>
      <c r="I49" s="2" t="s">
        <v>1279</v>
      </c>
      <c r="J49" s="2" t="s">
        <v>1279</v>
      </c>
      <c r="K49" s="2">
        <v>11.0</v>
      </c>
      <c r="L49" s="2">
        <v>1.0</v>
      </c>
      <c r="M49" s="2">
        <v>54.0</v>
      </c>
      <c r="N49" s="2">
        <v>2.0</v>
      </c>
    </row>
    <row r="50">
      <c r="A50" s="23" t="s">
        <v>1304</v>
      </c>
      <c r="B50" s="23" t="s">
        <v>1305</v>
      </c>
      <c r="C50" s="24" t="s">
        <v>1300</v>
      </c>
      <c r="D50" s="2" t="s">
        <v>1279</v>
      </c>
      <c r="E50" s="2" t="s">
        <v>1279</v>
      </c>
      <c r="F50" s="2" t="s">
        <v>1279</v>
      </c>
      <c r="G50" s="2" t="s">
        <v>1279</v>
      </c>
      <c r="H50" s="2" t="s">
        <v>1280</v>
      </c>
      <c r="I50" s="2" t="s">
        <v>1279</v>
      </c>
      <c r="J50" s="2" t="s">
        <v>1279</v>
      </c>
      <c r="K50" s="2" t="s">
        <v>1279</v>
      </c>
      <c r="L50" s="2" t="s">
        <v>1279</v>
      </c>
      <c r="M50" s="2">
        <v>0.0</v>
      </c>
      <c r="N50" s="2">
        <v>0.0</v>
      </c>
    </row>
    <row r="51">
      <c r="A51" s="23" t="s">
        <v>1285</v>
      </c>
      <c r="B51" s="23"/>
      <c r="C51" s="24"/>
      <c r="D51" s="2">
        <v>0.0</v>
      </c>
      <c r="E51" s="2">
        <v>0.0</v>
      </c>
      <c r="F51" s="2">
        <v>0.0</v>
      </c>
      <c r="G51" s="2">
        <v>0.0</v>
      </c>
      <c r="H51" s="2" t="s">
        <v>1279</v>
      </c>
      <c r="I51" s="2">
        <v>0.0</v>
      </c>
      <c r="J51" s="2">
        <v>0.0</v>
      </c>
      <c r="K51" s="2">
        <v>0.0</v>
      </c>
      <c r="L51" s="2">
        <v>0.0</v>
      </c>
      <c r="M51" s="2">
        <v>0.0</v>
      </c>
      <c r="N51" s="2">
        <v>0.0</v>
      </c>
    </row>
    <row r="52">
      <c r="A52" s="23" t="s">
        <v>1306</v>
      </c>
      <c r="B52" s="23"/>
      <c r="C52" s="24"/>
      <c r="D52" s="2">
        <v>375.0</v>
      </c>
      <c r="E52" s="2">
        <v>16.0</v>
      </c>
      <c r="F52" s="2">
        <v>54.0</v>
      </c>
      <c r="G52" s="2">
        <v>3.0</v>
      </c>
      <c r="H52" s="2" t="s">
        <v>1279</v>
      </c>
      <c r="I52" s="2">
        <v>50.0</v>
      </c>
      <c r="J52" s="2">
        <v>1.0</v>
      </c>
      <c r="K52" s="2">
        <v>18.0</v>
      </c>
      <c r="L52" s="2">
        <v>1.0</v>
      </c>
      <c r="M52" s="2">
        <v>497.0</v>
      </c>
      <c r="N52" s="2">
        <v>21.0</v>
      </c>
    </row>
    <row r="53">
      <c r="A53" s="23"/>
      <c r="B53" s="23"/>
      <c r="C53" s="24"/>
    </row>
    <row r="54">
      <c r="A54" s="23"/>
      <c r="B54" s="23"/>
      <c r="C54" s="24"/>
    </row>
    <row r="55">
      <c r="A55" s="23"/>
      <c r="B55" s="23"/>
      <c r="C55" s="24"/>
    </row>
    <row r="56">
      <c r="A56" s="23"/>
      <c r="B56" s="23"/>
      <c r="C56" s="24"/>
    </row>
    <row r="57">
      <c r="A57" s="23"/>
      <c r="B57" s="23"/>
      <c r="C57" s="24"/>
    </row>
    <row r="58">
      <c r="A58" s="23"/>
      <c r="B58" s="23"/>
      <c r="C58" s="24"/>
    </row>
    <row r="59">
      <c r="A59" s="23"/>
      <c r="B59" s="23"/>
      <c r="C59" s="24"/>
    </row>
    <row r="60">
      <c r="A60" s="23"/>
      <c r="B60" s="23"/>
      <c r="C60" s="24"/>
    </row>
    <row r="61">
      <c r="A61" s="23"/>
      <c r="B61" s="23"/>
      <c r="C61" s="24"/>
    </row>
    <row r="62">
      <c r="A62" s="23"/>
      <c r="B62" s="23"/>
      <c r="C62" s="24"/>
    </row>
    <row r="63">
      <c r="A63" s="23"/>
      <c r="B63" s="23"/>
      <c r="C63" s="24"/>
    </row>
    <row r="64">
      <c r="A64" s="23"/>
      <c r="B64" s="23"/>
      <c r="C64" s="24"/>
    </row>
    <row r="65">
      <c r="A65" s="23"/>
      <c r="B65" s="23"/>
      <c r="C65" s="24"/>
    </row>
    <row r="66">
      <c r="A66" s="23"/>
      <c r="B66" s="23"/>
      <c r="C66" s="24"/>
    </row>
    <row r="67">
      <c r="A67" s="23"/>
      <c r="B67" s="23"/>
      <c r="C67" s="24"/>
    </row>
    <row r="68">
      <c r="A68" s="23"/>
      <c r="B68" s="23"/>
      <c r="C68" s="24"/>
    </row>
    <row r="69">
      <c r="A69" s="23"/>
      <c r="B69" s="23"/>
      <c r="C69" s="24"/>
    </row>
    <row r="70">
      <c r="A70" s="23"/>
      <c r="B70" s="23"/>
      <c r="C70" s="24"/>
    </row>
    <row r="71">
      <c r="A71" s="23"/>
      <c r="B71" s="23"/>
      <c r="C71" s="24"/>
    </row>
    <row r="72">
      <c r="A72" s="23"/>
      <c r="B72" s="23"/>
      <c r="C72" s="24"/>
    </row>
    <row r="73">
      <c r="A73" s="23"/>
      <c r="B73" s="23"/>
      <c r="C73" s="24"/>
    </row>
    <row r="74">
      <c r="A74" s="23"/>
      <c r="B74" s="23"/>
      <c r="C74" s="24"/>
    </row>
    <row r="75">
      <c r="A75" s="23"/>
      <c r="B75" s="23"/>
      <c r="C75" s="24"/>
    </row>
    <row r="76">
      <c r="A76" s="23"/>
      <c r="B76" s="23"/>
      <c r="C76" s="24"/>
    </row>
    <row r="77">
      <c r="A77" s="23"/>
      <c r="B77" s="23"/>
      <c r="C77" s="24"/>
    </row>
    <row r="78">
      <c r="A78" s="23"/>
      <c r="B78" s="23"/>
      <c r="C78" s="24"/>
    </row>
    <row r="79">
      <c r="A79" s="23"/>
      <c r="B79" s="23"/>
      <c r="C79" s="24"/>
    </row>
    <row r="80">
      <c r="A80" s="23"/>
      <c r="B80" s="23"/>
      <c r="C80" s="24"/>
    </row>
    <row r="81">
      <c r="A81" s="23"/>
      <c r="B81" s="23"/>
      <c r="C81" s="24"/>
    </row>
    <row r="82">
      <c r="A82" s="23"/>
      <c r="B82" s="23"/>
      <c r="C82" s="24"/>
    </row>
    <row r="83">
      <c r="A83" s="23"/>
      <c r="B83" s="23"/>
      <c r="C83" s="24"/>
    </row>
    <row r="84">
      <c r="A84" s="23"/>
      <c r="B84" s="23"/>
      <c r="C84" s="24"/>
    </row>
    <row r="85">
      <c r="A85" s="23"/>
      <c r="B85" s="23"/>
      <c r="C85" s="24"/>
    </row>
    <row r="86">
      <c r="A86" s="23"/>
      <c r="B86" s="23"/>
      <c r="C86" s="24"/>
    </row>
    <row r="87">
      <c r="A87" s="23"/>
      <c r="B87" s="23"/>
      <c r="C87" s="24"/>
    </row>
    <row r="88">
      <c r="A88" s="23"/>
      <c r="B88" s="23"/>
      <c r="C88" s="24"/>
    </row>
    <row r="89">
      <c r="A89" s="23"/>
      <c r="B89" s="23"/>
      <c r="C89" s="24"/>
    </row>
    <row r="90">
      <c r="A90" s="23"/>
      <c r="B90" s="23"/>
      <c r="C90" s="24"/>
    </row>
    <row r="91">
      <c r="A91" s="23"/>
      <c r="B91" s="23"/>
      <c r="C91" s="24"/>
    </row>
    <row r="92">
      <c r="A92" s="23"/>
      <c r="B92" s="23"/>
      <c r="C92" s="24"/>
    </row>
    <row r="93">
      <c r="A93" s="23"/>
      <c r="B93" s="23"/>
      <c r="C93" s="24"/>
    </row>
    <row r="94">
      <c r="A94" s="23"/>
      <c r="B94" s="23"/>
      <c r="C94" s="24"/>
    </row>
    <row r="95">
      <c r="A95" s="23"/>
      <c r="B95" s="23"/>
      <c r="C95" s="24"/>
    </row>
    <row r="96">
      <c r="A96" s="23"/>
      <c r="B96" s="23"/>
      <c r="C96" s="24"/>
    </row>
    <row r="97">
      <c r="A97" s="23"/>
      <c r="B97" s="23"/>
      <c r="C97" s="24"/>
    </row>
    <row r="98">
      <c r="A98" s="23"/>
      <c r="B98" s="23"/>
      <c r="C98" s="24"/>
    </row>
    <row r="99">
      <c r="A99" s="23"/>
      <c r="B99" s="23"/>
      <c r="C99" s="24"/>
    </row>
    <row r="100">
      <c r="A100" s="23"/>
      <c r="B100" s="23"/>
      <c r="C100" s="24"/>
    </row>
    <row r="101">
      <c r="A101" s="23"/>
      <c r="B101" s="23"/>
      <c r="C101" s="24"/>
    </row>
    <row r="102">
      <c r="A102" s="23"/>
      <c r="B102" s="23"/>
      <c r="C102" s="24"/>
    </row>
    <row r="103">
      <c r="A103" s="23"/>
      <c r="B103" s="23"/>
      <c r="C103" s="24"/>
    </row>
    <row r="104">
      <c r="A104" s="23"/>
      <c r="B104" s="23"/>
      <c r="C104" s="24"/>
    </row>
    <row r="105">
      <c r="A105" s="23"/>
      <c r="B105" s="23"/>
      <c r="C105" s="24"/>
    </row>
    <row r="106">
      <c r="A106" s="23"/>
      <c r="B106" s="23"/>
      <c r="C106" s="24"/>
    </row>
    <row r="107">
      <c r="A107" s="23"/>
      <c r="B107" s="23"/>
      <c r="C107" s="24"/>
    </row>
    <row r="108">
      <c r="A108" s="23"/>
      <c r="B108" s="23"/>
      <c r="C108" s="24"/>
    </row>
    <row r="109">
      <c r="A109" s="23"/>
      <c r="B109" s="23"/>
      <c r="C109" s="24"/>
    </row>
    <row r="110">
      <c r="A110" s="23"/>
      <c r="B110" s="23"/>
      <c r="C110" s="24"/>
    </row>
    <row r="111">
      <c r="A111" s="23"/>
      <c r="B111" s="23"/>
      <c r="C111" s="24"/>
    </row>
    <row r="112">
      <c r="A112" s="23"/>
      <c r="B112" s="23"/>
      <c r="C112" s="24"/>
    </row>
    <row r="113">
      <c r="A113" s="23"/>
      <c r="B113" s="23"/>
      <c r="C113" s="24"/>
    </row>
    <row r="114">
      <c r="A114" s="23"/>
      <c r="B114" s="23"/>
      <c r="C114" s="24"/>
    </row>
    <row r="115">
      <c r="A115" s="23"/>
      <c r="B115" s="23"/>
      <c r="C115" s="24"/>
    </row>
    <row r="116">
      <c r="A116" s="23"/>
      <c r="B116" s="23"/>
      <c r="C116" s="24"/>
    </row>
    <row r="117">
      <c r="A117" s="23"/>
      <c r="B117" s="23"/>
      <c r="C117" s="24"/>
    </row>
    <row r="118">
      <c r="A118" s="23"/>
      <c r="B118" s="23"/>
      <c r="C118" s="24"/>
    </row>
    <row r="119">
      <c r="A119" s="23"/>
      <c r="B119" s="23"/>
      <c r="C119" s="24"/>
    </row>
    <row r="120">
      <c r="A120" s="23"/>
      <c r="B120" s="23"/>
      <c r="C120" s="24"/>
    </row>
    <row r="121">
      <c r="A121" s="23"/>
      <c r="B121" s="23"/>
      <c r="C121" s="24"/>
    </row>
    <row r="122">
      <c r="A122" s="23"/>
      <c r="B122" s="23"/>
      <c r="C122" s="24"/>
    </row>
    <row r="123">
      <c r="A123" s="23"/>
      <c r="B123" s="23"/>
      <c r="C123" s="24"/>
    </row>
    <row r="124">
      <c r="A124" s="23"/>
      <c r="B124" s="23"/>
      <c r="C124" s="24"/>
    </row>
    <row r="125">
      <c r="A125" s="23"/>
      <c r="B125" s="23"/>
      <c r="C125" s="24"/>
    </row>
    <row r="126">
      <c r="A126" s="23"/>
      <c r="B126" s="23"/>
      <c r="C126" s="24"/>
    </row>
    <row r="127">
      <c r="A127" s="23"/>
      <c r="B127" s="23"/>
      <c r="C127" s="24"/>
    </row>
    <row r="128">
      <c r="A128" s="23"/>
      <c r="B128" s="23"/>
      <c r="C128" s="24"/>
    </row>
    <row r="129">
      <c r="A129" s="23"/>
      <c r="B129" s="23"/>
      <c r="C129" s="24"/>
    </row>
    <row r="130">
      <c r="A130" s="23"/>
      <c r="B130" s="23"/>
      <c r="C130" s="24"/>
    </row>
    <row r="131">
      <c r="A131" s="23"/>
      <c r="B131" s="23"/>
      <c r="C131" s="24"/>
    </row>
    <row r="132">
      <c r="A132" s="23"/>
      <c r="B132" s="23"/>
      <c r="C132" s="24"/>
    </row>
    <row r="133">
      <c r="A133" s="23"/>
      <c r="B133" s="23"/>
      <c r="C133" s="24"/>
    </row>
    <row r="134">
      <c r="A134" s="23"/>
      <c r="B134" s="23"/>
      <c r="C134" s="24"/>
    </row>
    <row r="135">
      <c r="A135" s="23"/>
      <c r="B135" s="23"/>
      <c r="C135" s="24"/>
    </row>
    <row r="136">
      <c r="A136" s="23"/>
      <c r="B136" s="23"/>
      <c r="C136" s="24"/>
    </row>
    <row r="137">
      <c r="A137" s="23"/>
      <c r="B137" s="23"/>
      <c r="C137" s="24"/>
    </row>
    <row r="138">
      <c r="A138" s="23"/>
      <c r="B138" s="23"/>
      <c r="C138" s="24"/>
    </row>
    <row r="139">
      <c r="A139" s="23"/>
      <c r="B139" s="23"/>
      <c r="C139" s="24"/>
    </row>
    <row r="140">
      <c r="A140" s="23"/>
      <c r="B140" s="23"/>
      <c r="C140" s="24"/>
    </row>
    <row r="141">
      <c r="A141" s="23"/>
      <c r="B141" s="23"/>
      <c r="C141" s="24"/>
    </row>
    <row r="142">
      <c r="A142" s="23"/>
      <c r="B142" s="23"/>
      <c r="C142" s="24"/>
    </row>
    <row r="143">
      <c r="A143" s="23"/>
      <c r="B143" s="23"/>
      <c r="C143" s="24"/>
    </row>
    <row r="144">
      <c r="A144" s="23"/>
      <c r="B144" s="23"/>
      <c r="C144" s="24"/>
    </row>
    <row r="145">
      <c r="A145" s="23"/>
      <c r="B145" s="23"/>
      <c r="C145" s="24"/>
    </row>
    <row r="146">
      <c r="A146" s="23"/>
      <c r="B146" s="23"/>
      <c r="C146" s="24"/>
    </row>
    <row r="147">
      <c r="A147" s="23"/>
      <c r="B147" s="23"/>
      <c r="C147" s="24"/>
    </row>
    <row r="148">
      <c r="A148" s="23"/>
      <c r="B148" s="23"/>
      <c r="C148" s="24"/>
    </row>
    <row r="149">
      <c r="A149" s="23"/>
      <c r="B149" s="23"/>
      <c r="C149" s="24"/>
    </row>
    <row r="150">
      <c r="A150" s="23"/>
      <c r="B150" s="23"/>
      <c r="C150" s="24"/>
    </row>
    <row r="151">
      <c r="A151" s="23"/>
      <c r="B151" s="23"/>
      <c r="C151" s="24"/>
    </row>
    <row r="152">
      <c r="A152" s="23"/>
      <c r="B152" s="23"/>
      <c r="C152" s="24"/>
    </row>
    <row r="153">
      <c r="A153" s="23"/>
      <c r="B153" s="23"/>
      <c r="C153" s="24"/>
    </row>
    <row r="154">
      <c r="A154" s="23"/>
      <c r="B154" s="23"/>
      <c r="C154" s="24"/>
    </row>
    <row r="155">
      <c r="A155" s="23"/>
      <c r="B155" s="23"/>
      <c r="C155" s="24"/>
    </row>
    <row r="156">
      <c r="A156" s="23"/>
      <c r="B156" s="23"/>
      <c r="C156" s="24"/>
    </row>
    <row r="157">
      <c r="A157" s="23"/>
      <c r="B157" s="23"/>
      <c r="C157" s="24"/>
    </row>
    <row r="158">
      <c r="A158" s="23"/>
      <c r="B158" s="23"/>
      <c r="C158" s="24"/>
    </row>
    <row r="159">
      <c r="A159" s="23"/>
      <c r="B159" s="23"/>
      <c r="C159" s="24"/>
    </row>
    <row r="160">
      <c r="A160" s="23"/>
      <c r="B160" s="23"/>
      <c r="C160" s="24"/>
    </row>
    <row r="161">
      <c r="A161" s="23"/>
      <c r="B161" s="23"/>
      <c r="C161" s="24"/>
    </row>
    <row r="162">
      <c r="A162" s="23"/>
      <c r="B162" s="23"/>
      <c r="C162" s="24"/>
    </row>
    <row r="163">
      <c r="A163" s="23"/>
      <c r="B163" s="23"/>
      <c r="C163" s="24"/>
    </row>
    <row r="164">
      <c r="A164" s="23"/>
      <c r="B164" s="23"/>
      <c r="C164" s="24"/>
    </row>
    <row r="165">
      <c r="A165" s="23"/>
      <c r="B165" s="23"/>
      <c r="C165" s="24"/>
    </row>
    <row r="166">
      <c r="A166" s="23"/>
      <c r="B166" s="23"/>
      <c r="C166" s="24"/>
    </row>
    <row r="167">
      <c r="A167" s="23"/>
      <c r="B167" s="23"/>
      <c r="C167" s="24"/>
    </row>
    <row r="168">
      <c r="A168" s="23"/>
      <c r="B168" s="23"/>
      <c r="C168" s="24"/>
    </row>
    <row r="169">
      <c r="A169" s="23"/>
      <c r="B169" s="23"/>
      <c r="C169" s="24"/>
    </row>
    <row r="170">
      <c r="A170" s="23"/>
      <c r="B170" s="23"/>
      <c r="C170" s="24"/>
    </row>
    <row r="171">
      <c r="A171" s="23"/>
      <c r="B171" s="23"/>
      <c r="C171" s="24"/>
    </row>
    <row r="172">
      <c r="A172" s="23"/>
      <c r="B172" s="23"/>
      <c r="C172" s="24"/>
    </row>
    <row r="173">
      <c r="A173" s="23"/>
      <c r="B173" s="23"/>
      <c r="C173" s="24"/>
    </row>
    <row r="174">
      <c r="A174" s="23"/>
      <c r="B174" s="23"/>
      <c r="C174" s="24"/>
    </row>
    <row r="175">
      <c r="A175" s="23"/>
      <c r="B175" s="23"/>
      <c r="C175" s="24"/>
    </row>
    <row r="176">
      <c r="A176" s="23"/>
      <c r="B176" s="23"/>
      <c r="C176" s="24"/>
    </row>
    <row r="177">
      <c r="A177" s="23"/>
      <c r="B177" s="23"/>
      <c r="C177" s="24"/>
    </row>
    <row r="178">
      <c r="A178" s="23"/>
      <c r="B178" s="23"/>
      <c r="C178" s="24"/>
    </row>
    <row r="179">
      <c r="A179" s="23"/>
      <c r="B179" s="23"/>
      <c r="C179" s="24"/>
    </row>
    <row r="180">
      <c r="A180" s="23"/>
      <c r="B180" s="23"/>
      <c r="C180" s="24"/>
    </row>
    <row r="181">
      <c r="A181" s="23"/>
      <c r="B181" s="23"/>
      <c r="C181" s="24"/>
    </row>
    <row r="182">
      <c r="A182" s="23"/>
      <c r="B182" s="23"/>
      <c r="C182" s="24"/>
    </row>
    <row r="183">
      <c r="A183" s="23"/>
      <c r="B183" s="23"/>
      <c r="C183" s="24"/>
    </row>
    <row r="184">
      <c r="A184" s="23"/>
      <c r="B184" s="23"/>
      <c r="C184" s="24"/>
    </row>
    <row r="185">
      <c r="A185" s="23"/>
      <c r="B185" s="23"/>
      <c r="C185" s="24"/>
    </row>
    <row r="186">
      <c r="A186" s="23"/>
      <c r="B186" s="23"/>
      <c r="C186" s="24"/>
    </row>
    <row r="187">
      <c r="A187" s="23"/>
      <c r="B187" s="23"/>
      <c r="C187" s="24"/>
    </row>
    <row r="188">
      <c r="A188" s="23"/>
      <c r="B188" s="23"/>
      <c r="C188" s="24"/>
    </row>
    <row r="189">
      <c r="A189" s="23"/>
      <c r="B189" s="23"/>
      <c r="C189" s="24"/>
    </row>
    <row r="190">
      <c r="A190" s="23"/>
      <c r="B190" s="23"/>
      <c r="C190" s="24"/>
    </row>
    <row r="191">
      <c r="A191" s="23"/>
      <c r="B191" s="23"/>
      <c r="C191" s="24"/>
    </row>
    <row r="192">
      <c r="A192" s="23"/>
      <c r="B192" s="23"/>
      <c r="C192" s="24"/>
    </row>
    <row r="193">
      <c r="A193" s="23"/>
      <c r="B193" s="23"/>
      <c r="C193" s="24"/>
    </row>
    <row r="194">
      <c r="A194" s="23"/>
      <c r="B194" s="23"/>
      <c r="C194" s="24"/>
    </row>
    <row r="195">
      <c r="A195" s="23"/>
      <c r="B195" s="23"/>
      <c r="C195" s="24"/>
    </row>
    <row r="196">
      <c r="A196" s="23"/>
      <c r="B196" s="23"/>
      <c r="C196" s="24"/>
    </row>
    <row r="197">
      <c r="A197" s="23"/>
      <c r="B197" s="23"/>
      <c r="C197" s="24"/>
    </row>
    <row r="198">
      <c r="A198" s="23"/>
      <c r="B198" s="23"/>
      <c r="C198" s="24"/>
    </row>
    <row r="199">
      <c r="A199" s="23"/>
      <c r="B199" s="23"/>
      <c r="C199" s="24"/>
    </row>
    <row r="200">
      <c r="A200" s="23"/>
      <c r="B200" s="23"/>
      <c r="C200" s="24"/>
    </row>
    <row r="201">
      <c r="A201" s="23"/>
      <c r="B201" s="23"/>
      <c r="C201" s="24"/>
    </row>
    <row r="202">
      <c r="A202" s="23"/>
      <c r="B202" s="23"/>
      <c r="C202" s="24"/>
    </row>
    <row r="203">
      <c r="A203" s="23"/>
      <c r="B203" s="23"/>
      <c r="C203" s="24"/>
    </row>
    <row r="204">
      <c r="A204" s="23"/>
      <c r="B204" s="23"/>
      <c r="C204" s="24"/>
    </row>
    <row r="205">
      <c r="A205" s="23"/>
      <c r="B205" s="23"/>
      <c r="C205" s="24"/>
    </row>
    <row r="206">
      <c r="A206" s="23"/>
      <c r="B206" s="23"/>
      <c r="C206" s="24"/>
    </row>
    <row r="207">
      <c r="A207" s="23"/>
      <c r="B207" s="23"/>
      <c r="C207" s="24"/>
    </row>
    <row r="208">
      <c r="A208" s="23"/>
      <c r="B208" s="23"/>
      <c r="C208" s="24"/>
    </row>
    <row r="209">
      <c r="A209" s="23"/>
      <c r="B209" s="23"/>
      <c r="C209" s="24"/>
    </row>
    <row r="210">
      <c r="A210" s="23"/>
      <c r="B210" s="23"/>
      <c r="C210" s="24"/>
    </row>
    <row r="211">
      <c r="A211" s="23"/>
      <c r="B211" s="23"/>
      <c r="C211" s="24"/>
    </row>
    <row r="212">
      <c r="A212" s="23"/>
      <c r="B212" s="23"/>
      <c r="C212" s="24"/>
    </row>
    <row r="213">
      <c r="A213" s="23"/>
      <c r="B213" s="23"/>
      <c r="C213" s="24"/>
    </row>
    <row r="214">
      <c r="A214" s="23"/>
      <c r="B214" s="23"/>
      <c r="C214" s="24"/>
    </row>
    <row r="215">
      <c r="A215" s="23"/>
      <c r="B215" s="23"/>
      <c r="C215" s="24"/>
    </row>
    <row r="216">
      <c r="A216" s="23"/>
      <c r="B216" s="23"/>
      <c r="C216" s="24"/>
    </row>
    <row r="217">
      <c r="A217" s="23"/>
      <c r="B217" s="23"/>
      <c r="C217" s="24"/>
    </row>
    <row r="218">
      <c r="A218" s="23"/>
      <c r="B218" s="23"/>
      <c r="C218" s="24"/>
    </row>
    <row r="219">
      <c r="A219" s="23"/>
      <c r="B219" s="23"/>
      <c r="C219" s="24"/>
    </row>
    <row r="220">
      <c r="A220" s="23"/>
      <c r="B220" s="23"/>
      <c r="C220" s="24"/>
    </row>
    <row r="221">
      <c r="A221" s="23"/>
      <c r="B221" s="23"/>
      <c r="C221" s="24"/>
    </row>
    <row r="222">
      <c r="A222" s="23"/>
      <c r="B222" s="23"/>
      <c r="C222" s="24"/>
    </row>
    <row r="223">
      <c r="A223" s="23"/>
      <c r="B223" s="23"/>
      <c r="C223" s="24"/>
    </row>
    <row r="224">
      <c r="A224" s="23"/>
      <c r="B224" s="23"/>
      <c r="C224" s="24"/>
    </row>
    <row r="225">
      <c r="A225" s="23"/>
      <c r="B225" s="23"/>
      <c r="C225" s="24"/>
    </row>
    <row r="226">
      <c r="A226" s="23"/>
      <c r="B226" s="23"/>
      <c r="C226" s="24"/>
    </row>
    <row r="227">
      <c r="A227" s="23"/>
      <c r="B227" s="23"/>
      <c r="C227" s="24"/>
    </row>
    <row r="228">
      <c r="A228" s="23"/>
      <c r="B228" s="23"/>
      <c r="C228" s="24"/>
    </row>
    <row r="229">
      <c r="A229" s="23"/>
      <c r="B229" s="23"/>
      <c r="C229" s="24"/>
    </row>
    <row r="230">
      <c r="A230" s="23"/>
      <c r="B230" s="23"/>
      <c r="C230" s="24"/>
    </row>
    <row r="231">
      <c r="A231" s="23"/>
      <c r="B231" s="23"/>
      <c r="C231" s="24"/>
    </row>
    <row r="232">
      <c r="A232" s="23"/>
      <c r="B232" s="23"/>
      <c r="C232" s="24"/>
    </row>
    <row r="233">
      <c r="A233" s="23"/>
      <c r="B233" s="23"/>
      <c r="C233" s="24"/>
    </row>
    <row r="234">
      <c r="A234" s="23"/>
      <c r="B234" s="23"/>
      <c r="C234" s="24"/>
    </row>
    <row r="235">
      <c r="A235" s="23"/>
      <c r="B235" s="23"/>
      <c r="C235" s="24"/>
    </row>
    <row r="236">
      <c r="A236" s="23"/>
      <c r="B236" s="23"/>
      <c r="C236" s="24"/>
    </row>
    <row r="237">
      <c r="A237" s="23"/>
      <c r="B237" s="23"/>
      <c r="C237" s="24"/>
    </row>
    <row r="238">
      <c r="A238" s="23"/>
      <c r="B238" s="23"/>
      <c r="C238" s="24"/>
    </row>
    <row r="239">
      <c r="A239" s="23"/>
      <c r="B239" s="23"/>
      <c r="C239" s="24"/>
    </row>
    <row r="240">
      <c r="A240" s="23"/>
      <c r="B240" s="23"/>
      <c r="C240" s="24"/>
    </row>
    <row r="241">
      <c r="A241" s="23"/>
      <c r="B241" s="23"/>
      <c r="C241" s="24"/>
    </row>
    <row r="242">
      <c r="A242" s="23"/>
      <c r="B242" s="23"/>
      <c r="C242" s="24"/>
    </row>
    <row r="243">
      <c r="A243" s="23"/>
      <c r="B243" s="23"/>
      <c r="C243" s="24"/>
    </row>
    <row r="244">
      <c r="A244" s="23"/>
      <c r="B244" s="23"/>
      <c r="C244" s="24"/>
    </row>
    <row r="245">
      <c r="A245" s="23"/>
      <c r="B245" s="23"/>
      <c r="C245" s="24"/>
    </row>
    <row r="246">
      <c r="A246" s="23"/>
      <c r="B246" s="23"/>
      <c r="C246" s="24"/>
    </row>
    <row r="247">
      <c r="A247" s="23"/>
      <c r="B247" s="23"/>
      <c r="C247" s="24"/>
    </row>
    <row r="248">
      <c r="A248" s="23"/>
      <c r="B248" s="23"/>
      <c r="C248" s="24"/>
    </row>
    <row r="249">
      <c r="A249" s="23"/>
      <c r="B249" s="23"/>
      <c r="C249" s="24"/>
    </row>
    <row r="250">
      <c r="A250" s="23"/>
      <c r="B250" s="23"/>
      <c r="C250" s="24"/>
    </row>
    <row r="251">
      <c r="A251" s="23"/>
      <c r="B251" s="23"/>
      <c r="C251" s="24"/>
    </row>
    <row r="252">
      <c r="A252" s="23"/>
      <c r="B252" s="23"/>
      <c r="C252" s="24"/>
    </row>
    <row r="253">
      <c r="A253" s="23"/>
      <c r="B253" s="23"/>
      <c r="C253" s="24"/>
    </row>
    <row r="254">
      <c r="A254" s="23"/>
      <c r="B254" s="23"/>
      <c r="C254" s="24"/>
    </row>
    <row r="255">
      <c r="A255" s="23"/>
      <c r="B255" s="23"/>
      <c r="C255" s="24"/>
    </row>
    <row r="256">
      <c r="A256" s="23"/>
      <c r="B256" s="23"/>
      <c r="C256" s="24"/>
    </row>
    <row r="257">
      <c r="A257" s="23"/>
      <c r="B257" s="23"/>
      <c r="C257" s="24"/>
    </row>
    <row r="258">
      <c r="A258" s="23"/>
      <c r="B258" s="23"/>
      <c r="C258" s="24"/>
    </row>
    <row r="259">
      <c r="A259" s="23"/>
      <c r="B259" s="23"/>
      <c r="C259" s="24"/>
    </row>
    <row r="260">
      <c r="A260" s="23"/>
      <c r="B260" s="23"/>
      <c r="C260" s="24"/>
    </row>
    <row r="261">
      <c r="A261" s="23"/>
      <c r="B261" s="23"/>
      <c r="C261" s="24"/>
    </row>
    <row r="262">
      <c r="A262" s="23"/>
      <c r="B262" s="23"/>
      <c r="C262" s="24"/>
    </row>
    <row r="263">
      <c r="A263" s="23"/>
      <c r="B263" s="23"/>
      <c r="C263" s="24"/>
    </row>
    <row r="264">
      <c r="A264" s="23"/>
      <c r="B264" s="23"/>
      <c r="C264" s="24"/>
    </row>
    <row r="265">
      <c r="A265" s="23"/>
      <c r="B265" s="23"/>
      <c r="C265" s="24"/>
    </row>
    <row r="266">
      <c r="A266" s="23"/>
      <c r="B266" s="23"/>
      <c r="C266" s="24"/>
    </row>
    <row r="267">
      <c r="A267" s="23"/>
      <c r="B267" s="23"/>
      <c r="C267" s="24"/>
    </row>
    <row r="268">
      <c r="A268" s="23"/>
      <c r="B268" s="23"/>
      <c r="C268" s="24"/>
    </row>
    <row r="269">
      <c r="A269" s="23"/>
      <c r="B269" s="23"/>
      <c r="C269" s="24"/>
    </row>
    <row r="270">
      <c r="A270" s="23"/>
      <c r="B270" s="23"/>
      <c r="C270" s="24"/>
    </row>
    <row r="271">
      <c r="A271" s="23"/>
      <c r="B271" s="23"/>
      <c r="C271" s="24"/>
    </row>
    <row r="272">
      <c r="A272" s="23"/>
      <c r="B272" s="23"/>
      <c r="C272" s="24"/>
    </row>
    <row r="273">
      <c r="A273" s="23"/>
      <c r="B273" s="23"/>
      <c r="C273" s="24"/>
    </row>
    <row r="274">
      <c r="A274" s="23"/>
      <c r="B274" s="23"/>
      <c r="C274" s="24"/>
    </row>
    <row r="275">
      <c r="A275" s="23"/>
      <c r="B275" s="23"/>
      <c r="C275" s="24"/>
    </row>
    <row r="276">
      <c r="A276" s="23"/>
      <c r="B276" s="23"/>
      <c r="C276" s="24"/>
    </row>
    <row r="277">
      <c r="A277" s="23"/>
      <c r="B277" s="23"/>
      <c r="C277" s="24"/>
    </row>
    <row r="278">
      <c r="A278" s="23"/>
      <c r="B278" s="23"/>
      <c r="C278" s="24"/>
    </row>
    <row r="279">
      <c r="A279" s="23"/>
      <c r="B279" s="23"/>
      <c r="C279" s="24"/>
    </row>
    <row r="280">
      <c r="A280" s="23"/>
      <c r="B280" s="23"/>
      <c r="C280" s="24"/>
    </row>
    <row r="281">
      <c r="A281" s="23"/>
      <c r="B281" s="23"/>
      <c r="C281" s="24"/>
    </row>
    <row r="282">
      <c r="A282" s="23"/>
      <c r="B282" s="23"/>
      <c r="C282" s="24"/>
    </row>
    <row r="283">
      <c r="A283" s="23"/>
      <c r="B283" s="23"/>
      <c r="C283" s="24"/>
    </row>
    <row r="284">
      <c r="A284" s="23"/>
      <c r="B284" s="23"/>
      <c r="C284" s="24"/>
    </row>
    <row r="285">
      <c r="A285" s="23"/>
      <c r="B285" s="23"/>
      <c r="C285" s="24"/>
    </row>
    <row r="286">
      <c r="A286" s="23"/>
      <c r="B286" s="23"/>
      <c r="C286" s="24"/>
    </row>
    <row r="287">
      <c r="A287" s="23"/>
      <c r="B287" s="23"/>
      <c r="C287" s="24"/>
    </row>
    <row r="288">
      <c r="A288" s="23"/>
      <c r="B288" s="23"/>
      <c r="C288" s="24"/>
    </row>
    <row r="289">
      <c r="A289" s="23"/>
      <c r="B289" s="23"/>
      <c r="C289" s="24"/>
    </row>
    <row r="290">
      <c r="A290" s="23"/>
      <c r="B290" s="23"/>
      <c r="C290" s="24"/>
    </row>
    <row r="291">
      <c r="A291" s="23"/>
      <c r="B291" s="23"/>
      <c r="C291" s="24"/>
    </row>
    <row r="292">
      <c r="A292" s="23"/>
      <c r="B292" s="23"/>
      <c r="C292" s="24"/>
    </row>
    <row r="293">
      <c r="A293" s="23"/>
      <c r="B293" s="23"/>
      <c r="C293" s="24"/>
    </row>
    <row r="294">
      <c r="A294" s="23"/>
      <c r="B294" s="23"/>
      <c r="C294" s="24"/>
    </row>
    <row r="295">
      <c r="A295" s="23"/>
      <c r="B295" s="23"/>
      <c r="C295" s="24"/>
    </row>
    <row r="296">
      <c r="A296" s="23"/>
      <c r="B296" s="23"/>
      <c r="C296" s="24"/>
    </row>
    <row r="297">
      <c r="A297" s="23"/>
      <c r="B297" s="23"/>
      <c r="C297" s="24"/>
    </row>
    <row r="298">
      <c r="A298" s="23"/>
      <c r="B298" s="23"/>
      <c r="C298" s="24"/>
    </row>
    <row r="299">
      <c r="A299" s="23"/>
      <c r="B299" s="23"/>
      <c r="C299" s="24"/>
    </row>
    <row r="300">
      <c r="A300" s="23"/>
      <c r="B300" s="23"/>
      <c r="C300" s="24"/>
    </row>
    <row r="301">
      <c r="A301" s="23"/>
      <c r="B301" s="23"/>
      <c r="C301" s="24"/>
    </row>
    <row r="302">
      <c r="A302" s="23"/>
      <c r="B302" s="23"/>
      <c r="C302" s="24"/>
    </row>
    <row r="303">
      <c r="A303" s="23"/>
      <c r="B303" s="23"/>
      <c r="C303" s="24"/>
    </row>
    <row r="304">
      <c r="A304" s="23"/>
      <c r="B304" s="23"/>
      <c r="C304" s="24"/>
    </row>
    <row r="305">
      <c r="A305" s="23"/>
      <c r="B305" s="23"/>
      <c r="C305" s="24"/>
    </row>
    <row r="306">
      <c r="A306" s="23"/>
      <c r="B306" s="23"/>
      <c r="C306" s="24"/>
    </row>
    <row r="307">
      <c r="A307" s="23"/>
      <c r="B307" s="23"/>
      <c r="C307" s="24"/>
    </row>
    <row r="308">
      <c r="A308" s="23"/>
      <c r="B308" s="23"/>
      <c r="C308" s="24"/>
    </row>
    <row r="309">
      <c r="A309" s="23"/>
      <c r="B309" s="23"/>
      <c r="C309" s="24"/>
    </row>
    <row r="310">
      <c r="A310" s="23"/>
      <c r="B310" s="23"/>
      <c r="C310" s="24"/>
    </row>
    <row r="311">
      <c r="A311" s="23"/>
      <c r="B311" s="23"/>
      <c r="C311" s="24"/>
    </row>
    <row r="312">
      <c r="A312" s="23"/>
      <c r="B312" s="23"/>
      <c r="C312" s="24"/>
    </row>
    <row r="313">
      <c r="A313" s="23"/>
      <c r="B313" s="23"/>
      <c r="C313" s="24"/>
    </row>
    <row r="314">
      <c r="A314" s="23"/>
      <c r="B314" s="23"/>
      <c r="C314" s="24"/>
    </row>
    <row r="315">
      <c r="A315" s="23"/>
      <c r="B315" s="23"/>
      <c r="C315" s="24"/>
    </row>
    <row r="316">
      <c r="A316" s="23"/>
      <c r="B316" s="23"/>
      <c r="C316" s="24"/>
    </row>
    <row r="317">
      <c r="A317" s="23"/>
      <c r="B317" s="23"/>
      <c r="C317" s="24"/>
    </row>
    <row r="318">
      <c r="A318" s="23"/>
      <c r="B318" s="23"/>
      <c r="C318" s="24"/>
    </row>
    <row r="319">
      <c r="A319" s="23"/>
      <c r="B319" s="23"/>
      <c r="C319" s="24"/>
    </row>
    <row r="320">
      <c r="A320" s="23"/>
      <c r="B320" s="23"/>
      <c r="C320" s="24"/>
    </row>
    <row r="321">
      <c r="A321" s="23"/>
      <c r="B321" s="23"/>
      <c r="C321" s="24"/>
    </row>
    <row r="322">
      <c r="A322" s="23"/>
      <c r="B322" s="23"/>
      <c r="C322" s="24"/>
    </row>
    <row r="323">
      <c r="A323" s="23"/>
      <c r="B323" s="23"/>
      <c r="C323" s="24"/>
    </row>
    <row r="324">
      <c r="A324" s="23"/>
      <c r="B324" s="23"/>
      <c r="C324" s="24"/>
    </row>
    <row r="325">
      <c r="A325" s="23"/>
      <c r="B325" s="23"/>
      <c r="C325" s="24"/>
    </row>
    <row r="326">
      <c r="A326" s="23"/>
      <c r="B326" s="23"/>
      <c r="C326" s="24"/>
    </row>
    <row r="327">
      <c r="A327" s="23"/>
      <c r="B327" s="23"/>
      <c r="C327" s="24"/>
    </row>
    <row r="328">
      <c r="A328" s="23"/>
      <c r="B328" s="23"/>
      <c r="C328" s="24"/>
    </row>
    <row r="329">
      <c r="A329" s="23"/>
      <c r="B329" s="23"/>
      <c r="C329" s="24"/>
    </row>
    <row r="330">
      <c r="A330" s="23"/>
      <c r="B330" s="23"/>
      <c r="C330" s="24"/>
    </row>
    <row r="331">
      <c r="A331" s="23"/>
      <c r="B331" s="23"/>
      <c r="C331" s="24"/>
    </row>
    <row r="332">
      <c r="A332" s="23"/>
      <c r="B332" s="23"/>
      <c r="C332" s="24"/>
    </row>
    <row r="333">
      <c r="A333" s="23"/>
      <c r="B333" s="23"/>
      <c r="C333" s="24"/>
    </row>
    <row r="334">
      <c r="A334" s="23"/>
      <c r="B334" s="23"/>
      <c r="C334" s="24"/>
    </row>
    <row r="335">
      <c r="A335" s="23"/>
      <c r="B335" s="23"/>
      <c r="C335" s="24"/>
    </row>
    <row r="336">
      <c r="A336" s="23"/>
      <c r="B336" s="23"/>
      <c r="C336" s="24"/>
    </row>
    <row r="337">
      <c r="A337" s="23"/>
      <c r="B337" s="23"/>
      <c r="C337" s="24"/>
    </row>
    <row r="338">
      <c r="A338" s="23"/>
      <c r="B338" s="23"/>
      <c r="C338" s="24"/>
    </row>
    <row r="339">
      <c r="A339" s="23"/>
      <c r="B339" s="23"/>
      <c r="C339" s="24"/>
    </row>
    <row r="340">
      <c r="A340" s="23"/>
      <c r="B340" s="23"/>
      <c r="C340" s="24"/>
    </row>
    <row r="341">
      <c r="A341" s="23"/>
      <c r="B341" s="23"/>
      <c r="C341" s="24"/>
    </row>
    <row r="342">
      <c r="A342" s="23"/>
      <c r="B342" s="23"/>
      <c r="C342" s="24"/>
    </row>
    <row r="343">
      <c r="A343" s="23"/>
      <c r="B343" s="23"/>
      <c r="C343" s="24"/>
    </row>
    <row r="344">
      <c r="A344" s="23"/>
      <c r="B344" s="23"/>
      <c r="C344" s="24"/>
    </row>
    <row r="345">
      <c r="A345" s="23"/>
      <c r="B345" s="23"/>
      <c r="C345" s="24"/>
    </row>
    <row r="346">
      <c r="A346" s="23"/>
      <c r="B346" s="23"/>
      <c r="C346" s="24"/>
    </row>
    <row r="347">
      <c r="A347" s="23"/>
      <c r="B347" s="23"/>
      <c r="C347" s="24"/>
    </row>
    <row r="348">
      <c r="A348" s="23"/>
      <c r="B348" s="23"/>
      <c r="C348" s="24"/>
    </row>
    <row r="349">
      <c r="A349" s="23"/>
      <c r="B349" s="23"/>
      <c r="C349" s="24"/>
    </row>
    <row r="350">
      <c r="A350" s="23"/>
      <c r="B350" s="23"/>
      <c r="C350" s="24"/>
    </row>
    <row r="351">
      <c r="A351" s="23"/>
      <c r="B351" s="23"/>
      <c r="C351" s="24"/>
    </row>
    <row r="352">
      <c r="A352" s="23"/>
      <c r="B352" s="23"/>
      <c r="C352" s="24"/>
    </row>
    <row r="353">
      <c r="A353" s="23"/>
      <c r="B353" s="23"/>
      <c r="C353" s="24"/>
    </row>
    <row r="354">
      <c r="A354" s="23"/>
      <c r="B354" s="23"/>
      <c r="C354" s="24"/>
    </row>
    <row r="355">
      <c r="A355" s="23"/>
      <c r="B355" s="23"/>
      <c r="C355" s="24"/>
    </row>
    <row r="356">
      <c r="A356" s="23"/>
      <c r="B356" s="23"/>
      <c r="C356" s="24"/>
    </row>
    <row r="357">
      <c r="A357" s="23"/>
      <c r="B357" s="23"/>
      <c r="C357" s="24"/>
    </row>
    <row r="358">
      <c r="A358" s="23"/>
      <c r="B358" s="23"/>
      <c r="C358" s="24"/>
    </row>
    <row r="359">
      <c r="A359" s="23"/>
      <c r="B359" s="23"/>
      <c r="C359" s="24"/>
    </row>
    <row r="360">
      <c r="A360" s="23"/>
      <c r="B360" s="23"/>
      <c r="C360" s="24"/>
    </row>
    <row r="361">
      <c r="A361" s="23"/>
      <c r="B361" s="23"/>
      <c r="C361" s="24"/>
    </row>
    <row r="362">
      <c r="A362" s="23"/>
      <c r="B362" s="23"/>
      <c r="C362" s="24"/>
    </row>
    <row r="363">
      <c r="A363" s="23"/>
      <c r="B363" s="23"/>
      <c r="C363" s="24"/>
    </row>
    <row r="364">
      <c r="A364" s="23"/>
      <c r="B364" s="23"/>
      <c r="C364" s="24"/>
    </row>
    <row r="365">
      <c r="A365" s="23"/>
      <c r="B365" s="23"/>
      <c r="C365" s="24"/>
    </row>
    <row r="366">
      <c r="A366" s="23"/>
      <c r="B366" s="23"/>
      <c r="C366" s="24"/>
    </row>
    <row r="367">
      <c r="A367" s="23"/>
      <c r="B367" s="23"/>
      <c r="C367" s="24"/>
    </row>
    <row r="368">
      <c r="A368" s="23"/>
      <c r="B368" s="23"/>
      <c r="C368" s="24"/>
    </row>
    <row r="369">
      <c r="A369" s="23"/>
      <c r="B369" s="23"/>
      <c r="C369" s="24"/>
    </row>
    <row r="370">
      <c r="A370" s="23"/>
      <c r="B370" s="23"/>
      <c r="C370" s="24"/>
    </row>
    <row r="371">
      <c r="A371" s="23"/>
      <c r="B371" s="23"/>
      <c r="C371" s="24"/>
    </row>
    <row r="372">
      <c r="A372" s="23"/>
      <c r="B372" s="23"/>
      <c r="C372" s="24"/>
    </row>
    <row r="373">
      <c r="A373" s="23"/>
      <c r="B373" s="23"/>
      <c r="C373" s="24"/>
    </row>
    <row r="374">
      <c r="A374" s="23"/>
      <c r="B374" s="23"/>
      <c r="C374" s="24"/>
    </row>
    <row r="375">
      <c r="A375" s="23"/>
      <c r="B375" s="23"/>
      <c r="C375" s="24"/>
    </row>
    <row r="376">
      <c r="A376" s="23"/>
      <c r="B376" s="23"/>
      <c r="C376" s="24"/>
    </row>
    <row r="377">
      <c r="A377" s="23"/>
      <c r="B377" s="23"/>
      <c r="C377" s="24"/>
    </row>
    <row r="378">
      <c r="A378" s="23"/>
      <c r="B378" s="23"/>
      <c r="C378" s="24"/>
    </row>
    <row r="379">
      <c r="A379" s="23"/>
      <c r="B379" s="23"/>
      <c r="C379" s="24"/>
    </row>
    <row r="380">
      <c r="A380" s="23"/>
      <c r="B380" s="23"/>
      <c r="C380" s="24"/>
    </row>
    <row r="381">
      <c r="A381" s="23"/>
      <c r="B381" s="23"/>
      <c r="C381" s="24"/>
    </row>
    <row r="382">
      <c r="A382" s="23"/>
      <c r="B382" s="23"/>
      <c r="C382" s="24"/>
    </row>
    <row r="383">
      <c r="A383" s="23"/>
      <c r="B383" s="23"/>
      <c r="C383" s="24"/>
    </row>
    <row r="384">
      <c r="A384" s="23"/>
      <c r="B384" s="23"/>
      <c r="C384" s="24"/>
    </row>
    <row r="385">
      <c r="A385" s="23"/>
      <c r="B385" s="23"/>
      <c r="C385" s="24"/>
    </row>
    <row r="386">
      <c r="A386" s="23"/>
      <c r="B386" s="23"/>
      <c r="C386" s="24"/>
    </row>
    <row r="387">
      <c r="A387" s="23"/>
      <c r="B387" s="23"/>
      <c r="C387" s="24"/>
    </row>
    <row r="388">
      <c r="A388" s="23"/>
      <c r="B388" s="23"/>
      <c r="C388" s="24"/>
    </row>
    <row r="389">
      <c r="A389" s="23"/>
      <c r="B389" s="23"/>
      <c r="C389" s="24"/>
    </row>
    <row r="390">
      <c r="A390" s="23"/>
      <c r="B390" s="23"/>
      <c r="C390" s="24"/>
    </row>
    <row r="391">
      <c r="A391" s="23"/>
      <c r="B391" s="23"/>
      <c r="C391" s="24"/>
    </row>
    <row r="392">
      <c r="A392" s="23"/>
      <c r="B392" s="23"/>
      <c r="C392" s="24"/>
    </row>
    <row r="393">
      <c r="A393" s="23"/>
      <c r="B393" s="23"/>
      <c r="C393" s="24"/>
    </row>
    <row r="394">
      <c r="A394" s="23"/>
      <c r="B394" s="23"/>
      <c r="C394" s="24"/>
    </row>
    <row r="395">
      <c r="A395" s="23"/>
      <c r="B395" s="23"/>
      <c r="C395" s="24"/>
    </row>
    <row r="396">
      <c r="A396" s="23"/>
      <c r="B396" s="23"/>
      <c r="C396" s="24"/>
    </row>
    <row r="397">
      <c r="A397" s="23"/>
      <c r="B397" s="23"/>
      <c r="C397" s="24"/>
    </row>
    <row r="398">
      <c r="A398" s="23"/>
      <c r="B398" s="23"/>
      <c r="C398" s="24"/>
    </row>
    <row r="399">
      <c r="A399" s="23"/>
      <c r="B399" s="23"/>
      <c r="C399" s="24"/>
    </row>
    <row r="400">
      <c r="A400" s="23"/>
      <c r="B400" s="23"/>
      <c r="C400" s="24"/>
    </row>
    <row r="401">
      <c r="A401" s="23"/>
      <c r="B401" s="23"/>
      <c r="C401" s="24"/>
    </row>
    <row r="402">
      <c r="A402" s="23"/>
      <c r="B402" s="23"/>
      <c r="C402" s="24"/>
    </row>
    <row r="403">
      <c r="A403" s="23"/>
      <c r="B403" s="23"/>
      <c r="C403" s="24"/>
    </row>
    <row r="404">
      <c r="A404" s="23"/>
      <c r="B404" s="23"/>
      <c r="C404" s="24"/>
    </row>
    <row r="405">
      <c r="A405" s="23"/>
      <c r="B405" s="23"/>
      <c r="C405" s="24"/>
    </row>
    <row r="406">
      <c r="A406" s="23"/>
      <c r="B406" s="23"/>
      <c r="C406" s="24"/>
    </row>
    <row r="407">
      <c r="A407" s="23"/>
      <c r="B407" s="23"/>
      <c r="C407" s="24"/>
    </row>
    <row r="408">
      <c r="A408" s="23"/>
      <c r="B408" s="23"/>
      <c r="C408" s="24"/>
    </row>
    <row r="409">
      <c r="A409" s="23"/>
      <c r="B409" s="23"/>
      <c r="C409" s="24"/>
    </row>
    <row r="410">
      <c r="A410" s="23"/>
      <c r="B410" s="23"/>
      <c r="C410" s="24"/>
    </row>
    <row r="411">
      <c r="A411" s="23"/>
      <c r="B411" s="23"/>
      <c r="C411" s="24"/>
    </row>
    <row r="412">
      <c r="A412" s="23"/>
      <c r="B412" s="23"/>
      <c r="C412" s="24"/>
    </row>
    <row r="413">
      <c r="A413" s="23"/>
      <c r="B413" s="23"/>
      <c r="C413" s="24"/>
    </row>
    <row r="414">
      <c r="A414" s="23"/>
      <c r="B414" s="23"/>
      <c r="C414" s="24"/>
    </row>
    <row r="415">
      <c r="A415" s="23"/>
      <c r="B415" s="23"/>
      <c r="C415" s="24"/>
    </row>
    <row r="416">
      <c r="A416" s="23"/>
      <c r="B416" s="23"/>
      <c r="C416" s="24"/>
    </row>
    <row r="417">
      <c r="A417" s="23"/>
      <c r="B417" s="23"/>
      <c r="C417" s="24"/>
    </row>
    <row r="418">
      <c r="A418" s="23"/>
      <c r="B418" s="23"/>
      <c r="C418" s="24"/>
    </row>
    <row r="419">
      <c r="A419" s="23"/>
      <c r="B419" s="23"/>
      <c r="C419" s="24"/>
    </row>
    <row r="420">
      <c r="A420" s="23"/>
      <c r="B420" s="23"/>
      <c r="C420" s="24"/>
    </row>
    <row r="421">
      <c r="A421" s="23"/>
      <c r="B421" s="23"/>
      <c r="C421" s="24"/>
    </row>
    <row r="422">
      <c r="A422" s="23"/>
      <c r="B422" s="23"/>
      <c r="C422" s="24"/>
    </row>
    <row r="423">
      <c r="A423" s="23"/>
      <c r="B423" s="23"/>
      <c r="C423" s="24"/>
    </row>
    <row r="424">
      <c r="A424" s="23"/>
      <c r="B424" s="23"/>
      <c r="C424" s="24"/>
    </row>
    <row r="425">
      <c r="A425" s="23"/>
      <c r="B425" s="23"/>
      <c r="C425" s="24"/>
    </row>
    <row r="426">
      <c r="A426" s="23"/>
      <c r="B426" s="23"/>
      <c r="C426" s="24"/>
    </row>
    <row r="427">
      <c r="A427" s="23"/>
      <c r="B427" s="23"/>
      <c r="C427" s="24"/>
    </row>
    <row r="428">
      <c r="A428" s="23"/>
      <c r="B428" s="23"/>
      <c r="C428" s="24"/>
    </row>
    <row r="429">
      <c r="A429" s="23"/>
      <c r="B429" s="23"/>
      <c r="C429" s="24"/>
    </row>
    <row r="430">
      <c r="A430" s="23"/>
      <c r="B430" s="23"/>
      <c r="C430" s="24"/>
    </row>
    <row r="431">
      <c r="A431" s="23"/>
      <c r="B431" s="23"/>
      <c r="C431" s="24"/>
    </row>
    <row r="432">
      <c r="A432" s="23"/>
      <c r="B432" s="23"/>
      <c r="C432" s="24"/>
    </row>
    <row r="433">
      <c r="A433" s="23"/>
      <c r="B433" s="23"/>
      <c r="C433" s="24"/>
    </row>
    <row r="434">
      <c r="A434" s="23"/>
      <c r="B434" s="23"/>
      <c r="C434" s="24"/>
    </row>
    <row r="435">
      <c r="A435" s="23"/>
      <c r="B435" s="23"/>
      <c r="C435" s="24"/>
    </row>
    <row r="436">
      <c r="A436" s="23"/>
      <c r="B436" s="23"/>
      <c r="C436" s="24"/>
    </row>
    <row r="437">
      <c r="A437" s="23"/>
      <c r="B437" s="23"/>
      <c r="C437" s="24"/>
    </row>
    <row r="438">
      <c r="A438" s="23"/>
      <c r="B438" s="23"/>
      <c r="C438" s="24"/>
    </row>
    <row r="439">
      <c r="A439" s="23"/>
      <c r="B439" s="23"/>
      <c r="C439" s="24"/>
    </row>
    <row r="440">
      <c r="A440" s="23"/>
      <c r="B440" s="23"/>
      <c r="C440" s="24"/>
    </row>
    <row r="441">
      <c r="A441" s="23"/>
      <c r="B441" s="23"/>
      <c r="C441" s="24"/>
    </row>
    <row r="442">
      <c r="A442" s="23"/>
      <c r="B442" s="23"/>
      <c r="C442" s="24"/>
    </row>
    <row r="443">
      <c r="A443" s="23"/>
      <c r="B443" s="23"/>
      <c r="C443" s="24"/>
    </row>
    <row r="444">
      <c r="A444" s="23"/>
      <c r="B444" s="23"/>
      <c r="C444" s="24"/>
    </row>
    <row r="445">
      <c r="A445" s="23"/>
      <c r="B445" s="23"/>
      <c r="C445" s="24"/>
    </row>
    <row r="446">
      <c r="A446" s="23"/>
      <c r="B446" s="23"/>
      <c r="C446" s="24"/>
    </row>
    <row r="447">
      <c r="A447" s="23"/>
      <c r="B447" s="23"/>
      <c r="C447" s="24"/>
    </row>
    <row r="448">
      <c r="A448" s="23"/>
      <c r="B448" s="23"/>
      <c r="C448" s="24"/>
    </row>
    <row r="449">
      <c r="A449" s="23"/>
      <c r="B449" s="23"/>
      <c r="C449" s="24"/>
    </row>
    <row r="450">
      <c r="A450" s="23"/>
      <c r="B450" s="23"/>
      <c r="C450" s="24"/>
    </row>
    <row r="451">
      <c r="A451" s="23"/>
      <c r="B451" s="23"/>
      <c r="C451" s="24"/>
    </row>
    <row r="452">
      <c r="A452" s="23"/>
      <c r="B452" s="23"/>
      <c r="C452" s="24"/>
    </row>
    <row r="453">
      <c r="A453" s="23"/>
      <c r="B453" s="23"/>
      <c r="C453" s="24"/>
    </row>
    <row r="454">
      <c r="A454" s="23"/>
      <c r="B454" s="23"/>
      <c r="C454" s="24"/>
    </row>
    <row r="455">
      <c r="A455" s="23"/>
      <c r="B455" s="23"/>
      <c r="C455" s="24"/>
    </row>
    <row r="456">
      <c r="A456" s="23"/>
      <c r="B456" s="23"/>
      <c r="C456" s="24"/>
    </row>
    <row r="457">
      <c r="A457" s="23"/>
      <c r="B457" s="23"/>
      <c r="C457" s="24"/>
    </row>
    <row r="458">
      <c r="A458" s="23"/>
      <c r="B458" s="23"/>
      <c r="C458" s="24"/>
    </row>
    <row r="459">
      <c r="A459" s="23"/>
      <c r="B459" s="23"/>
      <c r="C459" s="24"/>
    </row>
    <row r="460">
      <c r="A460" s="23"/>
      <c r="B460" s="23"/>
      <c r="C460" s="24"/>
    </row>
    <row r="461">
      <c r="A461" s="23"/>
      <c r="B461" s="23"/>
      <c r="C461" s="24"/>
    </row>
    <row r="462">
      <c r="A462" s="23"/>
      <c r="B462" s="23"/>
      <c r="C462" s="24"/>
    </row>
    <row r="463">
      <c r="A463" s="23"/>
      <c r="B463" s="23"/>
      <c r="C463" s="24"/>
    </row>
    <row r="464">
      <c r="A464" s="23"/>
      <c r="B464" s="23"/>
      <c r="C464" s="24"/>
    </row>
    <row r="465">
      <c r="A465" s="23"/>
      <c r="B465" s="23"/>
      <c r="C465" s="24"/>
    </row>
    <row r="466">
      <c r="A466" s="23"/>
      <c r="B466" s="23"/>
      <c r="C466" s="24"/>
    </row>
    <row r="467">
      <c r="A467" s="23"/>
      <c r="B467" s="23"/>
      <c r="C467" s="24"/>
    </row>
    <row r="468">
      <c r="A468" s="23"/>
      <c r="B468" s="23"/>
      <c r="C468" s="24"/>
    </row>
    <row r="469">
      <c r="A469" s="23"/>
      <c r="B469" s="23"/>
      <c r="C469" s="24"/>
    </row>
    <row r="470">
      <c r="A470" s="23"/>
      <c r="B470" s="23"/>
      <c r="C470" s="24"/>
    </row>
    <row r="471">
      <c r="A471" s="23"/>
      <c r="B471" s="23"/>
      <c r="C471" s="24"/>
    </row>
    <row r="472">
      <c r="A472" s="23"/>
      <c r="B472" s="23"/>
      <c r="C472" s="24"/>
    </row>
    <row r="473">
      <c r="A473" s="23"/>
      <c r="B473" s="23"/>
      <c r="C473" s="24"/>
    </row>
    <row r="474">
      <c r="A474" s="23"/>
      <c r="B474" s="23"/>
      <c r="C474" s="24"/>
    </row>
    <row r="475">
      <c r="A475" s="23"/>
      <c r="B475" s="23"/>
      <c r="C475" s="24"/>
    </row>
    <row r="476">
      <c r="A476" s="23"/>
      <c r="B476" s="23"/>
      <c r="C476" s="24"/>
    </row>
    <row r="477">
      <c r="A477" s="23"/>
      <c r="B477" s="23"/>
      <c r="C477" s="24"/>
    </row>
    <row r="478">
      <c r="A478" s="23"/>
      <c r="B478" s="23"/>
      <c r="C478" s="24"/>
    </row>
    <row r="479">
      <c r="A479" s="23"/>
      <c r="B479" s="23"/>
      <c r="C479" s="24"/>
    </row>
    <row r="480">
      <c r="A480" s="23"/>
      <c r="B480" s="23"/>
      <c r="C480" s="24"/>
    </row>
    <row r="481">
      <c r="A481" s="23"/>
      <c r="B481" s="23"/>
      <c r="C481" s="24"/>
    </row>
    <row r="482">
      <c r="A482" s="23"/>
      <c r="B482" s="23"/>
      <c r="C482" s="24"/>
    </row>
    <row r="483">
      <c r="A483" s="23"/>
      <c r="B483" s="23"/>
      <c r="C483" s="24"/>
    </row>
    <row r="484">
      <c r="A484" s="23"/>
      <c r="B484" s="23"/>
      <c r="C484" s="24"/>
    </row>
    <row r="485">
      <c r="A485" s="23"/>
      <c r="B485" s="23"/>
      <c r="C485" s="24"/>
    </row>
    <row r="486">
      <c r="A486" s="23"/>
      <c r="B486" s="23"/>
      <c r="C486" s="24"/>
    </row>
    <row r="487">
      <c r="A487" s="23"/>
      <c r="B487" s="23"/>
      <c r="C487" s="24"/>
    </row>
    <row r="488">
      <c r="A488" s="23"/>
      <c r="B488" s="23"/>
      <c r="C488" s="24"/>
    </row>
    <row r="489">
      <c r="A489" s="23"/>
      <c r="B489" s="23"/>
      <c r="C489" s="24"/>
    </row>
    <row r="490">
      <c r="A490" s="23"/>
      <c r="B490" s="23"/>
      <c r="C490" s="24"/>
    </row>
    <row r="491">
      <c r="A491" s="23"/>
      <c r="B491" s="23"/>
      <c r="C491" s="24"/>
    </row>
    <row r="492">
      <c r="A492" s="23"/>
      <c r="B492" s="23"/>
      <c r="C492" s="24"/>
    </row>
    <row r="493">
      <c r="A493" s="23"/>
      <c r="B493" s="23"/>
      <c r="C493" s="24"/>
    </row>
    <row r="494">
      <c r="A494" s="23"/>
      <c r="B494" s="23"/>
      <c r="C494" s="24"/>
    </row>
    <row r="495">
      <c r="A495" s="23"/>
      <c r="B495" s="23"/>
      <c r="C495" s="24"/>
    </row>
    <row r="496">
      <c r="A496" s="23"/>
      <c r="B496" s="23"/>
      <c r="C496" s="24"/>
    </row>
    <row r="497">
      <c r="A497" s="23"/>
      <c r="B497" s="23"/>
      <c r="C497" s="24"/>
    </row>
    <row r="498">
      <c r="A498" s="23"/>
      <c r="B498" s="23"/>
      <c r="C498" s="24"/>
    </row>
    <row r="499">
      <c r="A499" s="23"/>
      <c r="B499" s="23"/>
      <c r="C499" s="24"/>
    </row>
    <row r="500">
      <c r="A500" s="23"/>
      <c r="B500" s="23"/>
      <c r="C500" s="24"/>
    </row>
    <row r="501">
      <c r="A501" s="23"/>
      <c r="B501" s="23"/>
      <c r="C501" s="24"/>
    </row>
    <row r="502">
      <c r="A502" s="23"/>
      <c r="B502" s="23"/>
      <c r="C502" s="24"/>
    </row>
    <row r="503">
      <c r="A503" s="23"/>
      <c r="B503" s="23"/>
      <c r="C503" s="24"/>
    </row>
    <row r="504">
      <c r="A504" s="23"/>
      <c r="B504" s="23"/>
      <c r="C504" s="24"/>
    </row>
    <row r="505">
      <c r="A505" s="23"/>
      <c r="B505" s="23"/>
      <c r="C505" s="24"/>
    </row>
    <row r="506">
      <c r="A506" s="23"/>
      <c r="B506" s="23"/>
      <c r="C506" s="24"/>
    </row>
    <row r="507">
      <c r="A507" s="23"/>
      <c r="B507" s="23"/>
      <c r="C507" s="24"/>
    </row>
    <row r="508">
      <c r="A508" s="23"/>
      <c r="B508" s="23"/>
      <c r="C508" s="24"/>
    </row>
    <row r="509">
      <c r="A509" s="23"/>
      <c r="B509" s="23"/>
      <c r="C509" s="24"/>
    </row>
    <row r="510">
      <c r="A510" s="23"/>
      <c r="B510" s="23"/>
      <c r="C510" s="24"/>
    </row>
    <row r="511">
      <c r="A511" s="23"/>
      <c r="B511" s="23"/>
      <c r="C511" s="24"/>
    </row>
    <row r="512">
      <c r="A512" s="23"/>
      <c r="B512" s="23"/>
      <c r="C512" s="24"/>
    </row>
    <row r="513">
      <c r="A513" s="23"/>
      <c r="B513" s="23"/>
      <c r="C513" s="24"/>
    </row>
    <row r="514">
      <c r="A514" s="23"/>
      <c r="B514" s="23"/>
      <c r="C514" s="24"/>
    </row>
    <row r="515">
      <c r="A515" s="23"/>
      <c r="B515" s="23"/>
      <c r="C515" s="24"/>
    </row>
    <row r="516">
      <c r="A516" s="23"/>
      <c r="B516" s="23"/>
      <c r="C516" s="24"/>
    </row>
    <row r="517">
      <c r="A517" s="23"/>
      <c r="B517" s="23"/>
      <c r="C517" s="24"/>
    </row>
    <row r="518">
      <c r="A518" s="23"/>
      <c r="B518" s="23"/>
      <c r="C518" s="24"/>
    </row>
    <row r="519">
      <c r="A519" s="23"/>
      <c r="B519" s="23"/>
      <c r="C519" s="24"/>
    </row>
    <row r="520">
      <c r="A520" s="23"/>
      <c r="B520" s="23"/>
      <c r="C520" s="24"/>
    </row>
    <row r="521">
      <c r="A521" s="23"/>
      <c r="B521" s="23"/>
      <c r="C521" s="24"/>
    </row>
    <row r="522">
      <c r="A522" s="23"/>
      <c r="B522" s="23"/>
      <c r="C522" s="24"/>
    </row>
    <row r="523">
      <c r="A523" s="23"/>
      <c r="B523" s="23"/>
      <c r="C523" s="24"/>
    </row>
    <row r="524">
      <c r="A524" s="23"/>
      <c r="B524" s="23"/>
      <c r="C524" s="24"/>
    </row>
    <row r="525">
      <c r="A525" s="23"/>
      <c r="B525" s="23"/>
      <c r="C525" s="24"/>
    </row>
    <row r="526">
      <c r="A526" s="23"/>
      <c r="B526" s="23"/>
      <c r="C526" s="24"/>
    </row>
    <row r="527">
      <c r="A527" s="23"/>
      <c r="B527" s="23"/>
      <c r="C527" s="24"/>
    </row>
    <row r="528">
      <c r="A528" s="23"/>
      <c r="B528" s="23"/>
      <c r="C528" s="24"/>
    </row>
    <row r="529">
      <c r="A529" s="23"/>
      <c r="B529" s="23"/>
      <c r="C529" s="24"/>
    </row>
    <row r="530">
      <c r="A530" s="23"/>
      <c r="B530" s="23"/>
      <c r="C530" s="24"/>
    </row>
    <row r="531">
      <c r="A531" s="23"/>
      <c r="B531" s="23"/>
      <c r="C531" s="24"/>
    </row>
    <row r="532">
      <c r="A532" s="23"/>
      <c r="B532" s="23"/>
      <c r="C532" s="24"/>
    </row>
    <row r="533">
      <c r="A533" s="23"/>
      <c r="B533" s="23"/>
      <c r="C533" s="24"/>
    </row>
    <row r="534">
      <c r="A534" s="23"/>
      <c r="B534" s="23"/>
      <c r="C534" s="24"/>
    </row>
    <row r="535">
      <c r="A535" s="23"/>
      <c r="B535" s="23"/>
      <c r="C535" s="24"/>
    </row>
    <row r="536">
      <c r="A536" s="23"/>
      <c r="B536" s="23"/>
      <c r="C536" s="24"/>
    </row>
    <row r="537">
      <c r="A537" s="23"/>
      <c r="B537" s="23"/>
      <c r="C537" s="24"/>
    </row>
    <row r="538">
      <c r="A538" s="23"/>
      <c r="B538" s="23"/>
      <c r="C538" s="24"/>
    </row>
    <row r="539">
      <c r="A539" s="23"/>
      <c r="B539" s="23"/>
      <c r="C539" s="24"/>
    </row>
    <row r="540">
      <c r="A540" s="23"/>
      <c r="B540" s="23"/>
      <c r="C540" s="24"/>
    </row>
    <row r="541">
      <c r="A541" s="23"/>
      <c r="B541" s="23"/>
      <c r="C541" s="24"/>
    </row>
    <row r="542">
      <c r="A542" s="23"/>
      <c r="B542" s="23"/>
      <c r="C542" s="24"/>
    </row>
    <row r="543">
      <c r="A543" s="23"/>
      <c r="B543" s="23"/>
      <c r="C543" s="24"/>
    </row>
    <row r="544">
      <c r="A544" s="23"/>
      <c r="B544" s="23"/>
      <c r="C544" s="24"/>
    </row>
    <row r="545">
      <c r="A545" s="23"/>
      <c r="B545" s="23"/>
      <c r="C545" s="24"/>
    </row>
    <row r="546">
      <c r="A546" s="23"/>
      <c r="B546" s="23"/>
      <c r="C546" s="24"/>
    </row>
    <row r="547">
      <c r="A547" s="23"/>
      <c r="B547" s="23"/>
      <c r="C547" s="24"/>
    </row>
    <row r="548">
      <c r="A548" s="23"/>
      <c r="B548" s="23"/>
      <c r="C548" s="24"/>
    </row>
    <row r="549">
      <c r="A549" s="23"/>
      <c r="B549" s="23"/>
      <c r="C549" s="24"/>
    </row>
    <row r="550">
      <c r="A550" s="23"/>
      <c r="B550" s="23"/>
      <c r="C550" s="24"/>
    </row>
    <row r="551">
      <c r="A551" s="23"/>
      <c r="B551" s="23"/>
      <c r="C551" s="24"/>
    </row>
    <row r="552">
      <c r="A552" s="23"/>
      <c r="B552" s="23"/>
      <c r="C552" s="24"/>
    </row>
    <row r="553">
      <c r="A553" s="23"/>
      <c r="B553" s="23"/>
      <c r="C553" s="24"/>
    </row>
    <row r="554">
      <c r="A554" s="23"/>
      <c r="B554" s="23"/>
      <c r="C554" s="24"/>
    </row>
    <row r="555">
      <c r="A555" s="23"/>
      <c r="B555" s="23"/>
      <c r="C555" s="24"/>
    </row>
    <row r="556">
      <c r="A556" s="23"/>
      <c r="B556" s="23"/>
      <c r="C556" s="24"/>
    </row>
    <row r="557">
      <c r="A557" s="23"/>
      <c r="B557" s="23"/>
      <c r="C557" s="24"/>
    </row>
    <row r="558">
      <c r="A558" s="23"/>
      <c r="B558" s="23"/>
      <c r="C558" s="24"/>
    </row>
    <row r="559">
      <c r="A559" s="23"/>
      <c r="B559" s="23"/>
      <c r="C559" s="24"/>
    </row>
    <row r="560">
      <c r="A560" s="23"/>
      <c r="B560" s="23"/>
      <c r="C560" s="24"/>
    </row>
    <row r="561">
      <c r="A561" s="23"/>
      <c r="B561" s="23"/>
      <c r="C561" s="24"/>
    </row>
    <row r="562">
      <c r="A562" s="23"/>
      <c r="B562" s="23"/>
      <c r="C562" s="24"/>
    </row>
    <row r="563">
      <c r="A563" s="23"/>
      <c r="B563" s="23"/>
      <c r="C563" s="24"/>
    </row>
    <row r="564">
      <c r="A564" s="23"/>
      <c r="B564" s="23"/>
      <c r="C564" s="24"/>
    </row>
    <row r="565">
      <c r="A565" s="23"/>
      <c r="B565" s="23"/>
      <c r="C565" s="24"/>
    </row>
    <row r="566">
      <c r="A566" s="23"/>
      <c r="B566" s="23"/>
      <c r="C566" s="24"/>
    </row>
    <row r="567">
      <c r="A567" s="23"/>
      <c r="B567" s="23"/>
      <c r="C567" s="24"/>
    </row>
    <row r="568">
      <c r="A568" s="23"/>
      <c r="B568" s="23"/>
      <c r="C568" s="24"/>
    </row>
    <row r="569">
      <c r="A569" s="23"/>
      <c r="B569" s="23"/>
      <c r="C569" s="24"/>
    </row>
    <row r="570">
      <c r="A570" s="23"/>
      <c r="B570" s="23"/>
      <c r="C570" s="24"/>
    </row>
    <row r="571">
      <c r="A571" s="23"/>
      <c r="B571" s="23"/>
      <c r="C571" s="24"/>
    </row>
    <row r="572">
      <c r="A572" s="23"/>
      <c r="B572" s="23"/>
      <c r="C572" s="24"/>
    </row>
    <row r="573">
      <c r="A573" s="23"/>
      <c r="B573" s="23"/>
      <c r="C573" s="24"/>
    </row>
    <row r="574">
      <c r="A574" s="23"/>
      <c r="B574" s="23"/>
      <c r="C574" s="24"/>
    </row>
    <row r="575">
      <c r="A575" s="23"/>
      <c r="B575" s="23"/>
      <c r="C575" s="24"/>
    </row>
    <row r="576">
      <c r="A576" s="23"/>
      <c r="B576" s="23"/>
      <c r="C576" s="24"/>
    </row>
    <row r="577">
      <c r="A577" s="23"/>
      <c r="B577" s="23"/>
      <c r="C577" s="24"/>
    </row>
    <row r="578">
      <c r="A578" s="23"/>
      <c r="B578" s="23"/>
      <c r="C578" s="24"/>
    </row>
    <row r="579">
      <c r="A579" s="23"/>
      <c r="B579" s="23"/>
      <c r="C579" s="24"/>
    </row>
    <row r="580">
      <c r="A580" s="23"/>
      <c r="B580" s="23"/>
      <c r="C580" s="24"/>
    </row>
    <row r="581">
      <c r="A581" s="23"/>
      <c r="B581" s="23"/>
      <c r="C581" s="24"/>
    </row>
    <row r="582">
      <c r="A582" s="23"/>
      <c r="B582" s="23"/>
      <c r="C582" s="24"/>
    </row>
    <row r="583">
      <c r="A583" s="23"/>
      <c r="B583" s="23"/>
      <c r="C583" s="24"/>
    </row>
    <row r="584">
      <c r="A584" s="23"/>
      <c r="B584" s="23"/>
      <c r="C584" s="24"/>
    </row>
    <row r="585">
      <c r="A585" s="23"/>
      <c r="B585" s="23"/>
      <c r="C585" s="24"/>
    </row>
    <row r="586">
      <c r="A586" s="23"/>
      <c r="B586" s="23"/>
      <c r="C586" s="24"/>
    </row>
    <row r="587">
      <c r="A587" s="23"/>
      <c r="B587" s="23"/>
      <c r="C587" s="24"/>
    </row>
    <row r="588">
      <c r="A588" s="23"/>
      <c r="B588" s="23"/>
      <c r="C588" s="24"/>
    </row>
    <row r="589">
      <c r="A589" s="23"/>
      <c r="B589" s="23"/>
      <c r="C589" s="24"/>
    </row>
    <row r="590">
      <c r="A590" s="23"/>
      <c r="B590" s="23"/>
      <c r="C590" s="24"/>
    </row>
    <row r="591">
      <c r="A591" s="23"/>
      <c r="B591" s="23"/>
      <c r="C591" s="24"/>
    </row>
    <row r="592">
      <c r="A592" s="23"/>
      <c r="B592" s="23"/>
      <c r="C592" s="24"/>
    </row>
    <row r="593">
      <c r="A593" s="23"/>
      <c r="B593" s="23"/>
      <c r="C593" s="24"/>
    </row>
    <row r="594">
      <c r="A594" s="23"/>
      <c r="B594" s="23"/>
      <c r="C594" s="24"/>
    </row>
    <row r="595">
      <c r="A595" s="23"/>
      <c r="B595" s="23"/>
      <c r="C595" s="24"/>
    </row>
    <row r="596">
      <c r="A596" s="23"/>
      <c r="B596" s="23"/>
      <c r="C596" s="24"/>
    </row>
    <row r="597">
      <c r="A597" s="23"/>
      <c r="B597" s="23"/>
      <c r="C597" s="24"/>
    </row>
    <row r="598">
      <c r="A598" s="23"/>
      <c r="B598" s="23"/>
      <c r="C598" s="24"/>
    </row>
    <row r="599">
      <c r="A599" s="23"/>
      <c r="B599" s="23"/>
      <c r="C599" s="24"/>
    </row>
    <row r="600">
      <c r="A600" s="23"/>
      <c r="B600" s="23"/>
      <c r="C600" s="24"/>
    </row>
    <row r="601">
      <c r="A601" s="23"/>
      <c r="B601" s="23"/>
      <c r="C601" s="24"/>
    </row>
    <row r="602">
      <c r="A602" s="23"/>
      <c r="B602" s="23"/>
      <c r="C602" s="24"/>
    </row>
    <row r="603">
      <c r="A603" s="23"/>
      <c r="B603" s="23"/>
      <c r="C603" s="24"/>
    </row>
    <row r="604">
      <c r="A604" s="23"/>
      <c r="B604" s="23"/>
      <c r="C604" s="24"/>
    </row>
    <row r="605">
      <c r="A605" s="23"/>
      <c r="B605" s="23"/>
      <c r="C605" s="24"/>
    </row>
    <row r="606">
      <c r="A606" s="23"/>
      <c r="B606" s="23"/>
      <c r="C606" s="24"/>
    </row>
    <row r="607">
      <c r="A607" s="23"/>
      <c r="B607" s="23"/>
      <c r="C607" s="24"/>
    </row>
    <row r="608">
      <c r="A608" s="23"/>
      <c r="B608" s="23"/>
      <c r="C608" s="24"/>
    </row>
    <row r="609">
      <c r="A609" s="23"/>
      <c r="B609" s="23"/>
      <c r="C609" s="24"/>
    </row>
    <row r="610">
      <c r="A610" s="23"/>
      <c r="B610" s="23"/>
      <c r="C610" s="24"/>
    </row>
    <row r="611">
      <c r="A611" s="23"/>
      <c r="B611" s="23"/>
      <c r="C611" s="24"/>
    </row>
    <row r="612">
      <c r="A612" s="23"/>
      <c r="B612" s="23"/>
      <c r="C612" s="24"/>
    </row>
    <row r="613">
      <c r="A613" s="23"/>
      <c r="B613" s="23"/>
      <c r="C613" s="24"/>
    </row>
    <row r="614">
      <c r="A614" s="23"/>
      <c r="B614" s="23"/>
      <c r="C614" s="24"/>
    </row>
    <row r="615">
      <c r="A615" s="23"/>
      <c r="B615" s="23"/>
      <c r="C615" s="24"/>
    </row>
    <row r="616">
      <c r="A616" s="23"/>
      <c r="B616" s="23"/>
      <c r="C616" s="24"/>
    </row>
    <row r="617">
      <c r="A617" s="23"/>
      <c r="B617" s="23"/>
      <c r="C617" s="24"/>
    </row>
    <row r="618">
      <c r="A618" s="23"/>
      <c r="B618" s="23"/>
      <c r="C618" s="24"/>
    </row>
    <row r="619">
      <c r="A619" s="23"/>
      <c r="B619" s="23"/>
      <c r="C619" s="24"/>
    </row>
    <row r="620">
      <c r="A620" s="23"/>
      <c r="B620" s="23"/>
      <c r="C620" s="24"/>
    </row>
    <row r="621">
      <c r="A621" s="23"/>
      <c r="B621" s="23"/>
      <c r="C621" s="24"/>
    </row>
    <row r="622">
      <c r="A622" s="23"/>
      <c r="B622" s="23"/>
      <c r="C622" s="24"/>
    </row>
    <row r="623">
      <c r="A623" s="23"/>
      <c r="B623" s="23"/>
      <c r="C623" s="24"/>
    </row>
    <row r="624">
      <c r="A624" s="23"/>
      <c r="B624" s="23"/>
      <c r="C624" s="24"/>
    </row>
    <row r="625">
      <c r="A625" s="23"/>
      <c r="B625" s="23"/>
      <c r="C625" s="24"/>
    </row>
    <row r="626">
      <c r="A626" s="23"/>
      <c r="B626" s="23"/>
      <c r="C626" s="24"/>
    </row>
    <row r="627">
      <c r="A627" s="23"/>
      <c r="B627" s="23"/>
      <c r="C627" s="24"/>
    </row>
    <row r="628">
      <c r="A628" s="23"/>
      <c r="B628" s="23"/>
      <c r="C628" s="24"/>
    </row>
    <row r="629">
      <c r="A629" s="23"/>
      <c r="B629" s="23"/>
      <c r="C629" s="24"/>
    </row>
    <row r="630">
      <c r="A630" s="23"/>
      <c r="B630" s="23"/>
      <c r="C630" s="24"/>
    </row>
    <row r="631">
      <c r="A631" s="23"/>
      <c r="B631" s="23"/>
      <c r="C631" s="24"/>
    </row>
    <row r="632">
      <c r="A632" s="23"/>
      <c r="B632" s="23"/>
      <c r="C632" s="24"/>
    </row>
    <row r="633">
      <c r="A633" s="23"/>
      <c r="B633" s="23"/>
      <c r="C633" s="24"/>
    </row>
    <row r="634">
      <c r="A634" s="23"/>
      <c r="B634" s="23"/>
      <c r="C634" s="24"/>
    </row>
    <row r="635">
      <c r="A635" s="23"/>
      <c r="B635" s="23"/>
      <c r="C635" s="24"/>
    </row>
    <row r="636">
      <c r="A636" s="23"/>
      <c r="B636" s="23"/>
      <c r="C636" s="24"/>
    </row>
    <row r="637">
      <c r="A637" s="23"/>
      <c r="B637" s="23"/>
      <c r="C637" s="24"/>
    </row>
    <row r="638">
      <c r="A638" s="23"/>
      <c r="B638" s="23"/>
      <c r="C638" s="24"/>
    </row>
    <row r="639">
      <c r="A639" s="23"/>
      <c r="B639" s="23"/>
      <c r="C639" s="24"/>
    </row>
    <row r="640">
      <c r="A640" s="23"/>
      <c r="B640" s="23"/>
      <c r="C640" s="24"/>
    </row>
    <row r="641">
      <c r="A641" s="23"/>
      <c r="B641" s="23"/>
      <c r="C641" s="24"/>
    </row>
    <row r="642">
      <c r="A642" s="23"/>
      <c r="B642" s="23"/>
      <c r="C642" s="24"/>
    </row>
    <row r="643">
      <c r="A643" s="23"/>
      <c r="B643" s="23"/>
      <c r="C643" s="24"/>
    </row>
    <row r="644">
      <c r="A644" s="23"/>
      <c r="B644" s="23"/>
      <c r="C644" s="24"/>
    </row>
    <row r="645">
      <c r="A645" s="23"/>
      <c r="B645" s="23"/>
      <c r="C645" s="24"/>
    </row>
    <row r="646">
      <c r="A646" s="23"/>
      <c r="B646" s="23"/>
      <c r="C646" s="24"/>
    </row>
    <row r="647">
      <c r="A647" s="23"/>
      <c r="B647" s="23"/>
      <c r="C647" s="24"/>
    </row>
    <row r="648">
      <c r="A648" s="23"/>
      <c r="B648" s="23"/>
      <c r="C648" s="24"/>
    </row>
    <row r="649">
      <c r="A649" s="23"/>
      <c r="B649" s="23"/>
      <c r="C649" s="24"/>
    </row>
    <row r="650">
      <c r="A650" s="23"/>
      <c r="B650" s="23"/>
      <c r="C650" s="24"/>
    </row>
    <row r="651">
      <c r="A651" s="23"/>
      <c r="B651" s="23"/>
      <c r="C651" s="24"/>
    </row>
    <row r="652">
      <c r="A652" s="23"/>
      <c r="B652" s="23"/>
      <c r="C652" s="24"/>
    </row>
    <row r="653">
      <c r="A653" s="23"/>
      <c r="B653" s="23"/>
      <c r="C653" s="24"/>
    </row>
    <row r="654">
      <c r="A654" s="23"/>
      <c r="B654" s="23"/>
      <c r="C654" s="24"/>
    </row>
    <row r="655">
      <c r="A655" s="23"/>
      <c r="B655" s="23"/>
      <c r="C655" s="24"/>
    </row>
    <row r="656">
      <c r="A656" s="23"/>
      <c r="B656" s="23"/>
      <c r="C656" s="24"/>
    </row>
    <row r="657">
      <c r="A657" s="23"/>
      <c r="B657" s="23"/>
      <c r="C657" s="24"/>
    </row>
    <row r="658">
      <c r="A658" s="23"/>
      <c r="B658" s="23"/>
      <c r="C658" s="24"/>
    </row>
    <row r="659">
      <c r="A659" s="23"/>
      <c r="B659" s="23"/>
      <c r="C659" s="24"/>
    </row>
    <row r="660">
      <c r="A660" s="23"/>
      <c r="B660" s="23"/>
      <c r="C660" s="24"/>
    </row>
    <row r="661">
      <c r="A661" s="23"/>
      <c r="B661" s="23"/>
      <c r="C661" s="24"/>
    </row>
    <row r="662">
      <c r="A662" s="23"/>
      <c r="B662" s="23"/>
      <c r="C662" s="24"/>
    </row>
    <row r="663">
      <c r="A663" s="23"/>
      <c r="B663" s="23"/>
      <c r="C663" s="24"/>
    </row>
    <row r="664">
      <c r="A664" s="23"/>
      <c r="B664" s="23"/>
      <c r="C664" s="24"/>
    </row>
    <row r="665">
      <c r="A665" s="23"/>
      <c r="B665" s="23"/>
      <c r="C665" s="24"/>
    </row>
    <row r="666">
      <c r="A666" s="23"/>
      <c r="B666" s="23"/>
      <c r="C666" s="24"/>
    </row>
    <row r="667">
      <c r="A667" s="23"/>
      <c r="B667" s="23"/>
      <c r="C667" s="24"/>
    </row>
    <row r="668">
      <c r="A668" s="23"/>
      <c r="B668" s="23"/>
      <c r="C668" s="24"/>
    </row>
    <row r="669">
      <c r="A669" s="23"/>
      <c r="B669" s="23"/>
      <c r="C669" s="24"/>
    </row>
    <row r="670">
      <c r="A670" s="23"/>
      <c r="B670" s="23"/>
      <c r="C670" s="24"/>
    </row>
    <row r="671">
      <c r="A671" s="23"/>
      <c r="B671" s="23"/>
      <c r="C671" s="24"/>
    </row>
    <row r="672">
      <c r="A672" s="23"/>
      <c r="B672" s="23"/>
      <c r="C672" s="24"/>
    </row>
    <row r="673">
      <c r="A673" s="23"/>
      <c r="B673" s="23"/>
      <c r="C673" s="24"/>
    </row>
    <row r="674">
      <c r="A674" s="23"/>
      <c r="B674" s="23"/>
      <c r="C674" s="24"/>
    </row>
    <row r="675">
      <c r="A675" s="23"/>
      <c r="B675" s="23"/>
      <c r="C675" s="24"/>
    </row>
    <row r="676">
      <c r="A676" s="23"/>
      <c r="B676" s="23"/>
      <c r="C676" s="24"/>
    </row>
    <row r="677">
      <c r="A677" s="23"/>
      <c r="B677" s="23"/>
      <c r="C677" s="24"/>
    </row>
    <row r="678">
      <c r="A678" s="23"/>
      <c r="B678" s="23"/>
      <c r="C678" s="24"/>
    </row>
    <row r="679">
      <c r="A679" s="23"/>
      <c r="B679" s="23"/>
      <c r="C679" s="24"/>
    </row>
    <row r="680">
      <c r="A680" s="23"/>
      <c r="B680" s="23"/>
      <c r="C680" s="24"/>
    </row>
    <row r="681">
      <c r="A681" s="23"/>
      <c r="B681" s="23"/>
      <c r="C681" s="24"/>
    </row>
    <row r="682">
      <c r="A682" s="23"/>
      <c r="B682" s="23"/>
      <c r="C682" s="24"/>
    </row>
    <row r="683">
      <c r="A683" s="23"/>
      <c r="B683" s="23"/>
      <c r="C683" s="24"/>
    </row>
    <row r="684">
      <c r="A684" s="23"/>
      <c r="B684" s="23"/>
      <c r="C684" s="24"/>
    </row>
    <row r="685">
      <c r="A685" s="23"/>
      <c r="B685" s="23"/>
      <c r="C685" s="24"/>
    </row>
    <row r="686">
      <c r="A686" s="23"/>
      <c r="B686" s="23"/>
      <c r="C686" s="24"/>
    </row>
    <row r="687">
      <c r="A687" s="23"/>
      <c r="B687" s="23"/>
      <c r="C687" s="24"/>
    </row>
    <row r="688">
      <c r="A688" s="23"/>
      <c r="B688" s="23"/>
      <c r="C688" s="24"/>
    </row>
    <row r="689">
      <c r="A689" s="23"/>
      <c r="B689" s="23"/>
      <c r="C689" s="24"/>
    </row>
    <row r="690">
      <c r="A690" s="23"/>
      <c r="B690" s="23"/>
      <c r="C690" s="24"/>
    </row>
    <row r="691">
      <c r="A691" s="23"/>
      <c r="B691" s="23"/>
      <c r="C691" s="24"/>
    </row>
    <row r="692">
      <c r="A692" s="23"/>
      <c r="B692" s="23"/>
      <c r="C692" s="24"/>
    </row>
    <row r="693">
      <c r="A693" s="23"/>
      <c r="B693" s="23"/>
      <c r="C693" s="24"/>
    </row>
    <row r="694">
      <c r="A694" s="23"/>
      <c r="B694" s="23"/>
      <c r="C694" s="24"/>
    </row>
    <row r="695">
      <c r="A695" s="23"/>
      <c r="B695" s="23"/>
      <c r="C695" s="24"/>
    </row>
    <row r="696">
      <c r="A696" s="23"/>
      <c r="B696" s="23"/>
      <c r="C696" s="24"/>
    </row>
    <row r="697">
      <c r="A697" s="23"/>
      <c r="B697" s="23"/>
      <c r="C697" s="24"/>
    </row>
    <row r="698">
      <c r="A698" s="23"/>
      <c r="B698" s="23"/>
      <c r="C698" s="24"/>
    </row>
    <row r="699">
      <c r="A699" s="23"/>
      <c r="B699" s="23"/>
      <c r="C699" s="24"/>
    </row>
    <row r="700">
      <c r="A700" s="23"/>
      <c r="B700" s="23"/>
      <c r="C700" s="24"/>
    </row>
    <row r="701">
      <c r="A701" s="23"/>
      <c r="B701" s="23"/>
      <c r="C701" s="24"/>
    </row>
    <row r="702">
      <c r="A702" s="23"/>
      <c r="B702" s="23"/>
      <c r="C702" s="24"/>
    </row>
    <row r="703">
      <c r="A703" s="23"/>
      <c r="B703" s="23"/>
      <c r="C703" s="24"/>
    </row>
    <row r="704">
      <c r="A704" s="23"/>
      <c r="B704" s="23"/>
      <c r="C704" s="24"/>
    </row>
    <row r="705">
      <c r="A705" s="23"/>
      <c r="B705" s="23"/>
      <c r="C705" s="24"/>
    </row>
    <row r="706">
      <c r="A706" s="23"/>
      <c r="B706" s="23"/>
      <c r="C706" s="24"/>
    </row>
    <row r="707">
      <c r="A707" s="23"/>
      <c r="B707" s="23"/>
      <c r="C707" s="24"/>
    </row>
    <row r="708">
      <c r="A708" s="23"/>
      <c r="B708" s="23"/>
      <c r="C708" s="24"/>
    </row>
    <row r="709">
      <c r="A709" s="23"/>
      <c r="B709" s="23"/>
      <c r="C709" s="24"/>
    </row>
    <row r="710">
      <c r="A710" s="23"/>
      <c r="B710" s="23"/>
      <c r="C710" s="24"/>
    </row>
    <row r="711">
      <c r="A711" s="23"/>
      <c r="B711" s="23"/>
      <c r="C711" s="24"/>
    </row>
    <row r="712">
      <c r="A712" s="23"/>
      <c r="B712" s="23"/>
      <c r="C712" s="24"/>
    </row>
    <row r="713">
      <c r="A713" s="23"/>
      <c r="B713" s="23"/>
      <c r="C713" s="24"/>
    </row>
    <row r="714">
      <c r="A714" s="23"/>
      <c r="B714" s="23"/>
      <c r="C714" s="24"/>
    </row>
    <row r="715">
      <c r="A715" s="23"/>
      <c r="B715" s="23"/>
      <c r="C715" s="24"/>
    </row>
    <row r="716">
      <c r="A716" s="23"/>
      <c r="B716" s="23"/>
      <c r="C716" s="24"/>
    </row>
    <row r="717">
      <c r="A717" s="23"/>
      <c r="B717" s="23"/>
      <c r="C717" s="24"/>
    </row>
    <row r="718">
      <c r="A718" s="23"/>
      <c r="B718" s="23"/>
      <c r="C718" s="24"/>
    </row>
    <row r="719">
      <c r="A719" s="23"/>
      <c r="B719" s="23"/>
      <c r="C719" s="24"/>
    </row>
    <row r="720">
      <c r="A720" s="23"/>
      <c r="B720" s="23"/>
      <c r="C720" s="24"/>
    </row>
    <row r="721">
      <c r="A721" s="23"/>
      <c r="B721" s="23"/>
      <c r="C721" s="24"/>
    </row>
    <row r="722">
      <c r="A722" s="23"/>
      <c r="B722" s="23"/>
      <c r="C722" s="24"/>
    </row>
    <row r="723">
      <c r="A723" s="23"/>
      <c r="B723" s="23"/>
      <c r="C723" s="24"/>
    </row>
    <row r="724">
      <c r="A724" s="23"/>
      <c r="B724" s="23"/>
      <c r="C724" s="24"/>
    </row>
    <row r="725">
      <c r="A725" s="23"/>
      <c r="B725" s="23"/>
      <c r="C725" s="24"/>
    </row>
    <row r="726">
      <c r="A726" s="23"/>
      <c r="B726" s="23"/>
      <c r="C726" s="24"/>
    </row>
    <row r="727">
      <c r="A727" s="23"/>
      <c r="B727" s="23"/>
      <c r="C727" s="24"/>
    </row>
    <row r="728">
      <c r="A728" s="23"/>
      <c r="B728" s="23"/>
      <c r="C728" s="24"/>
    </row>
    <row r="729">
      <c r="A729" s="23"/>
      <c r="B729" s="23"/>
      <c r="C729" s="24"/>
    </row>
    <row r="730">
      <c r="A730" s="23"/>
      <c r="B730" s="23"/>
      <c r="C730" s="24"/>
    </row>
    <row r="731">
      <c r="A731" s="23"/>
      <c r="B731" s="23"/>
      <c r="C731" s="24"/>
    </row>
    <row r="732">
      <c r="A732" s="23"/>
      <c r="B732" s="23"/>
      <c r="C732" s="24"/>
    </row>
    <row r="733">
      <c r="A733" s="23"/>
      <c r="B733" s="23"/>
      <c r="C733" s="24"/>
    </row>
    <row r="734">
      <c r="A734" s="23"/>
      <c r="B734" s="23"/>
      <c r="C734" s="24"/>
    </row>
    <row r="735">
      <c r="A735" s="23"/>
      <c r="B735" s="23"/>
      <c r="C735" s="24"/>
    </row>
    <row r="736">
      <c r="A736" s="23"/>
      <c r="B736" s="23"/>
      <c r="C736" s="24"/>
    </row>
    <row r="737">
      <c r="A737" s="23"/>
      <c r="B737" s="23"/>
      <c r="C737" s="24"/>
    </row>
    <row r="738">
      <c r="A738" s="23"/>
      <c r="B738" s="23"/>
      <c r="C738" s="24"/>
    </row>
    <row r="739">
      <c r="A739" s="23"/>
      <c r="B739" s="23"/>
      <c r="C739" s="24"/>
    </row>
    <row r="740">
      <c r="A740" s="23"/>
      <c r="B740" s="23"/>
      <c r="C740" s="24"/>
    </row>
    <row r="741">
      <c r="A741" s="23"/>
      <c r="B741" s="23"/>
      <c r="C741" s="24"/>
    </row>
    <row r="742">
      <c r="A742" s="23"/>
      <c r="B742" s="23"/>
      <c r="C742" s="24"/>
    </row>
    <row r="743">
      <c r="A743" s="23"/>
      <c r="B743" s="23"/>
      <c r="C743" s="24"/>
    </row>
    <row r="744">
      <c r="A744" s="23"/>
      <c r="B744" s="23"/>
      <c r="C744" s="24"/>
    </row>
    <row r="745">
      <c r="A745" s="23"/>
      <c r="B745" s="23"/>
      <c r="C745" s="24"/>
    </row>
    <row r="746">
      <c r="A746" s="23"/>
      <c r="B746" s="23"/>
      <c r="C746" s="24"/>
    </row>
    <row r="747">
      <c r="A747" s="23"/>
      <c r="B747" s="23"/>
      <c r="C747" s="24"/>
    </row>
    <row r="748">
      <c r="A748" s="23"/>
      <c r="B748" s="23"/>
      <c r="C748" s="24"/>
    </row>
    <row r="749">
      <c r="A749" s="23"/>
      <c r="B749" s="23"/>
      <c r="C749" s="24"/>
    </row>
    <row r="750">
      <c r="A750" s="23"/>
      <c r="B750" s="23"/>
      <c r="C750" s="24"/>
    </row>
    <row r="751">
      <c r="A751" s="23"/>
      <c r="B751" s="23"/>
      <c r="C751" s="24"/>
    </row>
    <row r="752">
      <c r="A752" s="23"/>
      <c r="B752" s="23"/>
      <c r="C752" s="24"/>
    </row>
    <row r="753">
      <c r="A753" s="23"/>
      <c r="B753" s="23"/>
      <c r="C753" s="24"/>
    </row>
    <row r="754">
      <c r="A754" s="23"/>
      <c r="B754" s="23"/>
      <c r="C754" s="24"/>
    </row>
    <row r="755">
      <c r="A755" s="23"/>
      <c r="B755" s="23"/>
      <c r="C755" s="24"/>
    </row>
    <row r="756">
      <c r="A756" s="23"/>
      <c r="B756" s="23"/>
      <c r="C756" s="24"/>
    </row>
    <row r="757">
      <c r="A757" s="23"/>
      <c r="B757" s="23"/>
      <c r="C757" s="24"/>
    </row>
    <row r="758">
      <c r="A758" s="23"/>
      <c r="B758" s="23"/>
      <c r="C758" s="24"/>
    </row>
    <row r="759">
      <c r="A759" s="23"/>
      <c r="B759" s="23"/>
      <c r="C759" s="24"/>
    </row>
    <row r="760">
      <c r="A760" s="23"/>
      <c r="B760" s="23"/>
      <c r="C760" s="24"/>
    </row>
    <row r="761">
      <c r="A761" s="23"/>
      <c r="B761" s="23"/>
      <c r="C761" s="24"/>
    </row>
    <row r="762">
      <c r="A762" s="23"/>
      <c r="B762" s="23"/>
      <c r="C762" s="24"/>
    </row>
    <row r="763">
      <c r="A763" s="23"/>
      <c r="B763" s="23"/>
      <c r="C763" s="24"/>
    </row>
    <row r="764">
      <c r="A764" s="23"/>
      <c r="B764" s="23"/>
      <c r="C764" s="24"/>
    </row>
    <row r="765">
      <c r="A765" s="23"/>
      <c r="B765" s="23"/>
      <c r="C765" s="24"/>
    </row>
    <row r="766">
      <c r="A766" s="23"/>
      <c r="B766" s="23"/>
      <c r="C766" s="24"/>
    </row>
    <row r="767">
      <c r="A767" s="23"/>
      <c r="B767" s="23"/>
      <c r="C767" s="24"/>
    </row>
    <row r="768">
      <c r="A768" s="23"/>
      <c r="B768" s="23"/>
      <c r="C768" s="24"/>
    </row>
    <row r="769">
      <c r="A769" s="23"/>
      <c r="B769" s="23"/>
      <c r="C769" s="24"/>
    </row>
    <row r="770">
      <c r="A770" s="23"/>
      <c r="B770" s="23"/>
      <c r="C770" s="24"/>
    </row>
    <row r="771">
      <c r="A771" s="23"/>
      <c r="B771" s="23"/>
      <c r="C771" s="24"/>
    </row>
    <row r="772">
      <c r="A772" s="23"/>
      <c r="B772" s="23"/>
      <c r="C772" s="24"/>
    </row>
    <row r="773">
      <c r="A773" s="23"/>
      <c r="B773" s="23"/>
      <c r="C773" s="24"/>
    </row>
    <row r="774">
      <c r="A774" s="23"/>
      <c r="B774" s="23"/>
      <c r="C774" s="24"/>
    </row>
    <row r="775">
      <c r="A775" s="23"/>
      <c r="B775" s="23"/>
      <c r="C775" s="24"/>
    </row>
    <row r="776">
      <c r="A776" s="23"/>
      <c r="B776" s="23"/>
      <c r="C776" s="24"/>
    </row>
    <row r="777">
      <c r="A777" s="23"/>
      <c r="B777" s="23"/>
      <c r="C777" s="24"/>
    </row>
    <row r="778">
      <c r="A778" s="23"/>
      <c r="B778" s="23"/>
      <c r="C778" s="24"/>
    </row>
    <row r="779">
      <c r="A779" s="23"/>
      <c r="B779" s="23"/>
      <c r="C779" s="24"/>
    </row>
    <row r="780">
      <c r="A780" s="23"/>
      <c r="B780" s="23"/>
      <c r="C780" s="24"/>
    </row>
    <row r="781">
      <c r="A781" s="23"/>
      <c r="B781" s="23"/>
      <c r="C781" s="24"/>
    </row>
    <row r="782">
      <c r="A782" s="23"/>
      <c r="B782" s="23"/>
      <c r="C782" s="24"/>
    </row>
    <row r="783">
      <c r="A783" s="23"/>
      <c r="B783" s="23"/>
      <c r="C783" s="24"/>
    </row>
    <row r="784">
      <c r="A784" s="23"/>
      <c r="B784" s="23"/>
      <c r="C784" s="24"/>
    </row>
    <row r="785">
      <c r="A785" s="23"/>
      <c r="B785" s="23"/>
      <c r="C785" s="24"/>
    </row>
    <row r="786">
      <c r="A786" s="23"/>
      <c r="B786" s="23"/>
      <c r="C786" s="24"/>
    </row>
    <row r="787">
      <c r="A787" s="23"/>
      <c r="B787" s="23"/>
      <c r="C787" s="24"/>
    </row>
    <row r="788">
      <c r="A788" s="23"/>
      <c r="B788" s="23"/>
      <c r="C788" s="24"/>
    </row>
    <row r="789">
      <c r="A789" s="23"/>
      <c r="B789" s="23"/>
      <c r="C789" s="24"/>
    </row>
    <row r="790">
      <c r="A790" s="23"/>
      <c r="B790" s="23"/>
      <c r="C790" s="24"/>
    </row>
    <row r="791">
      <c r="A791" s="23"/>
      <c r="B791" s="23"/>
      <c r="C791" s="24"/>
    </row>
    <row r="792">
      <c r="A792" s="23"/>
      <c r="B792" s="23"/>
      <c r="C792" s="24"/>
    </row>
    <row r="793">
      <c r="A793" s="23"/>
      <c r="B793" s="23"/>
      <c r="C793" s="24"/>
    </row>
    <row r="794">
      <c r="A794" s="23"/>
      <c r="B794" s="23"/>
      <c r="C794" s="24"/>
    </row>
    <row r="795">
      <c r="A795" s="23"/>
      <c r="B795" s="23"/>
      <c r="C795" s="24"/>
    </row>
    <row r="796">
      <c r="A796" s="23"/>
      <c r="B796" s="23"/>
      <c r="C796" s="24"/>
    </row>
    <row r="797">
      <c r="A797" s="23"/>
      <c r="B797" s="23"/>
      <c r="C797" s="24"/>
    </row>
    <row r="798">
      <c r="A798" s="23"/>
      <c r="B798" s="23"/>
      <c r="C798" s="24"/>
    </row>
    <row r="799">
      <c r="A799" s="23"/>
      <c r="B799" s="23"/>
      <c r="C799" s="24"/>
    </row>
    <row r="800">
      <c r="A800" s="23"/>
      <c r="B800" s="23"/>
      <c r="C800" s="24"/>
    </row>
    <row r="801">
      <c r="A801" s="23"/>
      <c r="B801" s="23"/>
      <c r="C801" s="24"/>
    </row>
    <row r="802">
      <c r="A802" s="23"/>
      <c r="B802" s="23"/>
      <c r="C802" s="24"/>
    </row>
    <row r="803">
      <c r="A803" s="23"/>
      <c r="B803" s="23"/>
      <c r="C803" s="24"/>
    </row>
    <row r="804">
      <c r="A804" s="23"/>
      <c r="B804" s="23"/>
      <c r="C804" s="24"/>
    </row>
    <row r="805">
      <c r="A805" s="23"/>
      <c r="B805" s="23"/>
      <c r="C805" s="24"/>
    </row>
    <row r="806">
      <c r="A806" s="23"/>
      <c r="B806" s="23"/>
      <c r="C806" s="24"/>
    </row>
    <row r="807">
      <c r="A807" s="23"/>
      <c r="B807" s="23"/>
      <c r="C807" s="24"/>
    </row>
    <row r="808">
      <c r="A808" s="23"/>
      <c r="B808" s="23"/>
      <c r="C808" s="24"/>
    </row>
    <row r="809">
      <c r="A809" s="23"/>
      <c r="B809" s="23"/>
      <c r="C809" s="24"/>
    </row>
    <row r="810">
      <c r="A810" s="23"/>
      <c r="B810" s="23"/>
      <c r="C810" s="24"/>
    </row>
    <row r="811">
      <c r="A811" s="23"/>
      <c r="B811" s="23"/>
      <c r="C811" s="24"/>
    </row>
    <row r="812">
      <c r="A812" s="23"/>
      <c r="B812" s="23"/>
      <c r="C812" s="24"/>
    </row>
    <row r="813">
      <c r="A813" s="23"/>
      <c r="B813" s="23"/>
      <c r="C813" s="24"/>
    </row>
    <row r="814">
      <c r="A814" s="23"/>
      <c r="B814" s="23"/>
      <c r="C814" s="24"/>
    </row>
    <row r="815">
      <c r="A815" s="23"/>
      <c r="B815" s="23"/>
      <c r="C815" s="24"/>
    </row>
    <row r="816">
      <c r="A816" s="23"/>
      <c r="B816" s="23"/>
      <c r="C816" s="24"/>
    </row>
    <row r="817">
      <c r="A817" s="23"/>
      <c r="B817" s="23"/>
      <c r="C817" s="24"/>
    </row>
    <row r="818">
      <c r="A818" s="23"/>
      <c r="B818" s="23"/>
      <c r="C818" s="24"/>
    </row>
    <row r="819">
      <c r="A819" s="23"/>
      <c r="B819" s="23"/>
      <c r="C819" s="24"/>
    </row>
    <row r="820">
      <c r="A820" s="23"/>
      <c r="B820" s="23"/>
      <c r="C820" s="24"/>
    </row>
    <row r="821">
      <c r="A821" s="23"/>
      <c r="B821" s="23"/>
      <c r="C821" s="24"/>
    </row>
    <row r="822">
      <c r="A822" s="23"/>
      <c r="B822" s="23"/>
      <c r="C822" s="24"/>
    </row>
    <row r="823">
      <c r="A823" s="23"/>
      <c r="B823" s="23"/>
      <c r="C823" s="24"/>
    </row>
    <row r="824">
      <c r="A824" s="23"/>
      <c r="B824" s="23"/>
      <c r="C824" s="24"/>
    </row>
    <row r="825">
      <c r="A825" s="23"/>
      <c r="B825" s="23"/>
      <c r="C825" s="24"/>
    </row>
    <row r="826">
      <c r="A826" s="23"/>
      <c r="B826" s="23"/>
      <c r="C826" s="24"/>
    </row>
    <row r="827">
      <c r="A827" s="23"/>
      <c r="B827" s="23"/>
      <c r="C827" s="24"/>
    </row>
    <row r="828">
      <c r="A828" s="23"/>
      <c r="B828" s="23"/>
      <c r="C828" s="24"/>
    </row>
    <row r="829">
      <c r="A829" s="23"/>
      <c r="B829" s="23"/>
      <c r="C829" s="24"/>
    </row>
    <row r="830">
      <c r="A830" s="23"/>
      <c r="B830" s="23"/>
      <c r="C830" s="24"/>
    </row>
    <row r="831">
      <c r="A831" s="23"/>
      <c r="B831" s="23"/>
      <c r="C831" s="24"/>
    </row>
    <row r="832">
      <c r="A832" s="23"/>
      <c r="B832" s="23"/>
      <c r="C832" s="24"/>
    </row>
    <row r="833">
      <c r="A833" s="23"/>
      <c r="B833" s="23"/>
      <c r="C833" s="24"/>
    </row>
    <row r="834">
      <c r="A834" s="23"/>
      <c r="B834" s="23"/>
      <c r="C834" s="24"/>
    </row>
    <row r="835">
      <c r="A835" s="23"/>
      <c r="B835" s="23"/>
      <c r="C835" s="24"/>
    </row>
    <row r="836">
      <c r="A836" s="23"/>
      <c r="B836" s="23"/>
      <c r="C836" s="24"/>
    </row>
    <row r="837">
      <c r="A837" s="23"/>
      <c r="B837" s="23"/>
      <c r="C837" s="24"/>
    </row>
    <row r="838">
      <c r="A838" s="23"/>
      <c r="B838" s="23"/>
      <c r="C838" s="24"/>
    </row>
    <row r="839">
      <c r="A839" s="23"/>
      <c r="B839" s="23"/>
      <c r="C839" s="24"/>
    </row>
    <row r="840">
      <c r="A840" s="23"/>
      <c r="B840" s="23"/>
      <c r="C840" s="24"/>
    </row>
    <row r="841">
      <c r="A841" s="23"/>
      <c r="B841" s="23"/>
      <c r="C841" s="24"/>
    </row>
    <row r="842">
      <c r="A842" s="23"/>
      <c r="B842" s="23"/>
      <c r="C842" s="24"/>
    </row>
    <row r="843">
      <c r="A843" s="23"/>
      <c r="B843" s="23"/>
      <c r="C843" s="24"/>
    </row>
    <row r="844">
      <c r="A844" s="23"/>
      <c r="B844" s="23"/>
      <c r="C844" s="24"/>
    </row>
    <row r="845">
      <c r="A845" s="23"/>
      <c r="B845" s="23"/>
      <c r="C845" s="24"/>
    </row>
    <row r="846">
      <c r="A846" s="23"/>
      <c r="B846" s="23"/>
      <c r="C846" s="24"/>
    </row>
    <row r="847">
      <c r="A847" s="23"/>
      <c r="B847" s="23"/>
      <c r="C847" s="24"/>
    </row>
    <row r="848">
      <c r="A848" s="23"/>
      <c r="B848" s="23"/>
      <c r="C848" s="24"/>
    </row>
    <row r="849">
      <c r="A849" s="23"/>
      <c r="B849" s="23"/>
      <c r="C849" s="24"/>
    </row>
    <row r="850">
      <c r="A850" s="23"/>
      <c r="B850" s="23"/>
      <c r="C850" s="24"/>
    </row>
    <row r="851">
      <c r="A851" s="23"/>
      <c r="B851" s="23"/>
      <c r="C851" s="24"/>
    </row>
    <row r="852">
      <c r="A852" s="23"/>
      <c r="B852" s="23"/>
      <c r="C852" s="24"/>
    </row>
    <row r="853">
      <c r="A853" s="23"/>
      <c r="B853" s="23"/>
      <c r="C853" s="24"/>
    </row>
    <row r="854">
      <c r="A854" s="23"/>
      <c r="B854" s="23"/>
      <c r="C854" s="24"/>
    </row>
    <row r="855">
      <c r="A855" s="23"/>
      <c r="B855" s="23"/>
      <c r="C855" s="24"/>
    </row>
    <row r="856">
      <c r="A856" s="23"/>
      <c r="B856" s="23"/>
      <c r="C856" s="24"/>
    </row>
    <row r="857">
      <c r="A857" s="23"/>
      <c r="B857" s="23"/>
      <c r="C857" s="24"/>
    </row>
    <row r="858">
      <c r="A858" s="23"/>
      <c r="B858" s="23"/>
      <c r="C858" s="24"/>
    </row>
    <row r="859">
      <c r="A859" s="23"/>
      <c r="B859" s="23"/>
      <c r="C859" s="24"/>
    </row>
    <row r="860">
      <c r="A860" s="23"/>
      <c r="B860" s="23"/>
      <c r="C860" s="24"/>
    </row>
    <row r="861">
      <c r="A861" s="23"/>
      <c r="B861" s="23"/>
      <c r="C861" s="24"/>
    </row>
    <row r="862">
      <c r="A862" s="23"/>
      <c r="B862" s="23"/>
      <c r="C862" s="24"/>
    </row>
    <row r="863">
      <c r="A863" s="23"/>
      <c r="B863" s="23"/>
      <c r="C863" s="24"/>
    </row>
    <row r="864">
      <c r="A864" s="23"/>
      <c r="B864" s="23"/>
      <c r="C864" s="24"/>
    </row>
    <row r="865">
      <c r="A865" s="23"/>
      <c r="B865" s="23"/>
      <c r="C865" s="24"/>
    </row>
    <row r="866">
      <c r="A866" s="23"/>
      <c r="B866" s="23"/>
      <c r="C866" s="24"/>
    </row>
    <row r="867">
      <c r="A867" s="23"/>
      <c r="B867" s="23"/>
      <c r="C867" s="24"/>
    </row>
    <row r="868">
      <c r="A868" s="23"/>
      <c r="B868" s="23"/>
      <c r="C868" s="24"/>
    </row>
    <row r="869">
      <c r="A869" s="23"/>
      <c r="B869" s="23"/>
      <c r="C869" s="24"/>
    </row>
    <row r="870">
      <c r="A870" s="23"/>
      <c r="B870" s="23"/>
      <c r="C870" s="24"/>
    </row>
    <row r="871">
      <c r="A871" s="23"/>
      <c r="B871" s="23"/>
      <c r="C871" s="24"/>
    </row>
    <row r="872">
      <c r="A872" s="23"/>
      <c r="B872" s="23"/>
      <c r="C872" s="24"/>
    </row>
    <row r="873">
      <c r="A873" s="23"/>
      <c r="B873" s="23"/>
      <c r="C873" s="24"/>
    </row>
    <row r="874">
      <c r="A874" s="23"/>
      <c r="B874" s="23"/>
      <c r="C874" s="24"/>
    </row>
    <row r="875">
      <c r="A875" s="23"/>
      <c r="B875" s="23"/>
      <c r="C875" s="24"/>
    </row>
    <row r="876">
      <c r="A876" s="23"/>
      <c r="B876" s="23"/>
      <c r="C876" s="24"/>
    </row>
    <row r="877">
      <c r="A877" s="23"/>
      <c r="B877" s="23"/>
      <c r="C877" s="24"/>
    </row>
    <row r="878">
      <c r="A878" s="23"/>
      <c r="B878" s="23"/>
      <c r="C878" s="24"/>
    </row>
    <row r="879">
      <c r="A879" s="23"/>
      <c r="B879" s="23"/>
      <c r="C879" s="24"/>
    </row>
    <row r="880">
      <c r="A880" s="23"/>
      <c r="B880" s="23"/>
      <c r="C880" s="24"/>
    </row>
    <row r="881">
      <c r="A881" s="23"/>
      <c r="B881" s="23"/>
      <c r="C881" s="24"/>
    </row>
    <row r="882">
      <c r="A882" s="23"/>
      <c r="B882" s="23"/>
      <c r="C882" s="24"/>
    </row>
    <row r="883">
      <c r="A883" s="23"/>
      <c r="B883" s="23"/>
      <c r="C883" s="24"/>
    </row>
    <row r="884">
      <c r="A884" s="23"/>
      <c r="B884" s="23"/>
      <c r="C884" s="24"/>
    </row>
    <row r="885">
      <c r="A885" s="23"/>
      <c r="B885" s="23"/>
      <c r="C885" s="24"/>
    </row>
    <row r="886">
      <c r="A886" s="23"/>
      <c r="B886" s="23"/>
      <c r="C886" s="24"/>
    </row>
    <row r="887">
      <c r="A887" s="23"/>
      <c r="B887" s="23"/>
      <c r="C887" s="24"/>
    </row>
    <row r="888">
      <c r="A888" s="23"/>
      <c r="B888" s="23"/>
      <c r="C888" s="24"/>
    </row>
    <row r="889">
      <c r="A889" s="23"/>
      <c r="B889" s="23"/>
      <c r="C889" s="24"/>
    </row>
    <row r="890">
      <c r="A890" s="23"/>
      <c r="B890" s="23"/>
      <c r="C890" s="24"/>
    </row>
    <row r="891">
      <c r="A891" s="23"/>
      <c r="B891" s="23"/>
      <c r="C891" s="24"/>
    </row>
    <row r="892">
      <c r="A892" s="23"/>
      <c r="B892" s="23"/>
      <c r="C892" s="24"/>
    </row>
    <row r="893">
      <c r="A893" s="23"/>
      <c r="B893" s="23"/>
      <c r="C893" s="24"/>
    </row>
    <row r="894">
      <c r="A894" s="23"/>
      <c r="B894" s="23"/>
      <c r="C894" s="24"/>
    </row>
    <row r="895">
      <c r="A895" s="23"/>
      <c r="B895" s="23"/>
      <c r="C895" s="24"/>
    </row>
    <row r="896">
      <c r="A896" s="23"/>
      <c r="B896" s="23"/>
      <c r="C896" s="24"/>
    </row>
    <row r="897">
      <c r="A897" s="23"/>
      <c r="B897" s="23"/>
      <c r="C897" s="24"/>
    </row>
    <row r="898">
      <c r="A898" s="23"/>
      <c r="B898" s="23"/>
      <c r="C898" s="24"/>
    </row>
    <row r="899">
      <c r="A899" s="23"/>
      <c r="B899" s="23"/>
      <c r="C899" s="24"/>
    </row>
    <row r="900">
      <c r="A900" s="23"/>
      <c r="B900" s="23"/>
      <c r="C900" s="24"/>
    </row>
    <row r="901">
      <c r="A901" s="23"/>
      <c r="B901" s="23"/>
      <c r="C901" s="24"/>
    </row>
    <row r="902">
      <c r="A902" s="23"/>
      <c r="B902" s="23"/>
      <c r="C902" s="24"/>
    </row>
    <row r="903">
      <c r="A903" s="23"/>
      <c r="B903" s="23"/>
      <c r="C903" s="24"/>
    </row>
    <row r="904">
      <c r="A904" s="23"/>
      <c r="B904" s="23"/>
      <c r="C904" s="24"/>
    </row>
    <row r="905">
      <c r="A905" s="23"/>
      <c r="B905" s="23"/>
      <c r="C905" s="24"/>
    </row>
    <row r="906">
      <c r="A906" s="23"/>
      <c r="B906" s="23"/>
      <c r="C906" s="24"/>
    </row>
    <row r="907">
      <c r="A907" s="23"/>
      <c r="B907" s="23"/>
      <c r="C907" s="24"/>
    </row>
    <row r="908">
      <c r="A908" s="23"/>
      <c r="B908" s="23"/>
      <c r="C908" s="24"/>
    </row>
    <row r="909">
      <c r="A909" s="23"/>
      <c r="B909" s="23"/>
      <c r="C909" s="24"/>
    </row>
    <row r="910">
      <c r="A910" s="23"/>
      <c r="B910" s="23"/>
      <c r="C910" s="24"/>
    </row>
    <row r="911">
      <c r="A911" s="23"/>
      <c r="B911" s="23"/>
      <c r="C911" s="24"/>
    </row>
    <row r="912">
      <c r="A912" s="23"/>
      <c r="B912" s="23"/>
      <c r="C912" s="24"/>
    </row>
    <row r="913">
      <c r="A913" s="23"/>
      <c r="B913" s="23"/>
      <c r="C913" s="24"/>
    </row>
    <row r="914">
      <c r="A914" s="23"/>
      <c r="B914" s="23"/>
      <c r="C914" s="24"/>
    </row>
    <row r="915">
      <c r="A915" s="23"/>
      <c r="B915" s="23"/>
      <c r="C915" s="24"/>
    </row>
    <row r="916">
      <c r="A916" s="23"/>
      <c r="B916" s="23"/>
      <c r="C916" s="24"/>
    </row>
    <row r="917">
      <c r="A917" s="23"/>
      <c r="B917" s="23"/>
      <c r="C917" s="24"/>
    </row>
    <row r="918">
      <c r="A918" s="23"/>
      <c r="B918" s="23"/>
      <c r="C918" s="24"/>
    </row>
    <row r="919">
      <c r="A919" s="23"/>
      <c r="B919" s="23"/>
      <c r="C919" s="24"/>
    </row>
    <row r="920">
      <c r="A920" s="23"/>
      <c r="B920" s="23"/>
      <c r="C920" s="24"/>
    </row>
    <row r="921">
      <c r="A921" s="23"/>
      <c r="B921" s="23"/>
      <c r="C921" s="24"/>
    </row>
    <row r="922">
      <c r="A922" s="23"/>
      <c r="B922" s="23"/>
      <c r="C922" s="24"/>
    </row>
    <row r="923">
      <c r="A923" s="23"/>
      <c r="B923" s="23"/>
      <c r="C923" s="24"/>
    </row>
    <row r="924">
      <c r="A924" s="23"/>
      <c r="B924" s="23"/>
      <c r="C924" s="24"/>
    </row>
    <row r="925">
      <c r="A925" s="23"/>
      <c r="B925" s="23"/>
      <c r="C925" s="24"/>
    </row>
    <row r="926">
      <c r="A926" s="23"/>
      <c r="B926" s="23"/>
      <c r="C926" s="24"/>
    </row>
    <row r="927">
      <c r="A927" s="23"/>
      <c r="B927" s="23"/>
      <c r="C927" s="24"/>
    </row>
    <row r="928">
      <c r="A928" s="23"/>
      <c r="B928" s="23"/>
      <c r="C928" s="24"/>
    </row>
    <row r="929">
      <c r="A929" s="23"/>
      <c r="B929" s="23"/>
      <c r="C929" s="24"/>
    </row>
    <row r="930">
      <c r="A930" s="23"/>
      <c r="B930" s="23"/>
      <c r="C930" s="24"/>
    </row>
    <row r="931">
      <c r="A931" s="23"/>
      <c r="B931" s="23"/>
      <c r="C931" s="24"/>
    </row>
    <row r="932">
      <c r="A932" s="23"/>
      <c r="B932" s="23"/>
      <c r="C932" s="24"/>
    </row>
    <row r="933">
      <c r="A933" s="23"/>
      <c r="B933" s="23"/>
      <c r="C933" s="24"/>
    </row>
    <row r="934">
      <c r="A934" s="23"/>
      <c r="B934" s="23"/>
      <c r="C934" s="24"/>
    </row>
    <row r="935">
      <c r="A935" s="23"/>
      <c r="B935" s="23"/>
      <c r="C935" s="24"/>
    </row>
    <row r="936">
      <c r="A936" s="23"/>
      <c r="B936" s="23"/>
      <c r="C936" s="24"/>
    </row>
    <row r="937">
      <c r="A937" s="23"/>
      <c r="B937" s="23"/>
      <c r="C937" s="24"/>
    </row>
    <row r="938">
      <c r="A938" s="23"/>
      <c r="B938" s="23"/>
      <c r="C938" s="24"/>
    </row>
    <row r="939">
      <c r="A939" s="23"/>
      <c r="B939" s="23"/>
      <c r="C939" s="24"/>
    </row>
    <row r="940">
      <c r="A940" s="23"/>
      <c r="B940" s="23"/>
      <c r="C940" s="24"/>
    </row>
    <row r="941">
      <c r="A941" s="23"/>
      <c r="B941" s="23"/>
      <c r="C941" s="24"/>
    </row>
    <row r="942">
      <c r="A942" s="23"/>
      <c r="B942" s="23"/>
      <c r="C942" s="24"/>
    </row>
    <row r="943">
      <c r="A943" s="23"/>
      <c r="B943" s="23"/>
      <c r="C943" s="24"/>
    </row>
    <row r="944">
      <c r="A944" s="23"/>
      <c r="B944" s="23"/>
      <c r="C944" s="24"/>
    </row>
    <row r="945">
      <c r="A945" s="23"/>
      <c r="B945" s="23"/>
      <c r="C945" s="24"/>
    </row>
    <row r="946">
      <c r="A946" s="23"/>
      <c r="B946" s="23"/>
      <c r="C946" s="24"/>
    </row>
    <row r="947">
      <c r="A947" s="23"/>
      <c r="B947" s="23"/>
      <c r="C947" s="24"/>
    </row>
    <row r="948">
      <c r="A948" s="23"/>
      <c r="B948" s="23"/>
      <c r="C948" s="24"/>
    </row>
    <row r="949">
      <c r="A949" s="23"/>
      <c r="B949" s="23"/>
      <c r="C949" s="24"/>
    </row>
    <row r="950">
      <c r="A950" s="23"/>
      <c r="B950" s="23"/>
      <c r="C950" s="24"/>
    </row>
    <row r="951">
      <c r="A951" s="23"/>
      <c r="B951" s="23"/>
      <c r="C951" s="24"/>
    </row>
    <row r="952">
      <c r="A952" s="23"/>
      <c r="B952" s="23"/>
      <c r="C952" s="24"/>
    </row>
    <row r="953">
      <c r="A953" s="23"/>
      <c r="B953" s="23"/>
      <c r="C953" s="24"/>
    </row>
    <row r="954">
      <c r="A954" s="23"/>
      <c r="B954" s="23"/>
      <c r="C954" s="24"/>
    </row>
    <row r="955">
      <c r="A955" s="23"/>
      <c r="B955" s="23"/>
      <c r="C955" s="24"/>
    </row>
    <row r="956">
      <c r="A956" s="23"/>
      <c r="B956" s="23"/>
      <c r="C956" s="24"/>
    </row>
    <row r="957">
      <c r="A957" s="23"/>
      <c r="B957" s="23"/>
      <c r="C957" s="24"/>
    </row>
    <row r="958">
      <c r="A958" s="23"/>
      <c r="B958" s="23"/>
      <c r="C958" s="24"/>
    </row>
    <row r="959">
      <c r="A959" s="23"/>
      <c r="B959" s="23"/>
      <c r="C959" s="24"/>
    </row>
    <row r="960">
      <c r="A960" s="23"/>
      <c r="B960" s="23"/>
      <c r="C960" s="24"/>
    </row>
    <row r="961">
      <c r="A961" s="23"/>
      <c r="B961" s="23"/>
      <c r="C961" s="24"/>
    </row>
    <row r="962">
      <c r="A962" s="23"/>
      <c r="B962" s="23"/>
      <c r="C962" s="24"/>
    </row>
    <row r="963">
      <c r="A963" s="23"/>
      <c r="B963" s="23"/>
      <c r="C963" s="24"/>
    </row>
    <row r="964">
      <c r="A964" s="23"/>
      <c r="B964" s="23"/>
      <c r="C964" s="24"/>
    </row>
    <row r="965">
      <c r="A965" s="23"/>
      <c r="B965" s="23"/>
      <c r="C965" s="24"/>
    </row>
    <row r="966">
      <c r="A966" s="23"/>
      <c r="B966" s="23"/>
      <c r="C966" s="24"/>
    </row>
    <row r="967">
      <c r="A967" s="23"/>
      <c r="B967" s="23"/>
      <c r="C967" s="24"/>
    </row>
    <row r="968">
      <c r="A968" s="23"/>
      <c r="B968" s="23"/>
      <c r="C968" s="24"/>
    </row>
    <row r="969">
      <c r="A969" s="23"/>
      <c r="B969" s="23"/>
      <c r="C969" s="24"/>
    </row>
    <row r="970">
      <c r="A970" s="23"/>
      <c r="B970" s="23"/>
      <c r="C970" s="24"/>
    </row>
    <row r="971">
      <c r="A971" s="23"/>
      <c r="B971" s="23"/>
      <c r="C971" s="24"/>
    </row>
    <row r="972">
      <c r="A972" s="23"/>
      <c r="B972" s="23"/>
      <c r="C972" s="24"/>
    </row>
    <row r="973">
      <c r="A973" s="23"/>
      <c r="B973" s="23"/>
      <c r="C973" s="24"/>
    </row>
    <row r="974">
      <c r="A974" s="23"/>
      <c r="B974" s="23"/>
      <c r="C974" s="24"/>
    </row>
    <row r="975">
      <c r="A975" s="23"/>
      <c r="B975" s="23"/>
      <c r="C975" s="24"/>
    </row>
    <row r="976">
      <c r="A976" s="23"/>
      <c r="B976" s="23"/>
      <c r="C976" s="24"/>
    </row>
    <row r="977">
      <c r="A977" s="23"/>
      <c r="B977" s="23"/>
      <c r="C977" s="24"/>
    </row>
    <row r="978">
      <c r="A978" s="23"/>
      <c r="B978" s="23"/>
      <c r="C978" s="24"/>
    </row>
    <row r="979">
      <c r="A979" s="23"/>
      <c r="B979" s="23"/>
      <c r="C979" s="24"/>
    </row>
    <row r="980">
      <c r="A980" s="23"/>
      <c r="B980" s="23"/>
      <c r="C980" s="24"/>
    </row>
    <row r="981">
      <c r="A981" s="23"/>
      <c r="B981" s="23"/>
      <c r="C981" s="24"/>
    </row>
    <row r="982">
      <c r="A982" s="23"/>
      <c r="B982" s="23"/>
      <c r="C982" s="24"/>
    </row>
    <row r="983">
      <c r="A983" s="23"/>
      <c r="B983" s="23"/>
      <c r="C983" s="24"/>
    </row>
    <row r="984">
      <c r="A984" s="23"/>
      <c r="B984" s="23"/>
      <c r="C984" s="24"/>
    </row>
    <row r="985">
      <c r="A985" s="23"/>
      <c r="B985" s="23"/>
      <c r="C985" s="24"/>
    </row>
    <row r="986">
      <c r="A986" s="23"/>
      <c r="B986" s="23"/>
      <c r="C986" s="24"/>
    </row>
    <row r="987">
      <c r="A987" s="23"/>
      <c r="B987" s="23"/>
      <c r="C987" s="24"/>
    </row>
    <row r="988">
      <c r="A988" s="23"/>
      <c r="B988" s="23"/>
      <c r="C988" s="24"/>
    </row>
    <row r="989">
      <c r="A989" s="23"/>
      <c r="B989" s="23"/>
      <c r="C989" s="24"/>
    </row>
    <row r="990">
      <c r="A990" s="23"/>
      <c r="B990" s="23"/>
      <c r="C990" s="24"/>
    </row>
    <row r="991">
      <c r="A991" s="23"/>
      <c r="B991" s="23"/>
      <c r="C991" s="24"/>
    </row>
    <row r="992">
      <c r="A992" s="23"/>
      <c r="B992" s="23"/>
      <c r="C992" s="24"/>
    </row>
    <row r="993">
      <c r="A993" s="23"/>
      <c r="B993" s="23"/>
      <c r="C993" s="24"/>
    </row>
    <row r="994">
      <c r="A994" s="23"/>
      <c r="B994" s="23"/>
      <c r="C994" s="24"/>
    </row>
    <row r="995">
      <c r="A995" s="23"/>
      <c r="B995" s="23"/>
      <c r="C995" s="24"/>
    </row>
    <row r="996">
      <c r="A996" s="23"/>
      <c r="B996" s="23"/>
      <c r="C996" s="24"/>
    </row>
    <row r="997">
      <c r="A997" s="23"/>
      <c r="B997" s="23"/>
      <c r="C997" s="24"/>
    </row>
    <row r="998">
      <c r="A998" s="23"/>
      <c r="B998" s="23"/>
      <c r="C998" s="24"/>
    </row>
    <row r="999">
      <c r="A999" s="23"/>
      <c r="B999" s="23"/>
      <c r="C999" s="24"/>
    </row>
    <row r="1000">
      <c r="A1000" s="23"/>
      <c r="B1000" s="23"/>
      <c r="C1000" s="24"/>
    </row>
  </sheetData>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13"/>
    <col customWidth="1" min="2" max="2" width="21.88"/>
    <col customWidth="1" min="3" max="3" width="18.63"/>
    <col customWidth="1" min="4" max="4" width="15.75"/>
  </cols>
  <sheetData>
    <row r="1">
      <c r="A1" s="2" t="str">
        <f>IFERROR(__xludf.DUMMYFUNCTION("IMPORTHTML(""https://fr.wikipedia.org/wiki/Grand_Chelem_(tennis)"",""table"",4)"),"#")</f>
        <v>#</v>
      </c>
      <c r="B1" s="2" t="str">
        <f>IFERROR(__xludf.DUMMYFUNCTION("""COMPUTED_VALUE"""),"Athlète")</f>
        <v>Athlète</v>
      </c>
      <c r="C1" s="2" t="str">
        <f>IFERROR(__xludf.DUMMYFUNCTION("""COMPUTED_VALUE"""),"Âge")</f>
        <v>Âge</v>
      </c>
      <c r="D1" s="2" t="str">
        <f>IFERROR(__xludf.DUMMYFUNCTION("""COMPUTED_VALUE"""),"Open d'Australie")</f>
        <v>Open d'Australie</v>
      </c>
      <c r="E1" s="2" t="str">
        <f>IFERROR(__xludf.DUMMYFUNCTION("""COMPUTED_VALUE"""),"Roland-Garros")</f>
        <v>Roland-Garros</v>
      </c>
      <c r="F1" s="2" t="str">
        <f>IFERROR(__xludf.DUMMYFUNCTION("""COMPUTED_VALUE"""),"Wimbledon")</f>
        <v>Wimbledon</v>
      </c>
      <c r="G1" s="2" t="str">
        <f>IFERROR(__xludf.DUMMYFUNCTION("""COMPUTED_VALUE"""),"US Open")</f>
        <v>US Open</v>
      </c>
    </row>
    <row r="2">
      <c r="A2" s="2">
        <f>IFERROR(__xludf.DUMMYFUNCTION("""COMPUTED_VALUE"""),1.0)</f>
        <v>1</v>
      </c>
      <c r="B2" s="2" t="str">
        <f>IFERROR(__xludf.DUMMYFUNCTION("""COMPUTED_VALUE"""),"Adrian Quist")</f>
        <v>Adrian Quist</v>
      </c>
      <c r="C2" s="2">
        <f>IFERROR(__xludf.DUMMYFUNCTION("""COMPUTED_VALUE"""),26.0)</f>
        <v>26</v>
      </c>
      <c r="D2" s="2">
        <f>IFERROR(__xludf.DUMMYFUNCTION("""COMPUTED_VALUE"""),1936.0)</f>
        <v>1936</v>
      </c>
      <c r="E2" s="2">
        <f>IFERROR(__xludf.DUMMYFUNCTION("""COMPUTED_VALUE"""),1935.0)</f>
        <v>1935</v>
      </c>
      <c r="F2" s="2">
        <f>IFERROR(__xludf.DUMMYFUNCTION("""COMPUTED_VALUE"""),1935.0)</f>
        <v>1935</v>
      </c>
      <c r="G2" s="2" t="str">
        <f>IFERROR(__xludf.DUMMYFUNCTION("""COMPUTED_VALUE"""),"*1939*")</f>
        <v>*1939*</v>
      </c>
    </row>
    <row r="3">
      <c r="A3" s="2">
        <f>IFERROR(__xludf.DUMMYFUNCTION("""COMPUTED_VALUE"""),2.0)</f>
        <v>2</v>
      </c>
      <c r="B3" s="2" t="str">
        <f>IFERROR(__xludf.DUMMYFUNCTION("""COMPUTED_VALUE"""),"Frank Sedgman")</f>
        <v>Frank Sedgman</v>
      </c>
      <c r="C3" s="2">
        <f>IFERROR(__xludf.DUMMYFUNCTION("""COMPUTED_VALUE"""),23.0)</f>
        <v>23</v>
      </c>
      <c r="D3" s="2">
        <f>IFERROR(__xludf.DUMMYFUNCTION("""COMPUTED_VALUE"""),1951.0)</f>
        <v>1951</v>
      </c>
      <c r="E3" s="2" t="str">
        <f>IFERROR(__xludf.DUMMYFUNCTION("""COMPUTED_VALUE"""),"*1951*")</f>
        <v>*1951*</v>
      </c>
      <c r="F3" s="2">
        <f>IFERROR(__xludf.DUMMYFUNCTION("""COMPUTED_VALUE"""),1948.0)</f>
        <v>1948</v>
      </c>
      <c r="G3" s="2">
        <f>IFERROR(__xludf.DUMMYFUNCTION("""COMPUTED_VALUE"""),1950.0)</f>
        <v>1950</v>
      </c>
    </row>
    <row r="4">
      <c r="A4" s="2">
        <f>IFERROR(__xludf.DUMMYFUNCTION("""COMPUTED_VALUE"""),3.0)</f>
        <v>3</v>
      </c>
      <c r="B4" s="2" t="str">
        <f>IFERROR(__xludf.DUMMYFUNCTION("""COMPUTED_VALUE"""),"Ken McGregor")</f>
        <v>Ken McGregor</v>
      </c>
      <c r="C4" s="2">
        <f>IFERROR(__xludf.DUMMYFUNCTION("""COMPUTED_VALUE"""),22.0)</f>
        <v>22</v>
      </c>
      <c r="D4" s="2">
        <f>IFERROR(__xludf.DUMMYFUNCTION("""COMPUTED_VALUE"""),1951.0)</f>
        <v>1951</v>
      </c>
      <c r="E4" s="2">
        <f>IFERROR(__xludf.DUMMYFUNCTION("""COMPUTED_VALUE"""),1951.0)</f>
        <v>1951</v>
      </c>
      <c r="F4" s="2">
        <f>IFERROR(__xludf.DUMMYFUNCTION("""COMPUTED_VALUE"""),1951.0)</f>
        <v>1951</v>
      </c>
      <c r="G4" s="2" t="str">
        <f>IFERROR(__xludf.DUMMYFUNCTION("""COMPUTED_VALUE"""),"*1951*")</f>
        <v>*1951*</v>
      </c>
    </row>
    <row r="5">
      <c r="A5" s="2">
        <f>IFERROR(__xludf.DUMMYFUNCTION("""COMPUTED_VALUE"""),4.0)</f>
        <v>4</v>
      </c>
      <c r="B5" s="2" t="str">
        <f>IFERROR(__xludf.DUMMYFUNCTION("""COMPUTED_VALUE"""),"Lew Hoad")</f>
        <v>Lew Hoad</v>
      </c>
      <c r="C5" s="2">
        <f>IFERROR(__xludf.DUMMYFUNCTION("""COMPUTED_VALUE"""),21.0)</f>
        <v>21</v>
      </c>
      <c r="D5" s="2">
        <f>IFERROR(__xludf.DUMMYFUNCTION("""COMPUTED_VALUE"""),1953.0)</f>
        <v>1953</v>
      </c>
      <c r="E5" s="2">
        <f>IFERROR(__xludf.DUMMYFUNCTION("""COMPUTED_VALUE"""),1953.0)</f>
        <v>1953</v>
      </c>
      <c r="F5" s="2">
        <f>IFERROR(__xludf.DUMMYFUNCTION("""COMPUTED_VALUE"""),1953.0)</f>
        <v>1953</v>
      </c>
      <c r="G5" s="2" t="str">
        <f>IFERROR(__xludf.DUMMYFUNCTION("""COMPUTED_VALUE"""),"*1956*")</f>
        <v>*1956*</v>
      </c>
    </row>
    <row r="6">
      <c r="A6" s="2"/>
      <c r="B6" s="2" t="str">
        <f>IFERROR(__xludf.DUMMYFUNCTION("""COMPUTED_VALUE"""),"Ken Rosewall")</f>
        <v>Ken Rosewall</v>
      </c>
      <c r="C6" s="2">
        <f>IFERROR(__xludf.DUMMYFUNCTION("""COMPUTED_VALUE"""),21.0)</f>
        <v>21</v>
      </c>
      <c r="D6" s="2">
        <f>IFERROR(__xludf.DUMMYFUNCTION("""COMPUTED_VALUE"""),1953.0)</f>
        <v>1953</v>
      </c>
      <c r="E6" s="2">
        <f>IFERROR(__xludf.DUMMYFUNCTION("""COMPUTED_VALUE"""),1953.0)</f>
        <v>1953</v>
      </c>
      <c r="F6" s="2">
        <f>IFERROR(__xludf.DUMMYFUNCTION("""COMPUTED_VALUE"""),1953.0)</f>
        <v>1953</v>
      </c>
      <c r="G6" s="2" t="str">
        <f>IFERROR(__xludf.DUMMYFUNCTION("""COMPUTED_VALUE"""),"*1956*")</f>
        <v>*1956*</v>
      </c>
    </row>
    <row r="7">
      <c r="A7" s="2">
        <f>IFERROR(__xludf.DUMMYFUNCTION("""COMPUTED_VALUE"""),6.0)</f>
        <v>6</v>
      </c>
      <c r="B7" s="2" t="str">
        <f>IFERROR(__xludf.DUMMYFUNCTION("""COMPUTED_VALUE"""),"Neale Fraser")</f>
        <v>Neale Fraser</v>
      </c>
      <c r="C7" s="2">
        <f>IFERROR(__xludf.DUMMYFUNCTION("""COMPUTED_VALUE"""),25.0)</f>
        <v>25</v>
      </c>
      <c r="D7" s="2">
        <f>IFERROR(__xludf.DUMMYFUNCTION("""COMPUTED_VALUE"""),1957.0)</f>
        <v>1957</v>
      </c>
      <c r="E7" s="2">
        <f>IFERROR(__xludf.DUMMYFUNCTION("""COMPUTED_VALUE"""),1958.0)</f>
        <v>1958</v>
      </c>
      <c r="F7" s="2" t="str">
        <f>IFERROR(__xludf.DUMMYFUNCTION("""COMPUTED_VALUE"""),"*1959*")</f>
        <v>*1959*</v>
      </c>
      <c r="G7" s="2">
        <f>IFERROR(__xludf.DUMMYFUNCTION("""COMPUTED_VALUE"""),1957.0)</f>
        <v>1957</v>
      </c>
    </row>
    <row r="8">
      <c r="A8" s="1">
        <f>IFERROR(__xludf.DUMMYFUNCTION("""COMPUTED_VALUE"""),7.0)</f>
        <v>7</v>
      </c>
      <c r="B8" s="2" t="str">
        <f>IFERROR(__xludf.DUMMYFUNCTION("""COMPUTED_VALUE"""),"Roy Emerson")</f>
        <v>Roy Emerson</v>
      </c>
      <c r="C8" s="2">
        <f>IFERROR(__xludf.DUMMYFUNCTION("""COMPUTED_VALUE"""),25.0)</f>
        <v>25</v>
      </c>
      <c r="D8" s="2" t="str">
        <f>IFERROR(__xludf.DUMMYFUNCTION("""COMPUTED_VALUE"""),"*1962*")</f>
        <v>*1962*</v>
      </c>
      <c r="E8" s="2">
        <f>IFERROR(__xludf.DUMMYFUNCTION("""COMPUTED_VALUE"""),1960.0)</f>
        <v>1960</v>
      </c>
      <c r="F8" s="2">
        <f>IFERROR(__xludf.DUMMYFUNCTION("""COMPUTED_VALUE"""),1959.0)</f>
        <v>1959</v>
      </c>
      <c r="G8" s="2">
        <f>IFERROR(__xludf.DUMMYFUNCTION("""COMPUTED_VALUE"""),1959.0)</f>
        <v>1959</v>
      </c>
    </row>
    <row r="9">
      <c r="A9" s="2">
        <f>IFERROR(__xludf.DUMMYFUNCTION("""COMPUTED_VALUE"""),8.0)</f>
        <v>8</v>
      </c>
      <c r="B9" s="2" t="str">
        <f>IFERROR(__xludf.DUMMYFUNCTION("""COMPUTED_VALUE"""),"Fred Stolle")</f>
        <v>Fred Stolle</v>
      </c>
      <c r="C9" s="2">
        <f>IFERROR(__xludf.DUMMYFUNCTION("""COMPUTED_VALUE"""),26.0)</f>
        <v>26</v>
      </c>
      <c r="D9" s="2">
        <f>IFERROR(__xludf.DUMMYFUNCTION("""COMPUTED_VALUE"""),1963.0)</f>
        <v>1963</v>
      </c>
      <c r="E9" s="2">
        <f>IFERROR(__xludf.DUMMYFUNCTION("""COMPUTED_VALUE"""),1965.0)</f>
        <v>1965</v>
      </c>
      <c r="F9" s="2">
        <f>IFERROR(__xludf.DUMMYFUNCTION("""COMPUTED_VALUE"""),1962.0)</f>
        <v>1962</v>
      </c>
      <c r="G9" s="2" t="str">
        <f>IFERROR(__xludf.DUMMYFUNCTION("""COMPUTED_VALUE"""),"*1965*")</f>
        <v>*1965*</v>
      </c>
    </row>
    <row r="10">
      <c r="A10" s="2">
        <f>IFERROR(__xludf.DUMMYFUNCTION("""COMPUTED_VALUE"""),9.0)</f>
        <v>9</v>
      </c>
      <c r="B10" s="2" t="str">
        <f>IFERROR(__xludf.DUMMYFUNCTION("""COMPUTED_VALUE"""),"John Newcombe")</f>
        <v>John Newcombe</v>
      </c>
      <c r="C10" s="2">
        <f>IFERROR(__xludf.DUMMYFUNCTION("""COMPUTED_VALUE"""),23.0)</f>
        <v>23</v>
      </c>
      <c r="D10" s="2">
        <f>IFERROR(__xludf.DUMMYFUNCTION("""COMPUTED_VALUE"""),1965.0)</f>
        <v>1965</v>
      </c>
      <c r="E10" s="2">
        <f>IFERROR(__xludf.DUMMYFUNCTION("""COMPUTED_VALUE"""),1967.0)</f>
        <v>1967</v>
      </c>
      <c r="F10" s="2">
        <f>IFERROR(__xludf.DUMMYFUNCTION("""COMPUTED_VALUE"""),1965.0)</f>
        <v>1965</v>
      </c>
      <c r="G10" s="2" t="str">
        <f>IFERROR(__xludf.DUMMYFUNCTION("""COMPUTED_VALUE"""),"*1967*")</f>
        <v>*1967*</v>
      </c>
    </row>
    <row r="11">
      <c r="A11" s="2"/>
      <c r="B11" s="2" t="str">
        <f>IFERROR(__xludf.DUMMYFUNCTION("""COMPUTED_VALUE"""),"Tony Roche")</f>
        <v>Tony Roche</v>
      </c>
      <c r="C11" s="2">
        <f>IFERROR(__xludf.DUMMYFUNCTION("""COMPUTED_VALUE"""),22.0)</f>
        <v>22</v>
      </c>
      <c r="D11" s="2">
        <f>IFERROR(__xludf.DUMMYFUNCTION("""COMPUTED_VALUE"""),1965.0)</f>
        <v>1965</v>
      </c>
      <c r="E11" s="2">
        <f>IFERROR(__xludf.DUMMYFUNCTION("""COMPUTED_VALUE"""),1967.0)</f>
        <v>1967</v>
      </c>
      <c r="F11" s="2">
        <f>IFERROR(__xludf.DUMMYFUNCTION("""COMPUTED_VALUE"""),1965.0)</f>
        <v>1965</v>
      </c>
      <c r="G11" s="2" t="str">
        <f>IFERROR(__xludf.DUMMYFUNCTION("""COMPUTED_VALUE"""),"*1967*")</f>
        <v>*1967*</v>
      </c>
    </row>
    <row r="12">
      <c r="A12" s="2">
        <f>IFERROR(__xludf.DUMMYFUNCTION("""COMPUTED_VALUE"""),11.0)</f>
        <v>11</v>
      </c>
      <c r="B12" s="2" t="str">
        <f>IFERROR(__xludf.DUMMYFUNCTION("""COMPUTED_VALUE"""),"Bob Hewitt")</f>
        <v>Bob Hewitt</v>
      </c>
      <c r="C12" s="2">
        <f>IFERROR(__xludf.DUMMYFUNCTION("""COMPUTED_VALUE"""),37.0)</f>
        <v>37</v>
      </c>
      <c r="D12" s="2">
        <f>IFERROR(__xludf.DUMMYFUNCTION("""COMPUTED_VALUE"""),1963.0)</f>
        <v>1963</v>
      </c>
      <c r="E12" s="2">
        <f>IFERROR(__xludf.DUMMYFUNCTION("""COMPUTED_VALUE"""),1972.0)</f>
        <v>1972</v>
      </c>
      <c r="F12" s="2">
        <f>IFERROR(__xludf.DUMMYFUNCTION("""COMPUTED_VALUE"""),1962.0)</f>
        <v>1962</v>
      </c>
      <c r="G12" s="2" t="str">
        <f>IFERROR(__xludf.DUMMYFUNCTION("""COMPUTED_VALUE"""),"*1977*")</f>
        <v>*1977*</v>
      </c>
    </row>
    <row r="13">
      <c r="A13" s="2">
        <f>IFERROR(__xludf.DUMMYFUNCTION("""COMPUTED_VALUE"""),12.0)</f>
        <v>12</v>
      </c>
      <c r="B13" s="2" t="str">
        <f>IFERROR(__xludf.DUMMYFUNCTION("""COMPUTED_VALUE"""),"John Fitzgerald")</f>
        <v>John Fitzgerald</v>
      </c>
      <c r="C13" s="2">
        <f>IFERROR(__xludf.DUMMYFUNCTION("""COMPUTED_VALUE"""),28.0)</f>
        <v>28</v>
      </c>
      <c r="D13" s="2">
        <f>IFERROR(__xludf.DUMMYFUNCTION("""COMPUTED_VALUE"""),1982.0)</f>
        <v>1982</v>
      </c>
      <c r="E13" s="2">
        <f>IFERROR(__xludf.DUMMYFUNCTION("""COMPUTED_VALUE"""),1986.0)</f>
        <v>1986</v>
      </c>
      <c r="F13" s="2" t="str">
        <f>IFERROR(__xludf.DUMMYFUNCTION("""COMPUTED_VALUE"""),"*1989*")</f>
        <v>*1989*</v>
      </c>
      <c r="G13" s="2">
        <f>IFERROR(__xludf.DUMMYFUNCTION("""COMPUTED_VALUE"""),1984.0)</f>
        <v>1984</v>
      </c>
    </row>
    <row r="14">
      <c r="A14" s="2"/>
      <c r="B14" s="2" t="str">
        <f>IFERROR(__xludf.DUMMYFUNCTION("""COMPUTED_VALUE"""),"Anders Järryd")</f>
        <v>Anders Järryd</v>
      </c>
      <c r="C14" s="2">
        <f>IFERROR(__xludf.DUMMYFUNCTION("""COMPUTED_VALUE"""),27.0)</f>
        <v>27</v>
      </c>
      <c r="D14" s="2">
        <f>IFERROR(__xludf.DUMMYFUNCTION("""COMPUTED_VALUE"""),1987.0)</f>
        <v>1987</v>
      </c>
      <c r="E14" s="2">
        <f>IFERROR(__xludf.DUMMYFUNCTION("""COMPUTED_VALUE"""),1983.0)</f>
        <v>1983</v>
      </c>
      <c r="F14" s="2" t="str">
        <f>IFERROR(__xludf.DUMMYFUNCTION("""COMPUTED_VALUE"""),"*1989*")</f>
        <v>*1989*</v>
      </c>
      <c r="G14" s="2">
        <f>IFERROR(__xludf.DUMMYFUNCTION("""COMPUTED_VALUE"""),1987.0)</f>
        <v>1987</v>
      </c>
    </row>
    <row r="15">
      <c r="A15" s="2">
        <f>IFERROR(__xludf.DUMMYFUNCTION("""COMPUTED_VALUE"""),14.0)</f>
        <v>14</v>
      </c>
      <c r="B15" s="2" t="str">
        <f>IFERROR(__xludf.DUMMYFUNCTION("""COMPUTED_VALUE"""),"Jacco Eltingh")</f>
        <v>Jacco Eltingh</v>
      </c>
      <c r="C15" s="2">
        <f>IFERROR(__xludf.DUMMYFUNCTION("""COMPUTED_VALUE"""),27.0)</f>
        <v>27</v>
      </c>
      <c r="D15" s="2">
        <f>IFERROR(__xludf.DUMMYFUNCTION("""COMPUTED_VALUE"""),1994.0)</f>
        <v>1994</v>
      </c>
      <c r="E15" s="2">
        <f>IFERROR(__xludf.DUMMYFUNCTION("""COMPUTED_VALUE"""),1995.0)</f>
        <v>1995</v>
      </c>
      <c r="F15" s="2" t="str">
        <f>IFERROR(__xludf.DUMMYFUNCTION("""COMPUTED_VALUE"""),"*1998*")</f>
        <v>*1998*</v>
      </c>
      <c r="G15" s="2">
        <f>IFERROR(__xludf.DUMMYFUNCTION("""COMPUTED_VALUE"""),1994.0)</f>
        <v>1994</v>
      </c>
    </row>
    <row r="16">
      <c r="A16" s="2"/>
      <c r="B16" s="2" t="str">
        <f>IFERROR(__xludf.DUMMYFUNCTION("""COMPUTED_VALUE"""),"Paul Haarhuis")</f>
        <v>Paul Haarhuis</v>
      </c>
      <c r="C16" s="2">
        <f>IFERROR(__xludf.DUMMYFUNCTION("""COMPUTED_VALUE"""),32.0)</f>
        <v>32</v>
      </c>
      <c r="D16" s="2">
        <f>IFERROR(__xludf.DUMMYFUNCTION("""COMPUTED_VALUE"""),1994.0)</f>
        <v>1994</v>
      </c>
      <c r="E16" s="2">
        <f>IFERROR(__xludf.DUMMYFUNCTION("""COMPUTED_VALUE"""),1995.0)</f>
        <v>1995</v>
      </c>
      <c r="F16" s="2" t="str">
        <f>IFERROR(__xludf.DUMMYFUNCTION("""COMPUTED_VALUE"""),"*1998*")</f>
        <v>*1998*</v>
      </c>
      <c r="G16" s="2">
        <f>IFERROR(__xludf.DUMMYFUNCTION("""COMPUTED_VALUE"""),1994.0)</f>
        <v>1994</v>
      </c>
    </row>
    <row r="17">
      <c r="A17" s="2">
        <f>IFERROR(__xludf.DUMMYFUNCTION("""COMPUTED_VALUE"""),16.0)</f>
        <v>16</v>
      </c>
      <c r="B17" s="2" t="str">
        <f>IFERROR(__xludf.DUMMYFUNCTION("""COMPUTED_VALUE"""),"Todd Woodbridge")</f>
        <v>Todd Woodbridge</v>
      </c>
      <c r="C17" s="2">
        <f>IFERROR(__xludf.DUMMYFUNCTION("""COMPUTED_VALUE"""),29.0)</f>
        <v>29</v>
      </c>
      <c r="D17" s="2">
        <f>IFERROR(__xludf.DUMMYFUNCTION("""COMPUTED_VALUE"""),1992.0)</f>
        <v>1992</v>
      </c>
      <c r="E17" s="2" t="str">
        <f>IFERROR(__xludf.DUMMYFUNCTION("""COMPUTED_VALUE"""),"*2000*")</f>
        <v>*2000*</v>
      </c>
      <c r="F17" s="2">
        <f>IFERROR(__xludf.DUMMYFUNCTION("""COMPUTED_VALUE"""),1993.0)</f>
        <v>1993</v>
      </c>
      <c r="G17" s="2">
        <f>IFERROR(__xludf.DUMMYFUNCTION("""COMPUTED_VALUE"""),1995.0)</f>
        <v>1995</v>
      </c>
    </row>
    <row r="18">
      <c r="A18" s="2"/>
      <c r="B18" s="2" t="str">
        <f>IFERROR(__xludf.DUMMYFUNCTION("""COMPUTED_VALUE"""),"Mark Woodforde")</f>
        <v>Mark Woodforde</v>
      </c>
      <c r="C18" s="2">
        <f>IFERROR(__xludf.DUMMYFUNCTION("""COMPUTED_VALUE"""),34.0)</f>
        <v>34</v>
      </c>
      <c r="D18" s="2">
        <f>IFERROR(__xludf.DUMMYFUNCTION("""COMPUTED_VALUE"""),1992.0)</f>
        <v>1992</v>
      </c>
      <c r="E18" s="2" t="str">
        <f>IFERROR(__xludf.DUMMYFUNCTION("""COMPUTED_VALUE"""),"*2000*")</f>
        <v>*2000*</v>
      </c>
      <c r="F18" s="2">
        <f>IFERROR(__xludf.DUMMYFUNCTION("""COMPUTED_VALUE"""),1993.0)</f>
        <v>1993</v>
      </c>
      <c r="G18" s="2">
        <f>IFERROR(__xludf.DUMMYFUNCTION("""COMPUTED_VALUE"""),1989.0)</f>
        <v>1989</v>
      </c>
    </row>
    <row r="19">
      <c r="A19" s="2">
        <f>IFERROR(__xludf.DUMMYFUNCTION("""COMPUTED_VALUE"""),18.0)</f>
        <v>18</v>
      </c>
      <c r="B19" s="2" t="str">
        <f>IFERROR(__xludf.DUMMYFUNCTION("""COMPUTED_VALUE"""),"Jonas Björkman")</f>
        <v>Jonas Björkman</v>
      </c>
      <c r="C19" s="2">
        <f>IFERROR(__xludf.DUMMYFUNCTION("""COMPUTED_VALUE"""),32.0)</f>
        <v>32</v>
      </c>
      <c r="D19" s="2">
        <f>IFERROR(__xludf.DUMMYFUNCTION("""COMPUTED_VALUE"""),1998.0)</f>
        <v>1998</v>
      </c>
      <c r="E19" s="2" t="str">
        <f>IFERROR(__xludf.DUMMYFUNCTION("""COMPUTED_VALUE"""),"*2005*")</f>
        <v>*2005*</v>
      </c>
      <c r="F19" s="2">
        <f>IFERROR(__xludf.DUMMYFUNCTION("""COMPUTED_VALUE"""),2002.0)</f>
        <v>2002</v>
      </c>
      <c r="G19" s="2">
        <f>IFERROR(__xludf.DUMMYFUNCTION("""COMPUTED_VALUE"""),2003.0)</f>
        <v>2003</v>
      </c>
    </row>
    <row r="20">
      <c r="A20" s="2">
        <f>IFERROR(__xludf.DUMMYFUNCTION("""COMPUTED_VALUE"""),19.0)</f>
        <v>19</v>
      </c>
      <c r="B20" s="2" t="str">
        <f>IFERROR(__xludf.DUMMYFUNCTION("""COMPUTED_VALUE"""),"Bob Bryan")</f>
        <v>Bob Bryan</v>
      </c>
      <c r="C20" s="2">
        <f>IFERROR(__xludf.DUMMYFUNCTION("""COMPUTED_VALUE"""),28.0)</f>
        <v>28</v>
      </c>
      <c r="D20" s="2">
        <f>IFERROR(__xludf.DUMMYFUNCTION("""COMPUTED_VALUE"""),2006.0)</f>
        <v>2006</v>
      </c>
      <c r="E20" s="2">
        <f>IFERROR(__xludf.DUMMYFUNCTION("""COMPUTED_VALUE"""),2003.0)</f>
        <v>2003</v>
      </c>
      <c r="F20" s="2" t="str">
        <f>IFERROR(__xludf.DUMMYFUNCTION("""COMPUTED_VALUE"""),"*2006*")</f>
        <v>*2006*</v>
      </c>
      <c r="G20" s="2">
        <f>IFERROR(__xludf.DUMMYFUNCTION("""COMPUTED_VALUE"""),2005.0)</f>
        <v>2005</v>
      </c>
    </row>
    <row r="21">
      <c r="A21" s="2"/>
      <c r="B21" s="2" t="str">
        <f>IFERROR(__xludf.DUMMYFUNCTION("""COMPUTED_VALUE"""),"Mike Bryan")</f>
        <v>Mike Bryan</v>
      </c>
      <c r="C21" s="2">
        <f>IFERROR(__xludf.DUMMYFUNCTION("""COMPUTED_VALUE"""),28.0)</f>
        <v>28</v>
      </c>
      <c r="D21" s="2">
        <f>IFERROR(__xludf.DUMMYFUNCTION("""COMPUTED_VALUE"""),2006.0)</f>
        <v>2006</v>
      </c>
      <c r="E21" s="2">
        <f>IFERROR(__xludf.DUMMYFUNCTION("""COMPUTED_VALUE"""),2003.0)</f>
        <v>2003</v>
      </c>
      <c r="F21" s="2" t="str">
        <f>IFERROR(__xludf.DUMMYFUNCTION("""COMPUTED_VALUE"""),"*2006*")</f>
        <v>*2006*</v>
      </c>
      <c r="G21" s="2">
        <f>IFERROR(__xludf.DUMMYFUNCTION("""COMPUTED_VALUE"""),2005.0)</f>
        <v>2005</v>
      </c>
    </row>
    <row r="22">
      <c r="A22" s="2">
        <f>IFERROR(__xludf.DUMMYFUNCTION("""COMPUTED_VALUE"""),21.0)</f>
        <v>21</v>
      </c>
      <c r="B22" s="2" t="str">
        <f>IFERROR(__xludf.DUMMYFUNCTION("""COMPUTED_VALUE"""),"Daniel Nestor")</f>
        <v>Daniel Nestor</v>
      </c>
      <c r="C22" s="2">
        <f>IFERROR(__xludf.DUMMYFUNCTION("""COMPUTED_VALUE"""),35.0)</f>
        <v>35</v>
      </c>
      <c r="D22" s="2">
        <f>IFERROR(__xludf.DUMMYFUNCTION("""COMPUTED_VALUE"""),2002.0)</f>
        <v>2002</v>
      </c>
      <c r="E22" s="2">
        <f>IFERROR(__xludf.DUMMYFUNCTION("""COMPUTED_VALUE"""),2007.0)</f>
        <v>2007</v>
      </c>
      <c r="F22" s="2" t="str">
        <f>IFERROR(__xludf.DUMMYFUNCTION("""COMPUTED_VALUE"""),"*2008*")</f>
        <v>*2008*</v>
      </c>
      <c r="G22" s="2">
        <f>IFERROR(__xludf.DUMMYFUNCTION("""COMPUTED_VALUE"""),2004.0)</f>
        <v>2004</v>
      </c>
    </row>
    <row r="23">
      <c r="A23" s="2">
        <f>IFERROR(__xludf.DUMMYFUNCTION("""COMPUTED_VALUE"""),22.0)</f>
        <v>22</v>
      </c>
      <c r="B23" s="2" t="str">
        <f>IFERROR(__xludf.DUMMYFUNCTION("""COMPUTED_VALUE"""),"Leander Paes")</f>
        <v>Leander Paes</v>
      </c>
      <c r="C23" s="2">
        <f>IFERROR(__xludf.DUMMYFUNCTION("""COMPUTED_VALUE"""),38.0)</f>
        <v>38</v>
      </c>
      <c r="D23" s="2" t="str">
        <f>IFERROR(__xludf.DUMMYFUNCTION("""COMPUTED_VALUE"""),"*2012*")</f>
        <v>*2012*</v>
      </c>
      <c r="E23" s="2">
        <f>IFERROR(__xludf.DUMMYFUNCTION("""COMPUTED_VALUE"""),1999.0)</f>
        <v>1999</v>
      </c>
      <c r="F23" s="2">
        <f>IFERROR(__xludf.DUMMYFUNCTION("""COMPUTED_VALUE"""),1999.0)</f>
        <v>1999</v>
      </c>
      <c r="G23" s="2">
        <f>IFERROR(__xludf.DUMMYFUNCTION("""COMPUTED_VALUE"""),2006.0)</f>
        <v>2006</v>
      </c>
    </row>
    <row r="24">
      <c r="A24" s="2">
        <f>IFERROR(__xludf.DUMMYFUNCTION("""COMPUTED_VALUE"""),23.0)</f>
        <v>23</v>
      </c>
      <c r="B24" s="2" t="str">
        <f>IFERROR(__xludf.DUMMYFUNCTION("""COMPUTED_VALUE"""),"Pierre-Hugues Herbert")</f>
        <v>Pierre-Hugues Herbert</v>
      </c>
      <c r="C24" s="2">
        <f>IFERROR(__xludf.DUMMYFUNCTION("""COMPUTED_VALUE"""),27.0)</f>
        <v>27</v>
      </c>
      <c r="D24" s="2" t="str">
        <f>IFERROR(__xludf.DUMMYFUNCTION("""COMPUTED_VALUE"""),"*2019*")</f>
        <v>*2019*</v>
      </c>
      <c r="E24" s="2">
        <f>IFERROR(__xludf.DUMMYFUNCTION("""COMPUTED_VALUE"""),2018.0)</f>
        <v>2018</v>
      </c>
      <c r="F24" s="2">
        <f>IFERROR(__xludf.DUMMYFUNCTION("""COMPUTED_VALUE"""),2016.0)</f>
        <v>2016</v>
      </c>
      <c r="G24" s="2">
        <f>IFERROR(__xludf.DUMMYFUNCTION("""COMPUTED_VALUE"""),2015.0)</f>
        <v>2015</v>
      </c>
    </row>
    <row r="25">
      <c r="A25" s="2"/>
      <c r="B25" s="2" t="str">
        <f>IFERROR(__xludf.DUMMYFUNCTION("""COMPUTED_VALUE"""),"Nicolas Mahut")</f>
        <v>Nicolas Mahut</v>
      </c>
      <c r="C25" s="2">
        <f>IFERROR(__xludf.DUMMYFUNCTION("""COMPUTED_VALUE"""),37.0)</f>
        <v>37</v>
      </c>
      <c r="D25" s="2" t="str">
        <f>IFERROR(__xludf.DUMMYFUNCTION("""COMPUTED_VALUE"""),"*2019*")</f>
        <v>*2019*</v>
      </c>
      <c r="E25" s="2">
        <f>IFERROR(__xludf.DUMMYFUNCTION("""COMPUTED_VALUE"""),2018.0)</f>
        <v>2018</v>
      </c>
      <c r="F25" s="2">
        <f>IFERROR(__xludf.DUMMYFUNCTION("""COMPUTED_VALUE"""),2016.0)</f>
        <v>2016</v>
      </c>
      <c r="G25" s="2">
        <f>IFERROR(__xludf.DUMMYFUNCTION("""COMPUTED_VALUE"""),2015.0)</f>
        <v>2015</v>
      </c>
    </row>
    <row r="26">
      <c r="A26" s="2">
        <f>IFERROR(__xludf.DUMMYFUNCTION("""COMPUTED_VALUE"""),25.0)</f>
        <v>25</v>
      </c>
      <c r="B26" s="2" t="str">
        <f>IFERROR(__xludf.DUMMYFUNCTION("""COMPUTED_VALUE"""),"Mate Pavić")</f>
        <v>Mate Pavić</v>
      </c>
      <c r="C26" s="2">
        <f>IFERROR(__xludf.DUMMYFUNCTION("""COMPUTED_VALUE"""),30.0)</f>
        <v>30</v>
      </c>
      <c r="D26" s="2">
        <f>IFERROR(__xludf.DUMMYFUNCTION("""COMPUTED_VALUE"""),2018.0)</f>
        <v>2018</v>
      </c>
      <c r="E26" s="2" t="str">
        <f>IFERROR(__xludf.DUMMYFUNCTION("""COMPUTED_VALUE"""),"*2024*")</f>
        <v>*2024*</v>
      </c>
      <c r="F26" s="2">
        <f>IFERROR(__xludf.DUMMYFUNCTION("""COMPUTED_VALUE"""),2021.0)</f>
        <v>2021</v>
      </c>
      <c r="G26" s="2">
        <f>IFERROR(__xludf.DUMMYFUNCTION("""COMPUTED_VALUE"""),2020.0)</f>
        <v>2020</v>
      </c>
    </row>
  </sheetData>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9">
      <c r="G19" s="1"/>
    </row>
  </sheetData>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25.38"/>
    <col customWidth="1" min="3" max="3" width="16.38"/>
    <col customWidth="1" min="4" max="4" width="17.63"/>
  </cols>
  <sheetData>
    <row r="1">
      <c r="A1" s="2" t="str">
        <f>IFERROR(__xludf.DUMMYFUNCTION("IMPORTHTML(""https://fr.wikipedia.org/wiki/Liste_des_albums_musicaux_les_plus_vendus"", ""table"", 2)"),"#REF!")</f>
        <v>#REF!</v>
      </c>
      <c r="B1" s="2"/>
      <c r="C1" s="2"/>
      <c r="D1" s="2"/>
      <c r="E1" s="2"/>
    </row>
    <row r="2">
      <c r="A2" s="2"/>
      <c r="B2" s="2"/>
      <c r="C2" s="2"/>
      <c r="D2" s="2"/>
      <c r="E2" s="2"/>
    </row>
    <row r="3">
      <c r="A3" s="2"/>
      <c r="B3" s="2"/>
      <c r="C3" s="2"/>
      <c r="D3" s="2"/>
      <c r="E3" s="2"/>
    </row>
    <row r="4">
      <c r="A4" s="2"/>
      <c r="B4" s="2"/>
      <c r="C4" s="2"/>
      <c r="D4" s="2"/>
      <c r="E4" s="2"/>
    </row>
    <row r="5">
      <c r="A5" s="2"/>
      <c r="B5" s="2"/>
      <c r="C5" s="2"/>
      <c r="D5" s="2"/>
      <c r="E5" s="2"/>
    </row>
    <row r="6">
      <c r="A6" s="2"/>
      <c r="B6" s="2"/>
      <c r="C6" s="2"/>
      <c r="D6" s="2"/>
      <c r="E6" s="2"/>
    </row>
    <row r="7">
      <c r="A7" s="2"/>
      <c r="B7" s="2"/>
      <c r="C7" s="2"/>
      <c r="D7" s="2"/>
      <c r="E7" s="2"/>
    </row>
    <row r="8">
      <c r="A8" s="2"/>
      <c r="B8" s="2"/>
      <c r="C8" s="2"/>
      <c r="D8" s="2"/>
      <c r="E8" s="2"/>
    </row>
    <row r="9">
      <c r="A9" s="2"/>
      <c r="B9" s="2"/>
      <c r="C9" s="2"/>
      <c r="D9" s="2"/>
      <c r="E9" s="2"/>
    </row>
    <row r="10">
      <c r="A10" s="2"/>
      <c r="B10" s="2"/>
      <c r="C10" s="2"/>
      <c r="D10" s="2"/>
      <c r="E10" s="2"/>
    </row>
    <row r="11">
      <c r="A11" s="2"/>
      <c r="B11" s="2"/>
      <c r="C11" s="2"/>
      <c r="D11" s="2"/>
      <c r="E11" s="2"/>
    </row>
    <row r="12">
      <c r="A12" s="2"/>
      <c r="B12" s="2"/>
      <c r="C12" s="2"/>
      <c r="D12" s="2"/>
      <c r="E12" s="2"/>
    </row>
    <row r="13">
      <c r="A13" s="26" t="str">
        <f>IFERROR(__xludf.DUMMYFUNCTION("IMPORTHTML(""https://en.wikipedia.org/wiki/D%C3%A9j%C3%A0_Vu_(Crosby,_Stills,_Nash_%26_Young_album)"", ""table"", 4)"),"No.")</f>
        <v>No.</v>
      </c>
      <c r="B13" s="26" t="str">
        <f>IFERROR(__xludf.DUMMYFUNCTION("""COMPUTED_VALUE"""),"Title")</f>
        <v>Title</v>
      </c>
      <c r="C13" s="26" t="str">
        <f>IFERROR(__xludf.DUMMYFUNCTION("""COMPUTED_VALUE"""),"Writer(s)")</f>
        <v>Writer(s)</v>
      </c>
      <c r="D13" s="26" t="str">
        <f>IFERROR(__xludf.DUMMYFUNCTION("""COMPUTED_VALUE"""),"Lead vocals")</f>
        <v>Lead vocals</v>
      </c>
      <c r="E13" s="26" t="str">
        <f>IFERROR(__xludf.DUMMYFUNCTION("""COMPUTED_VALUE"""),"Length")</f>
        <v>Length</v>
      </c>
    </row>
    <row r="14">
      <c r="A14" s="26">
        <f>IFERROR(__xludf.DUMMYFUNCTION("""COMPUTED_VALUE"""),1.0)</f>
        <v>1</v>
      </c>
      <c r="B14" s="26" t="str">
        <f>IFERROR(__xludf.DUMMYFUNCTION("""COMPUTED_VALUE"""),"""Carry On""")</f>
        <v>"Carry On"</v>
      </c>
      <c r="C14" s="26" t="str">
        <f>IFERROR(__xludf.DUMMYFUNCTION("""COMPUTED_VALUE"""),"Stephen Stills")</f>
        <v>Stephen Stills</v>
      </c>
      <c r="D14" s="26" t="str">
        <f>IFERROR(__xludf.DUMMYFUNCTION("""COMPUTED_VALUE"""),"Stills")</f>
        <v>Stills</v>
      </c>
      <c r="E14" s="27">
        <f>IFERROR(__xludf.DUMMYFUNCTION("""COMPUTED_VALUE"""),0.18472222222222223)</f>
        <v>0.1847222222</v>
      </c>
    </row>
    <row r="15">
      <c r="A15" s="26">
        <f>IFERROR(__xludf.DUMMYFUNCTION("""COMPUTED_VALUE"""),2.0)</f>
        <v>2</v>
      </c>
      <c r="B15" s="26" t="str">
        <f>IFERROR(__xludf.DUMMYFUNCTION("""COMPUTED_VALUE"""),"""Teach Your Children""")</f>
        <v>"Teach Your Children"</v>
      </c>
      <c r="C15" s="26" t="str">
        <f>IFERROR(__xludf.DUMMYFUNCTION("""COMPUTED_VALUE"""),"Graham Nash")</f>
        <v>Graham Nash</v>
      </c>
      <c r="D15" s="26" t="str">
        <f>IFERROR(__xludf.DUMMYFUNCTION("""COMPUTED_VALUE"""),"Nash")</f>
        <v>Nash</v>
      </c>
      <c r="E15" s="27">
        <f>IFERROR(__xludf.DUMMYFUNCTION("""COMPUTED_VALUE"""),0.12013888888888889)</f>
        <v>0.1201388889</v>
      </c>
    </row>
    <row r="16">
      <c r="A16" s="26">
        <f>IFERROR(__xludf.DUMMYFUNCTION("""COMPUTED_VALUE"""),3.0)</f>
        <v>3</v>
      </c>
      <c r="B16" s="26" t="str">
        <f>IFERROR(__xludf.DUMMYFUNCTION("""COMPUTED_VALUE"""),"""Almost Cut My Hair""")</f>
        <v>"Almost Cut My Hair"</v>
      </c>
      <c r="C16" s="26" t="str">
        <f>IFERROR(__xludf.DUMMYFUNCTION("""COMPUTED_VALUE"""),"David Crosby")</f>
        <v>David Crosby</v>
      </c>
      <c r="D16" s="26" t="str">
        <f>IFERROR(__xludf.DUMMYFUNCTION("""COMPUTED_VALUE"""),"Crosby")</f>
        <v>Crosby</v>
      </c>
      <c r="E16" s="27">
        <f>IFERROR(__xludf.DUMMYFUNCTION("""COMPUTED_VALUE"""),0.18819444444444444)</f>
        <v>0.1881944444</v>
      </c>
    </row>
    <row r="17">
      <c r="A17" s="26">
        <f>IFERROR(__xludf.DUMMYFUNCTION("""COMPUTED_VALUE"""),4.0)</f>
        <v>4</v>
      </c>
      <c r="B17" s="26" t="str">
        <f>IFERROR(__xludf.DUMMYFUNCTION("""COMPUTED_VALUE"""),"""Helpless""")</f>
        <v>"Helpless"</v>
      </c>
      <c r="C17" s="26" t="str">
        <f>IFERROR(__xludf.DUMMYFUNCTION("""COMPUTED_VALUE"""),"Neil Young")</f>
        <v>Neil Young</v>
      </c>
      <c r="D17" s="26" t="str">
        <f>IFERROR(__xludf.DUMMYFUNCTION("""COMPUTED_VALUE"""),"Young")</f>
        <v>Young</v>
      </c>
      <c r="E17" s="27">
        <f>IFERROR(__xludf.DUMMYFUNCTION("""COMPUTED_VALUE"""),0.14791666666666667)</f>
        <v>0.1479166667</v>
      </c>
    </row>
    <row r="18">
      <c r="A18" s="26">
        <f>IFERROR(__xludf.DUMMYFUNCTION("""COMPUTED_VALUE"""),5.0)</f>
        <v>5</v>
      </c>
      <c r="B18" s="26" t="str">
        <f>IFERROR(__xludf.DUMMYFUNCTION("""COMPUTED_VALUE"""),"""Woodstock""")</f>
        <v>"Woodstock"</v>
      </c>
      <c r="C18" s="26" t="str">
        <f>IFERROR(__xludf.DUMMYFUNCTION("""COMPUTED_VALUE"""),"Joni Mitchell")</f>
        <v>Joni Mitchell</v>
      </c>
      <c r="D18" s="26" t="str">
        <f>IFERROR(__xludf.DUMMYFUNCTION("""COMPUTED_VALUE"""),"Stills")</f>
        <v>Stills</v>
      </c>
      <c r="E18" s="27">
        <f>IFERROR(__xludf.DUMMYFUNCTION("""COMPUTED_VALUE"""),0.1625)</f>
        <v>0.1625</v>
      </c>
    </row>
    <row r="19">
      <c r="A19" s="26"/>
      <c r="B19" s="26"/>
      <c r="C19" s="26"/>
      <c r="D19" s="26"/>
      <c r="E19" s="26"/>
    </row>
    <row r="21">
      <c r="A21" s="2" t="str">
        <f>IFERROR(__xludf.DUMMYFUNCTION("importhtml(""https://en.wikipedia.org/wiki/D%C3%A9j%C3%A0_Vu_(Crosby,_Stills,_Nash_%26_Young_album)"", ""table"", 9)"),"*Weekly charts*
[TABLE] 
*Year-end charts*
[TABLE] [TABLE]")</f>
        <v>*Weekly charts*
[TABLE] 
*Year-end charts*
[TABLE] [TABLE]</v>
      </c>
      <c r="B21" s="2" t="str">
        <f>IFERROR(__xludf.DUMMYFUNCTION("""COMPUTED_VALUE"""),"*2021 Reissue*
[TABLE]")</f>
        <v>*2021 Reissue*
[TABLE]</v>
      </c>
      <c r="E21" s="28" t="s">
        <v>1307</v>
      </c>
      <c r="F21" s="28" t="s">
        <v>1308</v>
      </c>
      <c r="G21" s="28" t="s">
        <v>1309</v>
      </c>
    </row>
    <row r="22">
      <c r="E22" s="28" t="s">
        <v>1310</v>
      </c>
      <c r="F22" s="28" t="s">
        <v>1311</v>
      </c>
      <c r="G22" s="29">
        <v>300000.0</v>
      </c>
    </row>
    <row r="23">
      <c r="E23" s="28" t="s">
        <v>1312</v>
      </c>
      <c r="F23" s="28" t="s">
        <v>1313</v>
      </c>
      <c r="G23" s="29">
        <v>250000.0</v>
      </c>
    </row>
    <row r="24">
      <c r="E24" s="28" t="s">
        <v>1314</v>
      </c>
      <c r="F24" s="28" t="s">
        <v>1313</v>
      </c>
      <c r="G24" s="29">
        <v>25000.0</v>
      </c>
    </row>
    <row r="25">
      <c r="E25" s="28" t="s">
        <v>1315</v>
      </c>
      <c r="F25" s="28" t="s">
        <v>1316</v>
      </c>
      <c r="G25" s="29">
        <v>7000000.0</v>
      </c>
    </row>
    <row r="33">
      <c r="C33" s="26"/>
      <c r="D33" s="30"/>
      <c r="E33" s="30"/>
      <c r="F33" s="30"/>
      <c r="G33" s="30"/>
      <c r="H33" s="31"/>
      <c r="I33" s="32"/>
    </row>
    <row r="34">
      <c r="C34" s="26"/>
      <c r="D34" s="30"/>
      <c r="E34" s="30"/>
      <c r="F34" s="30"/>
      <c r="G34" s="30"/>
      <c r="H34" s="31"/>
      <c r="I34" s="32"/>
    </row>
    <row r="35">
      <c r="C35" s="26"/>
      <c r="D35" s="30"/>
      <c r="E35" s="30"/>
      <c r="F35" s="30"/>
      <c r="G35" s="30"/>
      <c r="H35" s="31"/>
      <c r="I35" s="32"/>
    </row>
    <row r="36">
      <c r="C36" s="26"/>
      <c r="D36" s="30"/>
      <c r="E36" s="30"/>
      <c r="F36" s="30"/>
      <c r="G36" s="30"/>
      <c r="H36" s="31"/>
      <c r="I36" s="32"/>
    </row>
    <row r="37">
      <c r="C37" s="26"/>
      <c r="D37" s="30"/>
      <c r="E37" s="30"/>
      <c r="F37" s="30"/>
      <c r="G37" s="30"/>
      <c r="H37" s="31"/>
      <c r="I37" s="32"/>
    </row>
    <row r="38">
      <c r="C38" s="26"/>
      <c r="D38" s="30"/>
      <c r="E38" s="30"/>
      <c r="F38" s="30"/>
      <c r="G38" s="30"/>
      <c r="H38" s="31"/>
      <c r="I38" s="32"/>
    </row>
    <row r="39">
      <c r="C39" s="26"/>
      <c r="D39" s="30"/>
      <c r="E39" s="30"/>
      <c r="F39" s="30"/>
      <c r="G39" s="30"/>
      <c r="H39" s="31"/>
      <c r="I39" s="32"/>
    </row>
    <row r="40">
      <c r="C40" s="26"/>
      <c r="D40" s="33"/>
      <c r="E40" s="30"/>
      <c r="F40" s="33"/>
      <c r="G40" s="30"/>
      <c r="H40" s="31"/>
      <c r="I40" s="32"/>
    </row>
    <row r="41">
      <c r="C41" s="26"/>
      <c r="D41" s="34"/>
      <c r="E41" s="30"/>
      <c r="F41" s="34"/>
      <c r="G41" s="30"/>
      <c r="H41" s="31"/>
      <c r="I41" s="32"/>
    </row>
    <row r="42">
      <c r="C42" s="26"/>
      <c r="D42" s="35" t="s">
        <v>1317</v>
      </c>
      <c r="E42" s="30"/>
      <c r="F42" s="35" t="s">
        <v>1317</v>
      </c>
      <c r="G42" s="30"/>
      <c r="H42" s="31"/>
      <c r="I42" s="32"/>
    </row>
    <row r="43">
      <c r="C43" s="26"/>
      <c r="D43" s="30"/>
      <c r="E43" s="30"/>
      <c r="F43" s="30"/>
      <c r="G43" s="30"/>
      <c r="H43" s="31"/>
      <c r="I43" s="32"/>
    </row>
    <row r="44">
      <c r="C44" s="26"/>
      <c r="D44" s="30"/>
      <c r="E44" s="36"/>
      <c r="F44" s="36"/>
      <c r="G44" s="30"/>
      <c r="H44" s="31"/>
      <c r="I44" s="32"/>
    </row>
    <row r="45">
      <c r="C45" s="26"/>
      <c r="D45" s="30"/>
      <c r="E45" s="36"/>
      <c r="F45" s="36"/>
      <c r="G45" s="30"/>
      <c r="H45" s="31"/>
      <c r="I45" s="32"/>
    </row>
    <row r="46">
      <c r="C46" s="26"/>
      <c r="D46" s="30"/>
      <c r="E46" s="36"/>
      <c r="F46" s="36"/>
      <c r="G46" s="30"/>
      <c r="H46" s="31"/>
      <c r="I46" s="32"/>
    </row>
    <row r="47">
      <c r="C47" s="26"/>
      <c r="D47" s="30"/>
      <c r="E47" s="36"/>
      <c r="F47" s="36"/>
      <c r="G47" s="30"/>
      <c r="H47" s="31"/>
      <c r="I47" s="32"/>
    </row>
    <row r="48">
      <c r="C48" s="26"/>
      <c r="D48" s="30"/>
      <c r="E48" s="30"/>
      <c r="F48" s="30"/>
      <c r="G48" s="30"/>
      <c r="H48" s="31"/>
      <c r="I48" s="32"/>
    </row>
    <row r="49">
      <c r="C49" s="26"/>
      <c r="D49" s="26"/>
      <c r="E49" s="26"/>
      <c r="F49" s="26"/>
      <c r="G49" s="26"/>
      <c r="H49" s="16"/>
    </row>
    <row r="50">
      <c r="C50" s="26"/>
      <c r="D50" s="26"/>
      <c r="E50" s="26"/>
      <c r="F50" s="26"/>
      <c r="G50" s="26"/>
      <c r="H50" s="16"/>
    </row>
    <row r="51">
      <c r="C51" s="26"/>
      <c r="D51" s="26"/>
      <c r="E51" s="26"/>
      <c r="F51" s="26"/>
      <c r="G51" s="26"/>
      <c r="H51" s="16"/>
    </row>
    <row r="52">
      <c r="C52" s="26"/>
      <c r="D52" s="26"/>
      <c r="E52" s="26"/>
      <c r="F52" s="26"/>
      <c r="G52" s="26"/>
      <c r="H52" s="16"/>
    </row>
    <row r="53">
      <c r="C53" s="26"/>
      <c r="D53" s="26"/>
      <c r="E53" s="26"/>
      <c r="F53" s="26"/>
      <c r="G53" s="26"/>
      <c r="H53" s="16"/>
    </row>
  </sheetData>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tr">
        <f>IFERROR(__xludf.DUMMYFUNCTION("IMPORTHTML(""https://fr.wikipedia.org/wiki/Presse_en_France"", ""table"", 4)"),"")</f>
        <v/>
      </c>
      <c r="B1" s="2" t="str">
        <f>IFERROR(__xludf.DUMMYFUNCTION("""COMPUTED_VALUE"""),"2011 [42]")</f>
        <v>2011 [42]</v>
      </c>
      <c r="C1" s="2" t="str">
        <f>IFERROR(__xludf.DUMMYFUNCTION("""COMPUTED_VALUE"""),"2012 [43]")</f>
        <v>2012 [43]</v>
      </c>
      <c r="D1" s="2" t="str">
        <f>IFERROR(__xludf.DUMMYFUNCTION("""COMPUTED_VALUE"""),"2013 [44]")</f>
        <v>2013 [44]</v>
      </c>
      <c r="E1" s="2" t="str">
        <f>IFERROR(__xludf.DUMMYFUNCTION("""COMPUTED_VALUE"""),"2014 [45]")</f>
        <v>2014 [45]</v>
      </c>
      <c r="F1" s="2" t="str">
        <f>IFERROR(__xludf.DUMMYFUNCTION("""COMPUTED_VALUE"""),"2015 [46]")</f>
        <v>2015 [46]</v>
      </c>
      <c r="G1" s="2" t="str">
        <f>IFERROR(__xludf.DUMMYFUNCTION("""COMPUTED_VALUE"""),"2016 [47]")</f>
        <v>2016 [47]</v>
      </c>
    </row>
    <row r="2">
      <c r="A2" s="2" t="str">
        <f>IFERROR(__xludf.DUMMYFUNCTION("""COMPUTED_VALUE"""),"*Le Monde*")</f>
        <v>*Le Monde*</v>
      </c>
      <c r="B2" s="2" t="str">
        <f>IFERROR(__xludf.DUMMYFUNCTION("""COMPUTED_VALUE"""),"28 556")</f>
        <v>28 556</v>
      </c>
      <c r="C2" s="3" t="str">
        <f>IFERROR(__xludf.DUMMYFUNCTION("""COMPUTED_VALUE"""),"21 165")</f>
        <v>21 165</v>
      </c>
      <c r="D2" s="2" t="str">
        <f>IFERROR(__xludf.DUMMYFUNCTION("""COMPUTED_VALUE"""),"24 226")</f>
        <v>24 226</v>
      </c>
      <c r="E2" s="2" t="str">
        <f>IFERROR(__xludf.DUMMYFUNCTION("""COMPUTED_VALUE"""),"21 586")</f>
        <v>21 586</v>
      </c>
      <c r="F2" s="2" t="str">
        <f>IFERROR(__xludf.DUMMYFUNCTION("""COMPUTED_VALUE"""),"20 678")</f>
        <v>20 678</v>
      </c>
      <c r="G2" s="2" t="str">
        <f>IFERROR(__xludf.DUMMYFUNCTION("""COMPUTED_VALUE"""),"16 867")</f>
        <v>16 867</v>
      </c>
    </row>
    <row r="3">
      <c r="A3" s="2" t="str">
        <f>IFERROR(__xludf.DUMMYFUNCTION("""COMPUTED_VALUE"""),"*Le Figaro*")</f>
        <v>*Le Figaro*</v>
      </c>
      <c r="B3" s="2" t="str">
        <f>IFERROR(__xludf.DUMMYFUNCTION("""COMPUTED_VALUE"""),"8 267")</f>
        <v>8 267</v>
      </c>
      <c r="C3" s="3" t="str">
        <f>IFERROR(__xludf.DUMMYFUNCTION("""COMPUTED_VALUE"""),"7 649")</f>
        <v>7 649</v>
      </c>
      <c r="D3" s="2" t="str">
        <f>IFERROR(__xludf.DUMMYFUNCTION("""COMPUTED_VALUE"""),"6 945")</f>
        <v>6 945</v>
      </c>
      <c r="E3" s="2" t="str">
        <f>IFERROR(__xludf.DUMMYFUNCTION("""COMPUTED_VALUE"""),"6 420")</f>
        <v>6 420</v>
      </c>
      <c r="F3" s="2" t="str">
        <f>IFERROR(__xludf.DUMMYFUNCTION("""COMPUTED_VALUE"""),"5 825")</f>
        <v>5 825</v>
      </c>
      <c r="G3" s="2" t="str">
        <f>IFERROR(__xludf.DUMMYFUNCTION("""COMPUTED_VALUE"""),"5 426")</f>
        <v>5 426</v>
      </c>
    </row>
    <row r="4">
      <c r="A4" s="2" t="str">
        <f>IFERROR(__xludf.DUMMYFUNCTION("""COMPUTED_VALUE"""),"*Aujourd'hui en France*")</f>
        <v>*Aujourd'hui en France*</v>
      </c>
      <c r="B4" s="2" t="str">
        <f>IFERROR(__xludf.DUMMYFUNCTION("""COMPUTED_VALUE"""),"2 966")</f>
        <v>2 966</v>
      </c>
      <c r="C4" s="3" t="str">
        <f>IFERROR(__xludf.DUMMYFUNCTION("""COMPUTED_VALUE"""),"2 935")</f>
        <v>2 935</v>
      </c>
      <c r="D4" s="2" t="str">
        <f>IFERROR(__xludf.DUMMYFUNCTION("""COMPUTED_VALUE"""),"2 682")</f>
        <v>2 682</v>
      </c>
      <c r="E4" s="2" t="str">
        <f>IFERROR(__xludf.DUMMYFUNCTION("""COMPUTED_VALUE"""),"2 522")</f>
        <v>2 522</v>
      </c>
      <c r="F4" s="2" t="str">
        <f>IFERROR(__xludf.DUMMYFUNCTION("""COMPUTED_VALUE"""),"2 098")</f>
        <v>2 098</v>
      </c>
      <c r="G4" s="2" t="str">
        <f>IFERROR(__xludf.DUMMYFUNCTION("""COMPUTED_VALUE"""),"1 994")</f>
        <v>1 994</v>
      </c>
    </row>
    <row r="5">
      <c r="A5" s="2" t="str">
        <f>IFERROR(__xludf.DUMMYFUNCTION("""COMPUTED_VALUE"""),"*Libération*")</f>
        <v>*Libération*</v>
      </c>
      <c r="B5" s="2" t="str">
        <f>IFERROR(__xludf.DUMMYFUNCTION("""COMPUTED_VALUE"""),"3 933")</f>
        <v>3 933</v>
      </c>
      <c r="C5" s="3" t="str">
        <f>IFERROR(__xludf.DUMMYFUNCTION("""COMPUTED_VALUE"""),"3 555")</f>
        <v>3 555</v>
      </c>
      <c r="D5" s="2" t="str">
        <f>IFERROR(__xludf.DUMMYFUNCTION("""COMPUTED_VALUE"""),"2 767")</f>
        <v>2 767</v>
      </c>
      <c r="E5" s="2" t="str">
        <f>IFERROR(__xludf.DUMMYFUNCTION("""COMPUTED_VALUE"""),"2 337")</f>
        <v>2 337</v>
      </c>
      <c r="F5" s="2" t="str">
        <f>IFERROR(__xludf.DUMMYFUNCTION("""COMPUTED_VALUE"""),"2 046")</f>
        <v>2 046</v>
      </c>
      <c r="G5" s="2" t="str">
        <f>IFERROR(__xludf.DUMMYFUNCTION("""COMPUTED_VALUE"""),"1 670")</f>
        <v>1 670</v>
      </c>
    </row>
    <row r="6">
      <c r="A6" s="2" t="str">
        <f>IFERROR(__xludf.DUMMYFUNCTION("""COMPUTED_VALUE"""),"*Les Échos*")</f>
        <v>*Les Échos*</v>
      </c>
      <c r="B6" s="2" t="str">
        <f>IFERROR(__xludf.DUMMYFUNCTION("""COMPUTED_VALUE"""),"2 244")</f>
        <v>2 244</v>
      </c>
      <c r="C6" s="3" t="str">
        <f>IFERROR(__xludf.DUMMYFUNCTION("""COMPUTED_VALUE"""),"2 111")</f>
        <v>2 111</v>
      </c>
      <c r="D6" s="2" t="str">
        <f>IFERROR(__xludf.DUMMYFUNCTION("""COMPUTED_VALUE"""),"1 866")</f>
        <v>1 866</v>
      </c>
      <c r="E6" s="2" t="str">
        <f>IFERROR(__xludf.DUMMYFUNCTION("""COMPUTED_VALUE"""),"1 659")</f>
        <v>1 659</v>
      </c>
      <c r="F6" s="2" t="str">
        <f>IFERROR(__xludf.DUMMYFUNCTION("""COMPUTED_VALUE"""),"1 452")</f>
        <v>1 452</v>
      </c>
      <c r="G6" s="2" t="str">
        <f>IFERROR(__xludf.DUMMYFUNCTION("""COMPUTED_VALUE"""),"1 285")</f>
        <v>1 285</v>
      </c>
    </row>
    <row r="7">
      <c r="A7" s="2" t="str">
        <f>IFERROR(__xludf.DUMMYFUNCTION("""COMPUTED_VALUE"""),"*La Croix*")</f>
        <v>*La Croix*</v>
      </c>
      <c r="B7" s="2" t="str">
        <f>IFERROR(__xludf.DUMMYFUNCTION("""COMPUTED_VALUE"""),"1 078")</f>
        <v>1 078</v>
      </c>
      <c r="C7" s="2">
        <f>IFERROR(__xludf.DUMMYFUNCTION("""COMPUTED_VALUE"""),938.0)</f>
        <v>938</v>
      </c>
      <c r="D7" s="2">
        <f>IFERROR(__xludf.DUMMYFUNCTION("""COMPUTED_VALUE"""),729.0)</f>
        <v>729</v>
      </c>
      <c r="E7" s="2">
        <f>IFERROR(__xludf.DUMMYFUNCTION("""COMPUTED_VALUE"""),608.0)</f>
        <v>608</v>
      </c>
      <c r="F7" s="2">
        <f>IFERROR(__xludf.DUMMYFUNCTION("""COMPUTED_VALUE"""),525.0)</f>
        <v>525</v>
      </c>
      <c r="G7" s="2">
        <f>IFERROR(__xludf.DUMMYFUNCTION("""COMPUTED_VALUE"""),491.0)</f>
        <v>491</v>
      </c>
    </row>
    <row r="8">
      <c r="A8" s="2" t="str">
        <f>IFERROR(__xludf.DUMMYFUNCTION("""COMPUTED_VALUE"""),"*L'Humanité*")</f>
        <v>*L'Humanité*</v>
      </c>
      <c r="B8" s="2">
        <f>IFERROR(__xludf.DUMMYFUNCTION("""COMPUTED_VALUE"""),112.0)</f>
        <v>112</v>
      </c>
      <c r="C8" s="2">
        <f>IFERROR(__xludf.DUMMYFUNCTION("""COMPUTED_VALUE"""),110.0)</f>
        <v>110</v>
      </c>
      <c r="D8" s="2">
        <f>IFERROR(__xludf.DUMMYFUNCTION("""COMPUTED_VALUE"""),107.0)</f>
        <v>107</v>
      </c>
      <c r="E8" s="2">
        <f>IFERROR(__xludf.DUMMYFUNCTION("""COMPUTED_VALUE"""),99.0)</f>
        <v>99</v>
      </c>
      <c r="F8" s="2">
        <f>IFERROR(__xludf.DUMMYFUNCTION("""COMPUTED_VALUE"""),106.0)</f>
        <v>106</v>
      </c>
      <c r="G8" s="2">
        <f>IFERROR(__xludf.DUMMYFUNCTION("""COMPUTED_VALUE"""),103.0)</f>
        <v>103</v>
      </c>
    </row>
    <row r="11">
      <c r="B11" s="2" t="s">
        <v>1318</v>
      </c>
    </row>
    <row r="75">
      <c r="A75" s="1">
        <v>4.0</v>
      </c>
      <c r="B75" s="1">
        <v>14.0</v>
      </c>
      <c r="C75" s="2">
        <f t="shared" ref="C75:C77" si="1">sum(A75:B75)</f>
        <v>18</v>
      </c>
    </row>
    <row r="76">
      <c r="A76" s="1">
        <v>4.0</v>
      </c>
      <c r="B76" s="1">
        <v>145.0</v>
      </c>
      <c r="C76" s="2">
        <f t="shared" si="1"/>
        <v>149</v>
      </c>
    </row>
    <row r="77">
      <c r="A77" s="1">
        <v>4.0</v>
      </c>
      <c r="B77" s="1">
        <v>458.0</v>
      </c>
      <c r="C77" s="2">
        <f t="shared" si="1"/>
        <v>462</v>
      </c>
    </row>
    <row r="78">
      <c r="A78" s="1">
        <v>4.0</v>
      </c>
    </row>
    <row r="79">
      <c r="A79" s="1">
        <v>4.0</v>
      </c>
    </row>
    <row r="80">
      <c r="A80" s="1">
        <v>4.0</v>
      </c>
    </row>
    <row r="81">
      <c r="A81" s="1">
        <v>4.0</v>
      </c>
    </row>
    <row r="82">
      <c r="A82" s="1">
        <v>4.0</v>
      </c>
    </row>
    <row r="83">
      <c r="A83" s="1">
        <v>4.0</v>
      </c>
    </row>
  </sheetData>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tr">
        <f>IFERROR(__xludf.DUMMYFUNCTION("IMPORTHTML(""https://fr.wikipedia.org/wiki/Palme_d%27or"",""table"",2)"),"*Images externes*")</f>
        <v>*Images externes*</v>
      </c>
      <c r="B1" s="2"/>
    </row>
    <row r="2">
      <c r="A2" s="2"/>
      <c r="B2" s="2" t="str">
        <f>IFERROR(__xludf.DUMMYFUNCTION("""COMPUTED_VALUE"""),"Photographie de Lucienne Lazon 
(collection privée)")</f>
        <v>Photographie de Lucienne Lazon 
(collection privée)</v>
      </c>
    </row>
    <row r="3">
      <c r="A3" s="2"/>
      <c r="B3" s="2" t="str">
        <f>IFERROR(__xludf.DUMMYFUNCTION("""COMPUTED_VALUE"""),"Photographie de la Palme d'or dessinée par Lucienne Lazon avec le socle 
sculpté par Sébastien.")</f>
        <v>Photographie de la Palme d'or dessinée par Lucienne Lazon avec le socle 
sculpté par Sébastien.</v>
      </c>
    </row>
    <row r="4">
      <c r="A4" s="2"/>
      <c r="B4" s="2" t="str">
        <f>IFERROR(__xludf.DUMMYFUNCTION("""COMPUTED_VALUE"""),"Photographie du prix d'interprétation féminine de Marina Vlady (1963).")</f>
        <v>Photographie du prix d'interprétation féminine de Marina Vlady (1963).</v>
      </c>
    </row>
  </sheetData>
  <drawing r:id="rId1"/>
</worksheet>
</file>
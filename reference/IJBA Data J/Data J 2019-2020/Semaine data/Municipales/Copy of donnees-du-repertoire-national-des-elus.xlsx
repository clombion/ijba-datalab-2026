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ees-du-repertoire-national-" sheetId="1" r:id="rId4"/>
    <sheet state="visible" name="Copie de Feuille tri Amandine" sheetId="2" r:id="rId5"/>
  </sheets>
  <definedNames/>
  <calcPr/>
</workbook>
</file>

<file path=xl/sharedStrings.xml><?xml version="1.0" encoding="utf-8"?>
<sst xmlns="http://schemas.openxmlformats.org/spreadsheetml/2006/main" count="6705" uniqueCount="1826">
  <si>
    <t>Nom de l'élu</t>
  </si>
  <si>
    <t>Prénom de l'élu</t>
  </si>
  <si>
    <t>Code sexe</t>
  </si>
  <si>
    <t>Date de naissance</t>
  </si>
  <si>
    <t>Code profession</t>
  </si>
  <si>
    <t>Libellé de la profession</t>
  </si>
  <si>
    <t>Date de début du mandat</t>
  </si>
  <si>
    <t>Fonction</t>
  </si>
  <si>
    <t>Date de début de la fonction</t>
  </si>
  <si>
    <t>Nationalité de l'élu</t>
  </si>
  <si>
    <t>Type de fonction</t>
  </si>
  <si>
    <t>Code commune</t>
  </si>
  <si>
    <t>Commune</t>
  </si>
  <si>
    <t>Code département</t>
  </si>
  <si>
    <t>Département</t>
  </si>
  <si>
    <t>Code EPCI</t>
  </si>
  <si>
    <t>Nom de l'EPCI</t>
  </si>
  <si>
    <t>Région</t>
  </si>
  <si>
    <t>code postal</t>
  </si>
  <si>
    <t>population</t>
  </si>
  <si>
    <t>PAIN</t>
  </si>
  <si>
    <t>Cédric</t>
  </si>
  <si>
    <t>M</t>
  </si>
  <si>
    <t>Industriels-Chefs entreprise (obsolète)</t>
  </si>
  <si>
    <t>Maire</t>
  </si>
  <si>
    <t>Française</t>
  </si>
  <si>
    <t>Municipal</t>
  </si>
  <si>
    <t>Mios</t>
  </si>
  <si>
    <t>GIRONDE</t>
  </si>
  <si>
    <t>CA du Bassin d'Arcachon Nord</t>
  </si>
  <si>
    <t>AQUITAINE</t>
  </si>
  <si>
    <t>ALAMINOS</t>
  </si>
  <si>
    <t>Gilbert</t>
  </si>
  <si>
    <t>Agriculteurs propriétaires exploit. (obsolète)</t>
  </si>
  <si>
    <t>Noaillac</t>
  </si>
  <si>
    <t>CC du Réolais en Sud Gironde</t>
  </si>
  <si>
    <t>RAYNAL</t>
  </si>
  <si>
    <t>Franck</t>
  </si>
  <si>
    <t>Fonctionnaires de catégorie A (obsolète)</t>
  </si>
  <si>
    <t>Pessac</t>
  </si>
  <si>
    <t>Bordeaux Métropole</t>
  </si>
  <si>
    <t>MAU</t>
  </si>
  <si>
    <t>Didier</t>
  </si>
  <si>
    <t>Cadres sup. (entreprises publiques) (obsolète)</t>
  </si>
  <si>
    <t>Le Pian-Médoc</t>
  </si>
  <si>
    <t>CC Médoc Estuaire</t>
  </si>
  <si>
    <t>BARBEYRON</t>
  </si>
  <si>
    <t>Jean-Luc</t>
  </si>
  <si>
    <t>Artisans (obsolète)</t>
  </si>
  <si>
    <t>Pomerol</t>
  </si>
  <si>
    <t>CA du Libournais</t>
  </si>
  <si>
    <t>BURTIN-DAUZAN</t>
  </si>
  <si>
    <t>Nathalie</t>
  </si>
  <si>
    <t>F</t>
  </si>
  <si>
    <t>Saint-Selve</t>
  </si>
  <si>
    <t>CC de Montesquieu</t>
  </si>
  <si>
    <t>BONNAMY</t>
  </si>
  <si>
    <t>Nicole</t>
  </si>
  <si>
    <t>Retraités fonct.publique (sf enseig.) (obsolète)</t>
  </si>
  <si>
    <t>Saint-Sulpice-de-Pommiers</t>
  </si>
  <si>
    <t>CC rurales de l'Entre-Deux-Mers</t>
  </si>
  <si>
    <t>CIMBRON</t>
  </si>
  <si>
    <t>Segundo</t>
  </si>
  <si>
    <t>Contremaitres (obsolète)</t>
  </si>
  <si>
    <t>Saint-Yzans-de-Médoc</t>
  </si>
  <si>
    <t>CC Médoc Coeur de Presqu'île</t>
  </si>
  <si>
    <t>FOSTIER</t>
  </si>
  <si>
    <t>Danielle</t>
  </si>
  <si>
    <t>Experts comptables (obsolète)</t>
  </si>
  <si>
    <t>Taillecavat</t>
  </si>
  <si>
    <t>TRAVAILLOT</t>
  </si>
  <si>
    <t>Josette</t>
  </si>
  <si>
    <t>Retraités salariés privés (obsolète)</t>
  </si>
  <si>
    <t>Tizac-de-Curton</t>
  </si>
  <si>
    <t>BAUP</t>
  </si>
  <si>
    <t>Jeanne-Marie</t>
  </si>
  <si>
    <t>Retraités de l'enseignement (obsolète)</t>
  </si>
  <si>
    <t>Uzeste</t>
  </si>
  <si>
    <t>CC du Sud Gironde</t>
  </si>
  <si>
    <t>FAUBET</t>
  </si>
  <si>
    <t>Dominique</t>
  </si>
  <si>
    <t>Virelade</t>
  </si>
  <si>
    <t>CC Convergence Garonne</t>
  </si>
  <si>
    <t>GARRIGUE</t>
  </si>
  <si>
    <t>Philippe</t>
  </si>
  <si>
    <t>Beychac-et-Caillau</t>
  </si>
  <si>
    <t>CC du Secteur de Saint-Loubès</t>
  </si>
  <si>
    <t>PIERRARD</t>
  </si>
  <si>
    <t>Alexandre</t>
  </si>
  <si>
    <t>Administrateurs de sociétés (obsolète)</t>
  </si>
  <si>
    <t>Blaignan-Prignac</t>
  </si>
  <si>
    <t>DARD</t>
  </si>
  <si>
    <t>Pascale</t>
  </si>
  <si>
    <t>Bossugan</t>
  </si>
  <si>
    <t>CC Castillon/Pujols</t>
  </si>
  <si>
    <t>DUFFAU</t>
  </si>
  <si>
    <t>Yannick</t>
  </si>
  <si>
    <t>Sans profession déclarée (obsolète)</t>
  </si>
  <si>
    <t>Brannens</t>
  </si>
  <si>
    <t>BREILLAT</t>
  </si>
  <si>
    <t>Jacques</t>
  </si>
  <si>
    <t>Cadres supérieurs (secteur privé) (obsolète)</t>
  </si>
  <si>
    <t>Castillon-la-Bataille</t>
  </si>
  <si>
    <t>HENRY</t>
  </si>
  <si>
    <t>Gérard</t>
  </si>
  <si>
    <t>Fonctionnaires de catégorie B (obsolète)</t>
  </si>
  <si>
    <t>Génissac</t>
  </si>
  <si>
    <t>PEYRONDET</t>
  </si>
  <si>
    <t>Laurent</t>
  </si>
  <si>
    <t>Autres cadres (secteur privé) (obsolète)</t>
  </si>
  <si>
    <t>Lacanau</t>
  </si>
  <si>
    <t>CC Médoc Atlantique</t>
  </si>
  <si>
    <t>BORAS</t>
  </si>
  <si>
    <t>Jean-François</t>
  </si>
  <si>
    <t>Langoiran</t>
  </si>
  <si>
    <t>CC des Portes de l'Entre-Deux-Mers</t>
  </si>
  <si>
    <t>ROSAZZA</t>
  </si>
  <si>
    <t>Jean-Yves</t>
  </si>
  <si>
    <t>Agents immobiliers (obsolète)</t>
  </si>
  <si>
    <t>Andernos-les-Bains</t>
  </si>
  <si>
    <t>GEVAERT</t>
  </si>
  <si>
    <t>Valérie</t>
  </si>
  <si>
    <t>Autres professions libérales (obsolète)</t>
  </si>
  <si>
    <t>Cazats</t>
  </si>
  <si>
    <t>CC du Bazadais</t>
  </si>
  <si>
    <t>COLEMYN</t>
  </si>
  <si>
    <t>André</t>
  </si>
  <si>
    <t>Civrac-en-Médoc</t>
  </si>
  <si>
    <t>COUSSO</t>
  </si>
  <si>
    <t>Jean-Frédéric</t>
  </si>
  <si>
    <t>Retr.artis.commerc.chefs d'entrep. (obsolète)</t>
  </si>
  <si>
    <t>Croignon</t>
  </si>
  <si>
    <t>CC des Coteaux Bordelais</t>
  </si>
  <si>
    <t>SEURIN</t>
  </si>
  <si>
    <t>Jean-Pierre</t>
  </si>
  <si>
    <t>Cursan</t>
  </si>
  <si>
    <t>CC du Créonnais</t>
  </si>
  <si>
    <t>MASSIEU</t>
  </si>
  <si>
    <t>Gabarnac</t>
  </si>
  <si>
    <t>GAUTHIER</t>
  </si>
  <si>
    <t>Jérôme</t>
  </si>
  <si>
    <t>Professeurs du secondaire et techn. (obsolète)</t>
  </si>
  <si>
    <t>Paillet</t>
  </si>
  <si>
    <t>RAICHINI</t>
  </si>
  <si>
    <t>Patricia</t>
  </si>
  <si>
    <t>Petit-Palais-et-Cornemps</t>
  </si>
  <si>
    <t>CC du Grand Saint Emilionnais</t>
  </si>
  <si>
    <t>LOPEZ</t>
  </si>
  <si>
    <t>Denis</t>
  </si>
  <si>
    <t>Professeurs de faculté (obsolète)</t>
  </si>
  <si>
    <t>Pompignac</t>
  </si>
  <si>
    <t>CAZIMAJOU</t>
  </si>
  <si>
    <t>Portets</t>
  </si>
  <si>
    <t>BRITTON</t>
  </si>
  <si>
    <t>Jacky</t>
  </si>
  <si>
    <t>Roquebrune</t>
  </si>
  <si>
    <t>DUVERGER</t>
  </si>
  <si>
    <t>Saint-Germain-de-la-Rivière</t>
  </si>
  <si>
    <t>CC du Fronsadais</t>
  </si>
  <si>
    <t>GALLIER</t>
  </si>
  <si>
    <t>Patrice</t>
  </si>
  <si>
    <t>Cadres (entreprises publiques) (obsolète)</t>
  </si>
  <si>
    <t>Saint-Gervais</t>
  </si>
  <si>
    <t>CC du Grand Cubzaguais</t>
  </si>
  <si>
    <t>MONTION</t>
  </si>
  <si>
    <t>Alain</t>
  </si>
  <si>
    <t>Saint-Romain-la-Virvée</t>
  </si>
  <si>
    <t>RAYNAUD</t>
  </si>
  <si>
    <t>Serge</t>
  </si>
  <si>
    <t>Saint-Sauveur</t>
  </si>
  <si>
    <t>LARRIBAUD</t>
  </si>
  <si>
    <t>Baigneaux</t>
  </si>
  <si>
    <t>TURON</t>
  </si>
  <si>
    <t>Bassens</t>
  </si>
  <si>
    <t>MILLAIRE</t>
  </si>
  <si>
    <t>Michel</t>
  </si>
  <si>
    <t>Employés (autres entrep. publiques) (obsolète)</t>
  </si>
  <si>
    <t>Les Billaux</t>
  </si>
  <si>
    <t>JAUTARD</t>
  </si>
  <si>
    <t>Gilles</t>
  </si>
  <si>
    <t>Blaignac</t>
  </si>
  <si>
    <t>JOLY</t>
  </si>
  <si>
    <t>Pierre</t>
  </si>
  <si>
    <t>Retraités des entreprises publiques (obsolète)</t>
  </si>
  <si>
    <t>Bourg</t>
  </si>
  <si>
    <t>DUPONT</t>
  </si>
  <si>
    <t>Jean-Marie</t>
  </si>
  <si>
    <t>Branne</t>
  </si>
  <si>
    <t>GARRIGOU</t>
  </si>
  <si>
    <t>Bernard</t>
  </si>
  <si>
    <t>Canéjan</t>
  </si>
  <si>
    <t>CC Jalle-Eau-Bourde</t>
  </si>
  <si>
    <t>CALDERON</t>
  </si>
  <si>
    <t>Pascal</t>
  </si>
  <si>
    <t>Enseignants 1er deg.-directeurs école (obsolète)</t>
  </si>
  <si>
    <t>Captieux</t>
  </si>
  <si>
    <t>KISS</t>
  </si>
  <si>
    <t>Andréa</t>
  </si>
  <si>
    <t>Le Haillan</t>
  </si>
  <si>
    <t>GRENIER</t>
  </si>
  <si>
    <t>Anglade</t>
  </si>
  <si>
    <t>CC de l'Estuaire</t>
  </si>
  <si>
    <t>TULARS</t>
  </si>
  <si>
    <t>Escaudes</t>
  </si>
  <si>
    <t>FRAICHE</t>
  </si>
  <si>
    <t>Jean-Marc</t>
  </si>
  <si>
    <t>Fontet</t>
  </si>
  <si>
    <t>MUGRON</t>
  </si>
  <si>
    <t>Autres retraités (obsolète)</t>
  </si>
  <si>
    <t>Frontenac</t>
  </si>
  <si>
    <t>BAYARD</t>
  </si>
  <si>
    <t>Galgon</t>
  </si>
  <si>
    <t>CARREYRE</t>
  </si>
  <si>
    <t>Louchats</t>
  </si>
  <si>
    <t>ANZIANI</t>
  </si>
  <si>
    <t>Avocats (obsolète)</t>
  </si>
  <si>
    <t>Mérignac</t>
  </si>
  <si>
    <t>ZANINETTI</t>
  </si>
  <si>
    <t>Martial</t>
  </si>
  <si>
    <t>Le Porge</t>
  </si>
  <si>
    <t>CC Médullienne</t>
  </si>
  <si>
    <t>NADAUD</t>
  </si>
  <si>
    <t>Le Pout</t>
  </si>
  <si>
    <t>CHAMBAUD-BERRAN</t>
  </si>
  <si>
    <t>Véronique</t>
  </si>
  <si>
    <t>Queyrac</t>
  </si>
  <si>
    <t>RENOU</t>
  </si>
  <si>
    <t>Reignac</t>
  </si>
  <si>
    <t>BONETA</t>
  </si>
  <si>
    <t>Christian</t>
  </si>
  <si>
    <t>Saint-Caprais-de-Bordeaux</t>
  </si>
  <si>
    <t>JEAN</t>
  </si>
  <si>
    <t>René</t>
  </si>
  <si>
    <t>Saint-Cibard</t>
  </si>
  <si>
    <t>FAURT</t>
  </si>
  <si>
    <t>Saint-Martin-du-Bois</t>
  </si>
  <si>
    <t>BERTHOMÉ</t>
  </si>
  <si>
    <t>Marcel</t>
  </si>
  <si>
    <t>Saint-Seurin-sur-l'Isle</t>
  </si>
  <si>
    <t>GIOVANNUCCI</t>
  </si>
  <si>
    <t>Marie-Lise</t>
  </si>
  <si>
    <t>Employés (secteur privé) (obsolète)</t>
  </si>
  <si>
    <t>Samonac</t>
  </si>
  <si>
    <t>CC de Blaye</t>
  </si>
  <si>
    <t>DARBO</t>
  </si>
  <si>
    <t>Benoît</t>
  </si>
  <si>
    <t>Ingénieurs (obsolète)</t>
  </si>
  <si>
    <t>Cabanac-et-Villagrains</t>
  </si>
  <si>
    <t>LAULAN</t>
  </si>
  <si>
    <t>Castets et Castillon</t>
  </si>
  <si>
    <t>CARDOIT</t>
  </si>
  <si>
    <t>Goualade</t>
  </si>
  <si>
    <t>LAMOTHE</t>
  </si>
  <si>
    <t>Retraités des professions libérales (obsolète)</t>
  </si>
  <si>
    <t>Lartigue</t>
  </si>
  <si>
    <t>LUMINO</t>
  </si>
  <si>
    <t>Odile</t>
  </si>
  <si>
    <t>Fonctionnaires de catégorie C (obsolète)</t>
  </si>
  <si>
    <t>Dardenac</t>
  </si>
  <si>
    <t>BOURDIER</t>
  </si>
  <si>
    <t>Doulezon</t>
  </si>
  <si>
    <t>CAPDEVIELLE</t>
  </si>
  <si>
    <t>Listrac-Médoc</t>
  </si>
  <si>
    <t>LAPEYRE</t>
  </si>
  <si>
    <t>Madeleine</t>
  </si>
  <si>
    <t>Masseilles</t>
  </si>
  <si>
    <t>BRIFFAUT</t>
  </si>
  <si>
    <t>Georges</t>
  </si>
  <si>
    <t>Néac</t>
  </si>
  <si>
    <t>GOURGOUSSE</t>
  </si>
  <si>
    <t>Saint-André-et-Appelles</t>
  </si>
  <si>
    <t>CC du Pays Foyen</t>
  </si>
  <si>
    <t>DE PARDIEU</t>
  </si>
  <si>
    <t>François</t>
  </si>
  <si>
    <t>Retraités agricoles (obsolète)</t>
  </si>
  <si>
    <t>Saint-Ciers-de-Canesse</t>
  </si>
  <si>
    <t>VALLADE</t>
  </si>
  <si>
    <t>Saint-Laurent-des-Combes</t>
  </si>
  <si>
    <t>BOULIN</t>
  </si>
  <si>
    <t>Saint-Laurent-du-Plan</t>
  </si>
  <si>
    <t>CHEYROU</t>
  </si>
  <si>
    <t>Maryse</t>
  </si>
  <si>
    <t>Saint-Sulpice-de-Guilleragues</t>
  </si>
  <si>
    <t>JAGUENAUD</t>
  </si>
  <si>
    <t>Saint-Sulpice-et-Cameyrac</t>
  </si>
  <si>
    <t>MONTO</t>
  </si>
  <si>
    <t>Patrick</t>
  </si>
  <si>
    <t>Savignac</t>
  </si>
  <si>
    <t>BEC</t>
  </si>
  <si>
    <t>Vérac</t>
  </si>
  <si>
    <t>BIDALUN</t>
  </si>
  <si>
    <t>Le Verdon-sur-Mer</t>
  </si>
  <si>
    <t>CAMON-GOLYA</t>
  </si>
  <si>
    <t>Autres professions (obsolète)</t>
  </si>
  <si>
    <t>Auros</t>
  </si>
  <si>
    <t>DANNE</t>
  </si>
  <si>
    <t>Ayguemorte-les-Graves</t>
  </si>
  <si>
    <t>LEMONNIER</t>
  </si>
  <si>
    <t>Marie-Christine</t>
  </si>
  <si>
    <t>Belin-Béliet</t>
  </si>
  <si>
    <t>CC du Val de l'Eyre</t>
  </si>
  <si>
    <t>SAUMON</t>
  </si>
  <si>
    <t>Jean-Louis</t>
  </si>
  <si>
    <t>Brouqueyran</t>
  </si>
  <si>
    <t>TERRAZA</t>
  </si>
  <si>
    <t>Brigitte</t>
  </si>
  <si>
    <t>Bruges</t>
  </si>
  <si>
    <t>ZAUSA</t>
  </si>
  <si>
    <t>Elie</t>
  </si>
  <si>
    <t>Budos</t>
  </si>
  <si>
    <t>CUARTERO</t>
  </si>
  <si>
    <t>Cambes</t>
  </si>
  <si>
    <t>MONTEIL</t>
  </si>
  <si>
    <t>Frank</t>
  </si>
  <si>
    <t>Carignan-de-Bordeaux</t>
  </si>
  <si>
    <t>Civrac-de-Blaye</t>
  </si>
  <si>
    <t>CC Latitude Nord Gironde</t>
  </si>
  <si>
    <t>DES ESGAULX</t>
  </si>
  <si>
    <t>Marie-Hélène</t>
  </si>
  <si>
    <t>Gujan-Mestras</t>
  </si>
  <si>
    <t>CA Bassin d'Arcachon Sud-Pôle Atlantique (COBAS)</t>
  </si>
  <si>
    <t>JOYÉ</t>
  </si>
  <si>
    <t>Donnezac</t>
  </si>
  <si>
    <t>BIGOT</t>
  </si>
  <si>
    <t>Gardegan-et-Tourtirac</t>
  </si>
  <si>
    <t>TITÉ</t>
  </si>
  <si>
    <t>Camiac-et-Saint-Denis</t>
  </si>
  <si>
    <t>LAÉ</t>
  </si>
  <si>
    <t>Campugnan</t>
  </si>
  <si>
    <t>COUSTET</t>
  </si>
  <si>
    <t>Cauvignac</t>
  </si>
  <si>
    <t>DALLA-LONGA</t>
  </si>
  <si>
    <t>Dieulivol</t>
  </si>
  <si>
    <t>RAYNE</t>
  </si>
  <si>
    <t>Jeanne</t>
  </si>
  <si>
    <t>Martres</t>
  </si>
  <si>
    <t>AUROUX</t>
  </si>
  <si>
    <t>Noaillan</t>
  </si>
  <si>
    <t>FATIN</t>
  </si>
  <si>
    <t>Florent</t>
  </si>
  <si>
    <t>Pauillac</t>
  </si>
  <si>
    <t>ZAGHET</t>
  </si>
  <si>
    <t>Francis</t>
  </si>
  <si>
    <t>Pondaurat</t>
  </si>
  <si>
    <t>POINEAU</t>
  </si>
  <si>
    <t>Stéphane</t>
  </si>
  <si>
    <t>Saint-Christoly-Médoc</t>
  </si>
  <si>
    <t>MOURLANNE</t>
  </si>
  <si>
    <t>Saint-Côme</t>
  </si>
  <si>
    <t>LATAPY</t>
  </si>
  <si>
    <t>Sainte-Croix-du-Mont</t>
  </si>
  <si>
    <t>FONTENEAU</t>
  </si>
  <si>
    <t>Fabienne</t>
  </si>
  <si>
    <t>Saint-Denis-de-Pile</t>
  </si>
  <si>
    <t>COMBRET</t>
  </si>
  <si>
    <t>Josiane</t>
  </si>
  <si>
    <t>Saint-Martial</t>
  </si>
  <si>
    <t>ROI</t>
  </si>
  <si>
    <t>Saint-Seurin-de-Cadourne</t>
  </si>
  <si>
    <t>ROQUES</t>
  </si>
  <si>
    <t>Saint-Yzan-de-Soudiac</t>
  </si>
  <si>
    <t>DERVILLÉ</t>
  </si>
  <si>
    <t>Luc</t>
  </si>
  <si>
    <t>Salles</t>
  </si>
  <si>
    <t>DESCAMPS</t>
  </si>
  <si>
    <t>Jean-Michel</t>
  </si>
  <si>
    <t>Salariés du secteur médical (obsolète)</t>
  </si>
  <si>
    <t>Sauternes</t>
  </si>
  <si>
    <t>DESQUEYROUX</t>
  </si>
  <si>
    <t>Sillas</t>
  </si>
  <si>
    <t>SOUBIE</t>
  </si>
  <si>
    <t>Tresses</t>
  </si>
  <si>
    <t>LEGRAND</t>
  </si>
  <si>
    <t>Vayres</t>
  </si>
  <si>
    <t>PEJEAN</t>
  </si>
  <si>
    <t>Guîtres</t>
  </si>
  <si>
    <t>SAINT-MARTIN</t>
  </si>
  <si>
    <t>Lamarque</t>
  </si>
  <si>
    <t>ESTRADE</t>
  </si>
  <si>
    <t>Hélène</t>
  </si>
  <si>
    <t>Pharmaciens (obsolète)</t>
  </si>
  <si>
    <t>Lapouyade</t>
  </si>
  <si>
    <t>BAUDIN</t>
  </si>
  <si>
    <t>Avensan</t>
  </si>
  <si>
    <t>LAURANS</t>
  </si>
  <si>
    <t>Bommes</t>
  </si>
  <si>
    <t>FOUILHAC</t>
  </si>
  <si>
    <t>Christiane</t>
  </si>
  <si>
    <t>Castelviel</t>
  </si>
  <si>
    <t>BERTIN</t>
  </si>
  <si>
    <t>Ligueux</t>
  </si>
  <si>
    <t>VERNEJOUL</t>
  </si>
  <si>
    <t>Martignas-sur-Jalle</t>
  </si>
  <si>
    <t>DEBRUYNE</t>
  </si>
  <si>
    <t>Monségur</t>
  </si>
  <si>
    <t>LAMAISON</t>
  </si>
  <si>
    <t>Nérigean</t>
  </si>
  <si>
    <t>DE FRANÇOIS</t>
  </si>
  <si>
    <t>Béatrice</t>
  </si>
  <si>
    <t>Parempuyre</t>
  </si>
  <si>
    <t>TEYSSANDIER</t>
  </si>
  <si>
    <t>Pineuilh</t>
  </si>
  <si>
    <t>CLAVIER</t>
  </si>
  <si>
    <t>Pujols-sur-Ciron</t>
  </si>
  <si>
    <t>Marc</t>
  </si>
  <si>
    <t>Architectes (obsolète)</t>
  </si>
  <si>
    <t>Saint-Michel-de-Rieufret</t>
  </si>
  <si>
    <t>Saint-Vincent-de-Pertignas</t>
  </si>
  <si>
    <t>DOMENS</t>
  </si>
  <si>
    <t>Saint-Vivien-de-Blaye</t>
  </si>
  <si>
    <t>D'AMECOURT</t>
  </si>
  <si>
    <t>Yves</t>
  </si>
  <si>
    <t>Sauveterre-de-Guyenne</t>
  </si>
  <si>
    <t>PUJOL</t>
  </si>
  <si>
    <t>Villenave-d'Ornon</t>
  </si>
  <si>
    <t>PAGÈS</t>
  </si>
  <si>
    <t>Madirac</t>
  </si>
  <si>
    <t>LIMOUZIN</t>
  </si>
  <si>
    <t>Bruno</t>
  </si>
  <si>
    <t>Mourens</t>
  </si>
  <si>
    <t>BAPSALLE</t>
  </si>
  <si>
    <t>Jean-Gilbert</t>
  </si>
  <si>
    <t>Preignac</t>
  </si>
  <si>
    <t>PEYRIDIEUX</t>
  </si>
  <si>
    <t>Paquerette</t>
  </si>
  <si>
    <t>Saint-Antoine-sur-l'Isle</t>
  </si>
  <si>
    <t>PICQ</t>
  </si>
  <si>
    <t>Murielle</t>
  </si>
  <si>
    <t>Saint-Christoly-de-Blaye</t>
  </si>
  <si>
    <t>ALLAIS</t>
  </si>
  <si>
    <t>Jack</t>
  </si>
  <si>
    <t>Saint-Quentin-de-Baron</t>
  </si>
  <si>
    <t>ROUBINEAU</t>
  </si>
  <si>
    <t>Saint-Quentin-de-Caplong</t>
  </si>
  <si>
    <t>RENARD</t>
  </si>
  <si>
    <t>Saint-Savin</t>
  </si>
  <si>
    <t>EROLES</t>
  </si>
  <si>
    <t>Jean-Jacques</t>
  </si>
  <si>
    <t>La Teste-de-Buch</t>
  </si>
  <si>
    <t>BLANC</t>
  </si>
  <si>
    <t>Jean-Franck</t>
  </si>
  <si>
    <t>Teuillac</t>
  </si>
  <si>
    <t>AGULLANA</t>
  </si>
  <si>
    <t>Marie-Claude</t>
  </si>
  <si>
    <t>Le Tourne</t>
  </si>
  <si>
    <t>FROMENTIER</t>
  </si>
  <si>
    <t>Guillac</t>
  </si>
  <si>
    <t>AUBIN</t>
  </si>
  <si>
    <t>Haux</t>
  </si>
  <si>
    <t>COUTREAU</t>
  </si>
  <si>
    <t>Jau-Dignac-et-Loirac</t>
  </si>
  <si>
    <t>DESPUJOL</t>
  </si>
  <si>
    <t>Lamothe-Landerron</t>
  </si>
  <si>
    <t>MERCIER</t>
  </si>
  <si>
    <t>Bastien</t>
  </si>
  <si>
    <t>Représentants de commerce (obsolète)</t>
  </si>
  <si>
    <t>Camiran</t>
  </si>
  <si>
    <t>MEIFFREN</t>
  </si>
  <si>
    <t>Carcans</t>
  </si>
  <si>
    <t>LASSALLE</t>
  </si>
  <si>
    <t>Jean-Claude</t>
  </si>
  <si>
    <t>Cazalis</t>
  </si>
  <si>
    <t>REBIÈRE</t>
  </si>
  <si>
    <t>Raymond</t>
  </si>
  <si>
    <t>Cazaugitat</t>
  </si>
  <si>
    <t>SOULÉ</t>
  </si>
  <si>
    <t>Jean-Patrick</t>
  </si>
  <si>
    <t>Cérons</t>
  </si>
  <si>
    <t>ANGELY</t>
  </si>
  <si>
    <t>Civrac-sur-Dordogne</t>
  </si>
  <si>
    <t>DUFOUR</t>
  </si>
  <si>
    <t>Eynesse</t>
  </si>
  <si>
    <t>CHOLLON</t>
  </si>
  <si>
    <t>Lionel</t>
  </si>
  <si>
    <t>Loupiac</t>
  </si>
  <si>
    <t>BRUN</t>
  </si>
  <si>
    <t>Lugasson</t>
  </si>
  <si>
    <t>DOUX</t>
  </si>
  <si>
    <t>Joël</t>
  </si>
  <si>
    <t>Montagoudin</t>
  </si>
  <si>
    <t>VÉRIT</t>
  </si>
  <si>
    <t>Anne-Marie</t>
  </si>
  <si>
    <t>Pleine-Selve</t>
  </si>
  <si>
    <t>CHALARD</t>
  </si>
  <si>
    <t>Christophe</t>
  </si>
  <si>
    <t>Sainte-Foy-la-Grande</t>
  </si>
  <si>
    <t>GUIMBERTEAU</t>
  </si>
  <si>
    <t>Saint-Genès-de-Castillon</t>
  </si>
  <si>
    <t>OCTON</t>
  </si>
  <si>
    <t>Saint-Magne</t>
  </si>
  <si>
    <t>GALAN</t>
  </si>
  <si>
    <t>Saint-Martin-de-Laye</t>
  </si>
  <si>
    <t>GANTCH</t>
  </si>
  <si>
    <t>Chantal</t>
  </si>
  <si>
    <t>Savignac-de-l'Isle</t>
  </si>
  <si>
    <t>PEZAT</t>
  </si>
  <si>
    <t>Richard</t>
  </si>
  <si>
    <t>Targon</t>
  </si>
  <si>
    <t>LEVEAU</t>
  </si>
  <si>
    <t>Bellebat</t>
  </si>
  <si>
    <t>THILLET</t>
  </si>
  <si>
    <t>Blésignac</t>
  </si>
  <si>
    <t>VEYSSY</t>
  </si>
  <si>
    <t>Catherine</t>
  </si>
  <si>
    <t>Cénac</t>
  </si>
  <si>
    <t>GORIOUX</t>
  </si>
  <si>
    <t>Coutures</t>
  </si>
  <si>
    <t>LAPORTE</t>
  </si>
  <si>
    <t>Grayan-et-l'Hôpital</t>
  </si>
  <si>
    <t>JACQUET</t>
  </si>
  <si>
    <t>Anne-Lise</t>
  </si>
  <si>
    <t>Artigues-près-Bordeaux</t>
  </si>
  <si>
    <t>QUEYRENS</t>
  </si>
  <si>
    <t>Donzac</t>
  </si>
  <si>
    <t>MADRID</t>
  </si>
  <si>
    <t>Claudine</t>
  </si>
  <si>
    <t>Francs</t>
  </si>
  <si>
    <t>PAIGNE</t>
  </si>
  <si>
    <t>Gours</t>
  </si>
  <si>
    <t>NOMPEIX</t>
  </si>
  <si>
    <t>Claude</t>
  </si>
  <si>
    <t>Grézillac</t>
  </si>
  <si>
    <t>LABEYRIE</t>
  </si>
  <si>
    <t>Jean-Paul</t>
  </si>
  <si>
    <t>Laruscade</t>
  </si>
  <si>
    <t>BARBAN</t>
  </si>
  <si>
    <t>Léognan</t>
  </si>
  <si>
    <t>BELIS</t>
  </si>
  <si>
    <t>Aubiac</t>
  </si>
  <si>
    <t>CHATELIER</t>
  </si>
  <si>
    <t>Escoussans</t>
  </si>
  <si>
    <t>BESSE-CASTANT</t>
  </si>
  <si>
    <t>Josie</t>
  </si>
  <si>
    <t>Faleyras</t>
  </si>
  <si>
    <t>DELFAUT</t>
  </si>
  <si>
    <t>Lugaignac</t>
  </si>
  <si>
    <t>MABILLE</t>
  </si>
  <si>
    <t>Peujard</t>
  </si>
  <si>
    <t>BERNARD</t>
  </si>
  <si>
    <t>Rions</t>
  </si>
  <si>
    <t>Ruch</t>
  </si>
  <si>
    <t>CAMEDESCASSE</t>
  </si>
  <si>
    <t>Allain</t>
  </si>
  <si>
    <t>Sainte-Hélène</t>
  </si>
  <si>
    <t>LECOURT</t>
  </si>
  <si>
    <t>Saint-Hilaire-de-la-Noaille</t>
  </si>
  <si>
    <t>MOULINIER</t>
  </si>
  <si>
    <t>Saint-Sauveur-de-Puynormand</t>
  </si>
  <si>
    <t>MARTY</t>
  </si>
  <si>
    <t>Guy</t>
  </si>
  <si>
    <t>Sainte-Terre</t>
  </si>
  <si>
    <t>CHAZEAU</t>
  </si>
  <si>
    <t>Sigalens</t>
  </si>
  <si>
    <t>BUORO</t>
  </si>
  <si>
    <t>Tayac</t>
  </si>
  <si>
    <t>VERGES</t>
  </si>
  <si>
    <t>Villeneuve</t>
  </si>
  <si>
    <t>LACOME</t>
  </si>
  <si>
    <t>Balizac</t>
  </si>
  <si>
    <t>ALAMY</t>
  </si>
  <si>
    <t>Caline</t>
  </si>
  <si>
    <t>Castelmoron-d'Albret</t>
  </si>
  <si>
    <t>BLANCHETON</t>
  </si>
  <si>
    <t>Sophie</t>
  </si>
  <si>
    <t>Chamadelle</t>
  </si>
  <si>
    <t>MORIN</t>
  </si>
  <si>
    <t>Coimères</t>
  </si>
  <si>
    <t>GÉROMIN</t>
  </si>
  <si>
    <t>Coubeyrac</t>
  </si>
  <si>
    <t>DOREAU</t>
  </si>
  <si>
    <t>Sylvia-Mylène</t>
  </si>
  <si>
    <t>Guillos</t>
  </si>
  <si>
    <t>DUBOURG</t>
  </si>
  <si>
    <t>Illats</t>
  </si>
  <si>
    <t>PELLETANT</t>
  </si>
  <si>
    <t>Landiras</t>
  </si>
  <si>
    <t>LARRUE</t>
  </si>
  <si>
    <t>Marie</t>
  </si>
  <si>
    <t>Conseillers juridiques (obsolète)</t>
  </si>
  <si>
    <t>Lanton</t>
  </si>
  <si>
    <t>SUBRENAT</t>
  </si>
  <si>
    <t>Kévin</t>
  </si>
  <si>
    <t>Ambès</t>
  </si>
  <si>
    <t>PUYOBRAU</t>
  </si>
  <si>
    <t>Floirac</t>
  </si>
  <si>
    <t>BELLOC</t>
  </si>
  <si>
    <t>Gans</t>
  </si>
  <si>
    <t>CROS</t>
  </si>
  <si>
    <t>Camarsac</t>
  </si>
  <si>
    <t>VILLAR</t>
  </si>
  <si>
    <t>Cartelègue</t>
  </si>
  <si>
    <t>DREUMONT</t>
  </si>
  <si>
    <t>Cours-les-Bains</t>
  </si>
  <si>
    <t>DESPERIEZ</t>
  </si>
  <si>
    <t>Cubnezais</t>
  </si>
  <si>
    <t>FROUIN</t>
  </si>
  <si>
    <t>Lugon-et-l'Ile-du-Carnay</t>
  </si>
  <si>
    <t>PAILHET</t>
  </si>
  <si>
    <t>Saint-Avit-de-Soulège</t>
  </si>
  <si>
    <t>DECAMPS</t>
  </si>
  <si>
    <t>Françoise</t>
  </si>
  <si>
    <t>Saint-Etienne-de-Lisse</t>
  </si>
  <si>
    <t>PATANCHON</t>
  </si>
  <si>
    <t>Saint-Macaire</t>
  </si>
  <si>
    <t>POUJON</t>
  </si>
  <si>
    <t>Saint-Martin-de-Lerm</t>
  </si>
  <si>
    <t>MANGON</t>
  </si>
  <si>
    <t>Saint-Médard-en-Jalles</t>
  </si>
  <si>
    <t>ARNAUDIN</t>
  </si>
  <si>
    <t>Saint-Seurin-de-Bourg</t>
  </si>
  <si>
    <t>COLES</t>
  </si>
  <si>
    <t>Max</t>
  </si>
  <si>
    <t>Saint-Vincent-de-Paul</t>
  </si>
  <si>
    <t>BROUSTAUT</t>
  </si>
  <si>
    <t>Tabanac</t>
  </si>
  <si>
    <t>BOURNEL</t>
  </si>
  <si>
    <t>Vendays-Montalivet</t>
  </si>
  <si>
    <t>PELLETON</t>
  </si>
  <si>
    <t>Marcenais</t>
  </si>
  <si>
    <t>PORTET</t>
  </si>
  <si>
    <t>Adeline</t>
  </si>
  <si>
    <t>Marions</t>
  </si>
  <si>
    <t>LAGARDE</t>
  </si>
  <si>
    <t>Moulis-en-Médoc</t>
  </si>
  <si>
    <t>MESPLEDE</t>
  </si>
  <si>
    <t>Les Peintures</t>
  </si>
  <si>
    <t>BARET</t>
  </si>
  <si>
    <t>Périssac</t>
  </si>
  <si>
    <t>MORTAGNE</t>
  </si>
  <si>
    <t>Préchac</t>
  </si>
  <si>
    <t>Hubert</t>
  </si>
  <si>
    <t>Sainte-Eulalie</t>
  </si>
  <si>
    <t>JOANCHICOY</t>
  </si>
  <si>
    <t>Henry</t>
  </si>
  <si>
    <t>Sainte-Foy-la-Longue</t>
  </si>
  <si>
    <t>BERNALEAU</t>
  </si>
  <si>
    <t>Saint-Genès-de-Fronsac</t>
  </si>
  <si>
    <t>PAGE</t>
  </si>
  <si>
    <t>Eric</t>
  </si>
  <si>
    <t>Saint-Girons-d'Aiguevives</t>
  </si>
  <si>
    <t>MARGUERITTE</t>
  </si>
  <si>
    <t>Saint-Martin-Lacaussade</t>
  </si>
  <si>
    <t>MALANDIT-SALLAUD</t>
  </si>
  <si>
    <t>Saint-Michel-de-Lapujade</t>
  </si>
  <si>
    <t>TERRANCLE</t>
  </si>
  <si>
    <t>Saint-Palais</t>
  </si>
  <si>
    <t>DUPIOL</t>
  </si>
  <si>
    <t>Saint-Symphorien</t>
  </si>
  <si>
    <t>DULON</t>
  </si>
  <si>
    <t>Soulignac</t>
  </si>
  <si>
    <t>BRETON</t>
  </si>
  <si>
    <t>Valeyrac</t>
  </si>
  <si>
    <t>DANG</t>
  </si>
  <si>
    <t>Yvrac</t>
  </si>
  <si>
    <t>MERLAUT</t>
  </si>
  <si>
    <t>Jean</t>
  </si>
  <si>
    <t>Baurech</t>
  </si>
  <si>
    <t>DUMENIL</t>
  </si>
  <si>
    <t>Bieujac</t>
  </si>
  <si>
    <t>ALCALA</t>
  </si>
  <si>
    <t>Médecins (obsolète)</t>
  </si>
  <si>
    <t>Bouliac</t>
  </si>
  <si>
    <t>GAZEAU</t>
  </si>
  <si>
    <t>Cadaujac</t>
  </si>
  <si>
    <t>JOUSSEAUME</t>
  </si>
  <si>
    <t>Cours-de-Monségur</t>
  </si>
  <si>
    <t>MONTANGON</t>
  </si>
  <si>
    <t>Gauriaguet</t>
  </si>
  <si>
    <t>CAPES</t>
  </si>
  <si>
    <t>Giscos</t>
  </si>
  <si>
    <t>SERENA</t>
  </si>
  <si>
    <t>Commercants (obsolète)</t>
  </si>
  <si>
    <t>Ladaux</t>
  </si>
  <si>
    <t>BAILAN</t>
  </si>
  <si>
    <t>Eyrans</t>
  </si>
  <si>
    <t>LATRILLE</t>
  </si>
  <si>
    <t>Loupiac-de-la-Réole</t>
  </si>
  <si>
    <t>DUCAMP</t>
  </si>
  <si>
    <t>Professions rattachées à enseignt. (obsolète)</t>
  </si>
  <si>
    <t>Ludon-Médoc</t>
  </si>
  <si>
    <t>BERNIARD</t>
  </si>
  <si>
    <t>Margaux-Cantenac</t>
  </si>
  <si>
    <t>DUDON</t>
  </si>
  <si>
    <t>Pessac-sur-Dordogne</t>
  </si>
  <si>
    <t>BOUDIGUE</t>
  </si>
  <si>
    <t>Rimons</t>
  </si>
  <si>
    <t>ULMANN</t>
  </si>
  <si>
    <t>David</t>
  </si>
  <si>
    <t>La Roquille</t>
  </si>
  <si>
    <t>GOINEAU</t>
  </si>
  <si>
    <t>Saint-Christophe-des-Bardes</t>
  </si>
  <si>
    <t>THIBEAU</t>
  </si>
  <si>
    <t>Daniel</t>
  </si>
  <si>
    <t>Sainte-Colombe</t>
  </si>
  <si>
    <t>KERGEFFROY</t>
  </si>
  <si>
    <t>Lucien</t>
  </si>
  <si>
    <t>Sainte-Gemme</t>
  </si>
  <si>
    <t>Martine</t>
  </si>
  <si>
    <t>Saint-Martin-du-Puy</t>
  </si>
  <si>
    <t>LARTIGAU</t>
  </si>
  <si>
    <t>Semens</t>
  </si>
  <si>
    <t>CHARRON</t>
  </si>
  <si>
    <t>Pierre-Yves</t>
  </si>
  <si>
    <t>Soussans</t>
  </si>
  <si>
    <t>MOLLE RIBAUVILLE</t>
  </si>
  <si>
    <t>Corinne</t>
  </si>
  <si>
    <t>Verdelais</t>
  </si>
  <si>
    <t>PHOENIX</t>
  </si>
  <si>
    <t>Agents d'affaires (obsolète)</t>
  </si>
  <si>
    <t>Brach</t>
  </si>
  <si>
    <t>REIS-FILIPE</t>
  </si>
  <si>
    <t>Armand</t>
  </si>
  <si>
    <t>Agents d'assurances (obsolète)</t>
  </si>
  <si>
    <t>Cadarsac</t>
  </si>
  <si>
    <t>VERITE</t>
  </si>
  <si>
    <t>Caplong</t>
  </si>
  <si>
    <t>REYNAUD</t>
  </si>
  <si>
    <t>Cessac</t>
  </si>
  <si>
    <t>GACHET</t>
  </si>
  <si>
    <t>Créon</t>
  </si>
  <si>
    <t>DARTIAILH</t>
  </si>
  <si>
    <t>Hostens</t>
  </si>
  <si>
    <t>SIGNORET</t>
  </si>
  <si>
    <t>Hourtin</t>
  </si>
  <si>
    <t>HÉRITIÉ</t>
  </si>
  <si>
    <t>Ambarès-et-Lagrave</t>
  </si>
  <si>
    <t>PERRIERE</t>
  </si>
  <si>
    <t>Jean-Guy</t>
  </si>
  <si>
    <t>Arès</t>
  </si>
  <si>
    <t>MESTRE</t>
  </si>
  <si>
    <t>Samuel</t>
  </si>
  <si>
    <t>Salariés agricoles (obsolète)</t>
  </si>
  <si>
    <t>Daubèze</t>
  </si>
  <si>
    <t>BOST</t>
  </si>
  <si>
    <t>Christine</t>
  </si>
  <si>
    <t>Eysines</t>
  </si>
  <si>
    <t>LESVIGNES</t>
  </si>
  <si>
    <t>Loupes</t>
  </si>
  <si>
    <t>DELGUEL</t>
  </si>
  <si>
    <t>Mouliets-et-Villemartin</t>
  </si>
  <si>
    <t>TILLET-FAURIE</t>
  </si>
  <si>
    <t>Saillans</t>
  </si>
  <si>
    <t>DUPRAT</t>
  </si>
  <si>
    <t>Saint-Aubin-de-Médoc</t>
  </si>
  <si>
    <t>SEYVE</t>
  </si>
  <si>
    <t>Hervé</t>
  </si>
  <si>
    <t>Saint-Jean-d'Illac</t>
  </si>
  <si>
    <t>BRESSAN</t>
  </si>
  <si>
    <t>Saint-Julien-Beychevelle</t>
  </si>
  <si>
    <t>TAMARELLE</t>
  </si>
  <si>
    <t>Saint-Médard-d'Eyrans</t>
  </si>
  <si>
    <t>BLANGERO</t>
  </si>
  <si>
    <t>Saint-Pardon-de-Conques</t>
  </si>
  <si>
    <t>ACKER</t>
  </si>
  <si>
    <t>Saint-Pierre-de-Bat</t>
  </si>
  <si>
    <t>GRAVINO</t>
  </si>
  <si>
    <t>Saint-Trojan</t>
  </si>
  <si>
    <t>BOS</t>
  </si>
  <si>
    <t>Thierry</t>
  </si>
  <si>
    <t>Gironde-sur-Dropt</t>
  </si>
  <si>
    <t>QUIRIN</t>
  </si>
  <si>
    <t>Floudès</t>
  </si>
  <si>
    <t>DORNON</t>
  </si>
  <si>
    <t>Le Barp</t>
  </si>
  <si>
    <t>MANSEAU</t>
  </si>
  <si>
    <t>Birac</t>
  </si>
  <si>
    <t>EDARD</t>
  </si>
  <si>
    <t>Cavignac</t>
  </si>
  <si>
    <t>VIAUD</t>
  </si>
  <si>
    <t>Mauriac</t>
  </si>
  <si>
    <t>GUINAUDIE</t>
  </si>
  <si>
    <t>Mombrier</t>
  </si>
  <si>
    <t>GOUTTE</t>
  </si>
  <si>
    <t>Plassac</t>
  </si>
  <si>
    <t>ABANADES</t>
  </si>
  <si>
    <t>Sablons</t>
  </si>
  <si>
    <t>DELONG</t>
  </si>
  <si>
    <t>Agents technique et techniciens (obsolète)</t>
  </si>
  <si>
    <t>Saint-André-du-Bois</t>
  </si>
  <si>
    <t>DURU</t>
  </si>
  <si>
    <t>Saint-Brice</t>
  </si>
  <si>
    <t>RODRIGUEZ</t>
  </si>
  <si>
    <t>Laëtitia</t>
  </si>
  <si>
    <t>Saint-Léger-de-Balson</t>
  </si>
  <si>
    <t>ZAMBON</t>
  </si>
  <si>
    <t>Saint-Louis-de-Montferrand</t>
  </si>
  <si>
    <t>DELONGEAS</t>
  </si>
  <si>
    <t>Saint-Magne-de-Castillon</t>
  </si>
  <si>
    <t>GAZZIERO</t>
  </si>
  <si>
    <t>Saint-Maixant</t>
  </si>
  <si>
    <t>DUBERNET</t>
  </si>
  <si>
    <t>Saint-Vivien-de-Médoc</t>
  </si>
  <si>
    <t>SOULARD</t>
  </si>
  <si>
    <t>Marie-Claire</t>
  </si>
  <si>
    <t>Saugon</t>
  </si>
  <si>
    <t>BAUDY</t>
  </si>
  <si>
    <t>Marcheprime</t>
  </si>
  <si>
    <t>BOSSET</t>
  </si>
  <si>
    <t>Bazas</t>
  </si>
  <si>
    <t>DUBOUILH</t>
  </si>
  <si>
    <t>Berthez</t>
  </si>
  <si>
    <t>BARBE</t>
  </si>
  <si>
    <t>Cadillac-en-Fronsadais</t>
  </si>
  <si>
    <t>EGRON</t>
  </si>
  <si>
    <t>Cenon</t>
  </si>
  <si>
    <t>PORTE</t>
  </si>
  <si>
    <t>Cézac</t>
  </si>
  <si>
    <t>Cudos</t>
  </si>
  <si>
    <t>LAGARDERE</t>
  </si>
  <si>
    <t>Lerm-et-Musset</t>
  </si>
  <si>
    <t>FOULON</t>
  </si>
  <si>
    <t>Arcachon</t>
  </si>
  <si>
    <t>LACOUME</t>
  </si>
  <si>
    <t>Daignac</t>
  </si>
  <si>
    <t>PIOT</t>
  </si>
  <si>
    <t>Espiet</t>
  </si>
  <si>
    <t>DIONIS DU SEJOUR</t>
  </si>
  <si>
    <t>Gajac</t>
  </si>
  <si>
    <t>REGIS</t>
  </si>
  <si>
    <t>Marie-France</t>
  </si>
  <si>
    <t>Mouillac</t>
  </si>
  <si>
    <t>Ordonnac</t>
  </si>
  <si>
    <t>CESAR</t>
  </si>
  <si>
    <t>Rauzan</t>
  </si>
  <si>
    <t>MONSEIGNE</t>
  </si>
  <si>
    <t>Célia</t>
  </si>
  <si>
    <t>Saint-André-de-Cubzac</t>
  </si>
  <si>
    <t>MOUTE</t>
  </si>
  <si>
    <t>Saint-Vivien-de-Monségur</t>
  </si>
  <si>
    <t>SAEZ</t>
  </si>
  <si>
    <t>Tauriac</t>
  </si>
  <si>
    <t>BRETEAU</t>
  </si>
  <si>
    <t>Villandraut</t>
  </si>
  <si>
    <t>RUPERT</t>
  </si>
  <si>
    <t>Béguey</t>
  </si>
  <si>
    <t>BARGUE</t>
  </si>
  <si>
    <t>Bonnetan</t>
  </si>
  <si>
    <t>CONSTANT</t>
  </si>
  <si>
    <t>Castres-Gironde</t>
  </si>
  <si>
    <t>Gauriac</t>
  </si>
  <si>
    <t>QUET</t>
  </si>
  <si>
    <t>Les Artigues-de-Lussac</t>
  </si>
  <si>
    <t>AUGEY</t>
  </si>
  <si>
    <t>Fargues</t>
  </si>
  <si>
    <t>Fossès-et-Baleyssac</t>
  </si>
  <si>
    <t>Olivier</t>
  </si>
  <si>
    <t>Lignan-de-Bazas</t>
  </si>
  <si>
    <t>BUISSERET</t>
  </si>
  <si>
    <t>Lignan-de-Bordeaux</t>
  </si>
  <si>
    <t>CLAVERIE</t>
  </si>
  <si>
    <t>Martillac</t>
  </si>
  <si>
    <t>DAVID</t>
  </si>
  <si>
    <t>Monprimblanc</t>
  </si>
  <si>
    <t>GAILLARD</t>
  </si>
  <si>
    <t>Prignac-et-Marcamps</t>
  </si>
  <si>
    <t>NOFFRAY</t>
  </si>
  <si>
    <t>Puybarban</t>
  </si>
  <si>
    <t>RIVEAU</t>
  </si>
  <si>
    <t>Saint-Androny</t>
  </si>
  <si>
    <t>AMBLEVERT</t>
  </si>
  <si>
    <t>Sainte-Florence</t>
  </si>
  <si>
    <t>DURAND</t>
  </si>
  <si>
    <t>Saint-Loubès</t>
  </si>
  <si>
    <t>MARCHAL</t>
  </si>
  <si>
    <t>Jimmy</t>
  </si>
  <si>
    <t>Le Tuzan</t>
  </si>
  <si>
    <t>SUBERVIE</t>
  </si>
  <si>
    <t>Villenave-de-Rions</t>
  </si>
  <si>
    <t>GAYRARD</t>
  </si>
  <si>
    <t>Bayon-sur-Gironde</t>
  </si>
  <si>
    <t>DARQUEST</t>
  </si>
  <si>
    <t>Bonzac</t>
  </si>
  <si>
    <t>FLORIAN</t>
  </si>
  <si>
    <t>Nicolas</t>
  </si>
  <si>
    <t>Bordeaux</t>
  </si>
  <si>
    <t>JOURDAN</t>
  </si>
  <si>
    <t>Cars</t>
  </si>
  <si>
    <t>BERNEDE</t>
  </si>
  <si>
    <t>Ouvriers (secteur privé) (obsolète)</t>
  </si>
  <si>
    <t>Coirac</t>
  </si>
  <si>
    <t>LABARDIN</t>
  </si>
  <si>
    <t>Gradignan</t>
  </si>
  <si>
    <t>LAMBROT</t>
  </si>
  <si>
    <t>Jean-Serge</t>
  </si>
  <si>
    <t>Lados</t>
  </si>
  <si>
    <t>PLAGNOL</t>
  </si>
  <si>
    <t>Langon</t>
  </si>
  <si>
    <t>NADEAU</t>
  </si>
  <si>
    <t>Les Eglisottes-et-Chalaures</t>
  </si>
  <si>
    <t>BAËZA</t>
  </si>
  <si>
    <t>Listrac-de-Durèze</t>
  </si>
  <si>
    <t>TOSTAIN</t>
  </si>
  <si>
    <t>Emmanuelle</t>
  </si>
  <si>
    <t>Lugos</t>
  </si>
  <si>
    <t>REDON</t>
  </si>
  <si>
    <t>Porchères</t>
  </si>
  <si>
    <t>COZ</t>
  </si>
  <si>
    <t>Sadirac</t>
  </si>
  <si>
    <t>BOUSCARY</t>
  </si>
  <si>
    <t>Émile</t>
  </si>
  <si>
    <t>Saint-Ferme</t>
  </si>
  <si>
    <t>TARBES</t>
  </si>
  <si>
    <t>Saint-Léon</t>
  </si>
  <si>
    <t>VACHER</t>
  </si>
  <si>
    <t>Saint-Philippe-du-Seignal</t>
  </si>
  <si>
    <t>CASTAGNEAU</t>
  </si>
  <si>
    <t>Salaunes</t>
  </si>
  <si>
    <t>MEDES</t>
  </si>
  <si>
    <t>Jeanine</t>
  </si>
  <si>
    <t>Villegouge</t>
  </si>
  <si>
    <t>BLANCHARD</t>
  </si>
  <si>
    <t>Auriolles</t>
  </si>
  <si>
    <t>MAYEUX</t>
  </si>
  <si>
    <t>Beautiran</t>
  </si>
  <si>
    <t>ROSSIGNOL-PUECH</t>
  </si>
  <si>
    <t>Clément</t>
  </si>
  <si>
    <t>Bègles</t>
  </si>
  <si>
    <t>BALDÈS</t>
  </si>
  <si>
    <t>Blaye</t>
  </si>
  <si>
    <t>BOUIN</t>
  </si>
  <si>
    <t>Bourdelles</t>
  </si>
  <si>
    <t>MERVEILLEAU</t>
  </si>
  <si>
    <t>Casseuil</t>
  </si>
  <si>
    <t>BRY</t>
  </si>
  <si>
    <t>Caumont</t>
  </si>
  <si>
    <t>LAMOUROUX</t>
  </si>
  <si>
    <t>Gornac</t>
  </si>
  <si>
    <t>DUFRANC</t>
  </si>
  <si>
    <t>La Brède</t>
  </si>
  <si>
    <t>DURAND-TEYSSIER</t>
  </si>
  <si>
    <t>Lalande-de-Pomerol</t>
  </si>
  <si>
    <t>GASNAULT</t>
  </si>
  <si>
    <t>Landerrouet-sur-Ségur</t>
  </si>
  <si>
    <t>PASTOR</t>
  </si>
  <si>
    <t>Georges-André</t>
  </si>
  <si>
    <t>Fours</t>
  </si>
  <si>
    <t>CIRA</t>
  </si>
  <si>
    <t>Mérignas</t>
  </si>
  <si>
    <t>CHOVIN</t>
  </si>
  <si>
    <t>Michèle</t>
  </si>
  <si>
    <t>Morizès</t>
  </si>
  <si>
    <t>GAUD</t>
  </si>
  <si>
    <t>Romagne</t>
  </si>
  <si>
    <t>BOUVRY</t>
  </si>
  <si>
    <t>Saint-Christophe-de-Double</t>
  </si>
  <si>
    <t>CHABRIER</t>
  </si>
  <si>
    <t>Saint-Hippolyte</t>
  </si>
  <si>
    <t>COURGEAU</t>
  </si>
  <si>
    <t>Soussac</t>
  </si>
  <si>
    <t>LAURENCE-VERSEPUY</t>
  </si>
  <si>
    <t>Agnès</t>
  </si>
  <si>
    <t>Le Taillan-Médoc</t>
  </si>
  <si>
    <t>SALLABERRY</t>
  </si>
  <si>
    <t>Emmanuel</t>
  </si>
  <si>
    <t>Talence</t>
  </si>
  <si>
    <t>LAVIDALIE</t>
  </si>
  <si>
    <t>Lagorce</t>
  </si>
  <si>
    <t>LACOMBE</t>
  </si>
  <si>
    <t>Landerrouat</t>
  </si>
  <si>
    <t>Léogeats</t>
  </si>
  <si>
    <t>F­ÉDIEU</t>
  </si>
  <si>
    <t>Cussac-Fort-Médoc</t>
  </si>
  <si>
    <t>DURANT</t>
  </si>
  <si>
    <t>Fronsac</t>
  </si>
  <si>
    <t>LAFON</t>
  </si>
  <si>
    <t>Biganos</t>
  </si>
  <si>
    <t>TURBY</t>
  </si>
  <si>
    <t>Carbon-Blanc</t>
  </si>
  <si>
    <t>JAUSSERAND</t>
  </si>
  <si>
    <t>Caudrot</t>
  </si>
  <si>
    <t>DUCOUT</t>
  </si>
  <si>
    <t>Cestas</t>
  </si>
  <si>
    <t>ANDRON-CLAVERIE</t>
  </si>
  <si>
    <t>Monique</t>
  </si>
  <si>
    <t>Courpiac</t>
  </si>
  <si>
    <t>CRUZEL</t>
  </si>
  <si>
    <t>Lussac</t>
  </si>
  <si>
    <t>COLMONT-DIGNEAU</t>
  </si>
  <si>
    <t>Chrystel</t>
  </si>
  <si>
    <t>Macau</t>
  </si>
  <si>
    <t>SEYNAT</t>
  </si>
  <si>
    <t>James</t>
  </si>
  <si>
    <t>Maransin</t>
  </si>
  <si>
    <t>Naujan-et-Postiac</t>
  </si>
  <si>
    <t>BLUTEAU</t>
  </si>
  <si>
    <t>José</t>
  </si>
  <si>
    <t>Pellegrue</t>
  </si>
  <si>
    <t>SALLETTE</t>
  </si>
  <si>
    <t>Marie-Emilie</t>
  </si>
  <si>
    <t>Pujols</t>
  </si>
  <si>
    <t>Saint-Ciers-sur-Gironde</t>
  </si>
  <si>
    <t>DUMARTIN</t>
  </si>
  <si>
    <t>Xavier</t>
  </si>
  <si>
    <t>Saint-Germain-de-Grave</t>
  </si>
  <si>
    <t>DIENER</t>
  </si>
  <si>
    <t>Saint-Loubert</t>
  </si>
  <si>
    <t>CHADAPEAUD</t>
  </si>
  <si>
    <t>Saint-Michel-de-Fronsac</t>
  </si>
  <si>
    <t>CHARLE</t>
  </si>
  <si>
    <t>Saumos</t>
  </si>
  <si>
    <t>Talais</t>
  </si>
  <si>
    <t>LE BLOND DU PLOUY</t>
  </si>
  <si>
    <t>Baron</t>
  </si>
  <si>
    <t>KRIER</t>
  </si>
  <si>
    <t>Bayas</t>
  </si>
  <si>
    <t>FENELON</t>
  </si>
  <si>
    <t>Belvès-de-Castillon</t>
  </si>
  <si>
    <t>DORÉ</t>
  </si>
  <si>
    <t>Jocelyn</t>
  </si>
  <si>
    <t>Cadillac</t>
  </si>
  <si>
    <t>ROUX</t>
  </si>
  <si>
    <t>Izon</t>
  </si>
  <si>
    <t>D'ANGLADE</t>
  </si>
  <si>
    <t>Abzac</t>
  </si>
  <si>
    <t>Le Fieu</t>
  </si>
  <si>
    <t>DUPIOL-TACH</t>
  </si>
  <si>
    <t>Grignols</t>
  </si>
  <si>
    <t>PICON</t>
  </si>
  <si>
    <t>Hure</t>
  </si>
  <si>
    <t>BUISSON</t>
  </si>
  <si>
    <t>Libourne</t>
  </si>
  <si>
    <t>GUILHEM</t>
  </si>
  <si>
    <t>Arveyres</t>
  </si>
  <si>
    <t>ALLEGRET</t>
  </si>
  <si>
    <t>Margueron</t>
  </si>
  <si>
    <t>ARMAND</t>
  </si>
  <si>
    <t>Mazères</t>
  </si>
  <si>
    <t>DUPIC</t>
  </si>
  <si>
    <t>Frédéric</t>
  </si>
  <si>
    <t>Montussan</t>
  </si>
  <si>
    <t>LABORDE</t>
  </si>
  <si>
    <t>Neuffons</t>
  </si>
  <si>
    <t>MATEILLE</t>
  </si>
  <si>
    <t>Podensac</t>
  </si>
  <si>
    <t>LABRIEUX</t>
  </si>
  <si>
    <t>Val-de-Livenne</t>
  </si>
  <si>
    <t>MARCHIVE</t>
  </si>
  <si>
    <t>Saint-Pey-d'Armens</t>
  </si>
  <si>
    <t>CORONAS</t>
  </si>
  <si>
    <t>Saint-Seurin-de-Cursac</t>
  </si>
  <si>
    <t>CHIOETTO</t>
  </si>
  <si>
    <t>Virginie</t>
  </si>
  <si>
    <t>Saint-Sève</t>
  </si>
  <si>
    <t>AVINEN</t>
  </si>
  <si>
    <t>Salleboeuf</t>
  </si>
  <si>
    <t>DELUGA</t>
  </si>
  <si>
    <t>Agents généraux d'assurances (obsolète)</t>
  </si>
  <si>
    <t>Le Teich</t>
  </si>
  <si>
    <t>DELAS</t>
  </si>
  <si>
    <t>Clara</t>
  </si>
  <si>
    <t>Mongauzy</t>
  </si>
  <si>
    <t>Montagne</t>
  </si>
  <si>
    <t>DEDIEU</t>
  </si>
  <si>
    <t>Vincent</t>
  </si>
  <si>
    <t>Origne</t>
  </si>
  <si>
    <t>DOUENCE</t>
  </si>
  <si>
    <t>Saint-Genès-de-Lombaud</t>
  </si>
  <si>
    <t>VIANDON</t>
  </si>
  <si>
    <t>Saint-Germain-du-Puch</t>
  </si>
  <si>
    <t>DARROMAN</t>
  </si>
  <si>
    <t>Saint-Michel-de-Castelnau</t>
  </si>
  <si>
    <t>POIVERT</t>
  </si>
  <si>
    <t>Liliane</t>
  </si>
  <si>
    <t>Saint-Pey-de-Castets</t>
  </si>
  <si>
    <t>JARRIS</t>
  </si>
  <si>
    <t>Rémi</t>
  </si>
  <si>
    <t>Vertheuil</t>
  </si>
  <si>
    <t>ARRIGONI</t>
  </si>
  <si>
    <t>Castelnau-de-Médoc</t>
  </si>
  <si>
    <t>LABROUCHE</t>
  </si>
  <si>
    <t>Michelle</t>
  </si>
  <si>
    <t>Le Nizan</t>
  </si>
  <si>
    <t>LE HOUARNER</t>
  </si>
  <si>
    <t>Le Puy</t>
  </si>
  <si>
    <t>DESROZIER</t>
  </si>
  <si>
    <t>Riocaud</t>
  </si>
  <si>
    <t>BEYLY</t>
  </si>
  <si>
    <t>La Rivière</t>
  </si>
  <si>
    <t>NAUDON</t>
  </si>
  <si>
    <t>Saint-Avit-Saint-Nazaire</t>
  </si>
  <si>
    <t>FERREIRA</t>
  </si>
  <si>
    <t>Blanquefort</t>
  </si>
  <si>
    <t>SAINTOUT</t>
  </si>
  <si>
    <t>Saint-Estèphe</t>
  </si>
  <si>
    <t>BOBET</t>
  </si>
  <si>
    <t>Le Bouscat</t>
  </si>
  <si>
    <t>SARTON</t>
  </si>
  <si>
    <t>Saint-Genès-de-Blaye</t>
  </si>
  <si>
    <t>LATASTE</t>
  </si>
  <si>
    <t>Permanents politiques (obsolète)</t>
  </si>
  <si>
    <t>Capian</t>
  </si>
  <si>
    <t>Saint-Hilaire-du-Bois</t>
  </si>
  <si>
    <t>SUBERVILLE</t>
  </si>
  <si>
    <t>Saint-Laurent-d'Arce</t>
  </si>
  <si>
    <t>GARBUIO</t>
  </si>
  <si>
    <t>Tarnès</t>
  </si>
  <si>
    <t>Bassanne</t>
  </si>
  <si>
    <t>COURBE</t>
  </si>
  <si>
    <t>Bernos-Beaulac</t>
  </si>
  <si>
    <t>LAFARGUE</t>
  </si>
  <si>
    <t>Labescau</t>
  </si>
  <si>
    <t>GALAND</t>
  </si>
  <si>
    <t>La Lande-de-Fronsac</t>
  </si>
  <si>
    <t>GUIRAUD</t>
  </si>
  <si>
    <t>Lesparre-Médoc</t>
  </si>
  <si>
    <t>GAUTIER</t>
  </si>
  <si>
    <t>Bertrand</t>
  </si>
  <si>
    <t>Fargues-Saint-Hilaire</t>
  </si>
  <si>
    <t>GANELON</t>
  </si>
  <si>
    <t>Arcins</t>
  </si>
  <si>
    <t>ABELA</t>
  </si>
  <si>
    <t>Montignac</t>
  </si>
  <si>
    <t>SUBLETT</t>
  </si>
  <si>
    <t>Puisseguin</t>
  </si>
  <si>
    <t>FERON</t>
  </si>
  <si>
    <t>Saint-Laurent-Médoc</t>
  </si>
  <si>
    <t>ETIENNE</t>
  </si>
  <si>
    <t>Saint-Martin-de-Sescas</t>
  </si>
  <si>
    <t>CLEMENT</t>
  </si>
  <si>
    <t>Saucats</t>
  </si>
  <si>
    <t>AIMÉ</t>
  </si>
  <si>
    <t>Sauviac</t>
  </si>
  <si>
    <t>LE YONDRE</t>
  </si>
  <si>
    <t>Audenge</t>
  </si>
  <si>
    <t>CAVAILLOLS</t>
  </si>
  <si>
    <t>Barsac</t>
  </si>
  <si>
    <t>ROTURIER</t>
  </si>
  <si>
    <t>Berson</t>
  </si>
  <si>
    <t>RESENDÉ</t>
  </si>
  <si>
    <t>Camps-sur-l'Isle</t>
  </si>
  <si>
    <t>MINCOY</t>
  </si>
  <si>
    <t>Cissac-Médoc</t>
  </si>
  <si>
    <t>FALGUEYRET</t>
  </si>
  <si>
    <t>Jugazan</t>
  </si>
  <si>
    <t>ZECCHINI</t>
  </si>
  <si>
    <t>Alphonse</t>
  </si>
  <si>
    <t>Juillac</t>
  </si>
  <si>
    <t>MERCADIER</t>
  </si>
  <si>
    <t>Val de Virvée</t>
  </si>
  <si>
    <t>DIDIER</t>
  </si>
  <si>
    <t>Mesterrieux</t>
  </si>
  <si>
    <t>DUFOURD</t>
  </si>
  <si>
    <t>Jean-Bernard</t>
  </si>
  <si>
    <t>Naujac-sur-Mer</t>
  </si>
  <si>
    <t>La Réole</t>
  </si>
  <si>
    <t>Saint-Jean-de-Blaignac</t>
  </si>
  <si>
    <t>DUEZ</t>
  </si>
  <si>
    <t>Saint-Paul</t>
  </si>
  <si>
    <t>DENOYELLE</t>
  </si>
  <si>
    <t>Saint-Pierre-d'Aurillac</t>
  </si>
  <si>
    <t>LAVIGNAC</t>
  </si>
  <si>
    <t>Les Salles-de-Castillon</t>
  </si>
  <si>
    <t>BOIZARD</t>
  </si>
  <si>
    <t>La Sauve</t>
  </si>
  <si>
    <t>DAIRE</t>
  </si>
  <si>
    <t>Toulenne</t>
  </si>
  <si>
    <t>CHILON</t>
  </si>
  <si>
    <t>Générac</t>
  </si>
  <si>
    <t>FONMARTY</t>
  </si>
  <si>
    <t>Matthieu</t>
  </si>
  <si>
    <t>Labarde</t>
  </si>
  <si>
    <t>BASSET</t>
  </si>
  <si>
    <t>Les Lèves-et-Thoumeyragues</t>
  </si>
  <si>
    <t>LAVIE-CAMBOT</t>
  </si>
  <si>
    <t>Etauliers</t>
  </si>
  <si>
    <t>ISSARD</t>
  </si>
  <si>
    <t>Bagas</t>
  </si>
  <si>
    <t>GUILLEMOT</t>
  </si>
  <si>
    <t>Jean-Philippe</t>
  </si>
  <si>
    <t>Camblanes-et-Meynac</t>
  </si>
  <si>
    <t>COSNARD</t>
  </si>
  <si>
    <t>Coutras</t>
  </si>
  <si>
    <t>ALONSO</t>
  </si>
  <si>
    <t>Bellefond</t>
  </si>
  <si>
    <t>REYNE</t>
  </si>
  <si>
    <t>Cardan</t>
  </si>
  <si>
    <t>Comps</t>
  </si>
  <si>
    <t>DELCROS</t>
  </si>
  <si>
    <t>Latresne</t>
  </si>
  <si>
    <t>SAMMARCELLI</t>
  </si>
  <si>
    <t>Lège-Cap-Ferret</t>
  </si>
  <si>
    <t>MAURIAC</t>
  </si>
  <si>
    <t>Marie-Françoise</t>
  </si>
  <si>
    <t>Les Esseintes</t>
  </si>
  <si>
    <t>AUDINET</t>
  </si>
  <si>
    <t>Kléber</t>
  </si>
  <si>
    <t>Saint-Ciers-d'Abzac</t>
  </si>
  <si>
    <t>REBILLOU</t>
  </si>
  <si>
    <t>Saint-Félix-de-Foncaude</t>
  </si>
  <si>
    <t>VILLENEUVE</t>
  </si>
  <si>
    <t>Saint-Genis-du-Bois</t>
  </si>
  <si>
    <t>SHERIFFS</t>
  </si>
  <si>
    <t>Colin</t>
  </si>
  <si>
    <t>Saint-Laurent-du-Bois</t>
  </si>
  <si>
    <t>BOURGADE</t>
  </si>
  <si>
    <t>Laurence</t>
  </si>
  <si>
    <t>Saint-Morillon</t>
  </si>
  <si>
    <t>MATHIEU</t>
  </si>
  <si>
    <t>Sainte-Radegonde</t>
  </si>
  <si>
    <t>VIGNEAU</t>
  </si>
  <si>
    <t>Éric</t>
  </si>
  <si>
    <t>Sendets</t>
  </si>
  <si>
    <t>PALLIN</t>
  </si>
  <si>
    <t>Le Temple</t>
  </si>
  <si>
    <t>PIQUEMAL</t>
  </si>
  <si>
    <t>Vensac</t>
  </si>
  <si>
    <t>STURMA</t>
  </si>
  <si>
    <t>Marimbault</t>
  </si>
  <si>
    <t>CHASSELOUP</t>
  </si>
  <si>
    <t>Mazion</t>
  </si>
  <si>
    <t>MAGNAN</t>
  </si>
  <si>
    <t>Loïc</t>
  </si>
  <si>
    <t>Moulon</t>
  </si>
  <si>
    <t>DEXPERT</t>
  </si>
  <si>
    <t>Isabelle</t>
  </si>
  <si>
    <t>Pompéjac</t>
  </si>
  <si>
    <t>TOUZEAU</t>
  </si>
  <si>
    <t>Lormont</t>
  </si>
  <si>
    <t>BANQUET-RENARD</t>
  </si>
  <si>
    <t>Lucmau</t>
  </si>
  <si>
    <t>BAYLE</t>
  </si>
  <si>
    <t>Puynormand</t>
  </si>
  <si>
    <t>FAYE</t>
  </si>
  <si>
    <t>Quinsac</t>
  </si>
  <si>
    <t>AUBERT</t>
  </si>
  <si>
    <t>Saint-Antoine-du-Queyret</t>
  </si>
  <si>
    <t>LABRO</t>
  </si>
  <si>
    <t>Saint-Aubin-de-Branne</t>
  </si>
  <si>
    <t>GOURGUES</t>
  </si>
  <si>
    <t>Saint-Exupéry</t>
  </si>
  <si>
    <t>BOURREAU</t>
  </si>
  <si>
    <t>Saint-Mariens</t>
  </si>
  <si>
    <t>PINTAT</t>
  </si>
  <si>
    <t>Soulac-sur-Mer</t>
  </si>
  <si>
    <t>PAGOT</t>
  </si>
  <si>
    <t>Barie</t>
  </si>
  <si>
    <t>Bégadan</t>
  </si>
  <si>
    <t>LABOUILLE</t>
  </si>
  <si>
    <t>Marianne</t>
  </si>
  <si>
    <t>Bourideys</t>
  </si>
  <si>
    <t>LEMIRE</t>
  </si>
  <si>
    <t>Jean-André</t>
  </si>
  <si>
    <t>Isle-Saint-Georges</t>
  </si>
  <si>
    <t>POUCHARD</t>
  </si>
  <si>
    <t>Lansac</t>
  </si>
  <si>
    <t>MORENO</t>
  </si>
  <si>
    <t>Lestiac-sur-Garonne</t>
  </si>
  <si>
    <t>MORA</t>
  </si>
  <si>
    <t>Asques</t>
  </si>
  <si>
    <t>DUBORIE</t>
  </si>
  <si>
    <t>Flaujagues</t>
  </si>
  <si>
    <t>Jean-Brice</t>
  </si>
  <si>
    <t>Gaillan-en-Médoc</t>
  </si>
  <si>
    <t>LABAYLE</t>
  </si>
  <si>
    <t>Saint-Pierre-de-Mons</t>
  </si>
  <si>
    <t>BREUILLE</t>
  </si>
  <si>
    <t>Loubens</t>
  </si>
  <si>
    <t>BUGGIN</t>
  </si>
  <si>
    <t>Saint-Germain-d'Esteuil</t>
  </si>
  <si>
    <t>CONTE-JAUBERT</t>
  </si>
  <si>
    <t>Mireille</t>
  </si>
  <si>
    <t>Saint-Médard-de-Guizières</t>
  </si>
  <si>
    <t>DUMONTEUIL</t>
  </si>
  <si>
    <t>Yvan</t>
  </si>
  <si>
    <t>Saint-Sulpice-de-Faleyrens</t>
  </si>
  <si>
    <t>Blasimon</t>
  </si>
  <si>
    <t>RIGAL</t>
  </si>
  <si>
    <t>Braud-et-Saint-Louis</t>
  </si>
  <si>
    <t>FAUGEROLLE</t>
  </si>
  <si>
    <t>Couquèques</t>
  </si>
  <si>
    <t>PAULETTO</t>
  </si>
  <si>
    <t>Gensac</t>
  </si>
  <si>
    <t>Arbanats</t>
  </si>
  <si>
    <t>GUERIN</t>
  </si>
  <si>
    <t>Porte de Benauge</t>
  </si>
  <si>
    <t>MISIAK</t>
  </si>
  <si>
    <t>Marsas</t>
  </si>
  <si>
    <t>LACHAIZE</t>
  </si>
  <si>
    <t>Yolande</t>
  </si>
  <si>
    <t>Massugas</t>
  </si>
  <si>
    <t>DAL'CIN</t>
  </si>
  <si>
    <t>Omet</t>
  </si>
  <si>
    <t>BELLARD</t>
  </si>
  <si>
    <t>Le Pian-sur-Garonne</t>
  </si>
  <si>
    <t>Pugnac</t>
  </si>
  <si>
    <t>TAUZIN</t>
  </si>
  <si>
    <t>Roaillan</t>
  </si>
  <si>
    <t>MONDON</t>
  </si>
  <si>
    <t>Sylvie</t>
  </si>
  <si>
    <t>Saint-Aignan</t>
  </si>
  <si>
    <t>BOURNAZEAU</t>
  </si>
  <si>
    <t>Saint-Aubin-de-Blaye</t>
  </si>
  <si>
    <t>LAURET</t>
  </si>
  <si>
    <t>Saint-Emilion</t>
  </si>
  <si>
    <t>BECHEAU</t>
  </si>
  <si>
    <t>Saint-Philippe-d'Aiguille</t>
  </si>
  <si>
    <t>MARTINET</t>
  </si>
  <si>
    <t>Pierre-Jean</t>
  </si>
  <si>
    <t>Tizac-de-Lapouyade</t>
  </si>
  <si>
    <t>DANGIN</t>
  </si>
  <si>
    <t>Vignonet</t>
  </si>
  <si>
    <t>BOURSEAU</t>
  </si>
  <si>
    <t>Virsac</t>
  </si>
  <si>
    <t>Cabara</t>
  </si>
  <si>
    <t>CUROY</t>
  </si>
  <si>
    <t>Cleyrac</t>
  </si>
  <si>
    <t>TABONE</t>
  </si>
  <si>
    <t>Cubzac-les-Ponts</t>
  </si>
  <si>
    <t>GAVELLO</t>
  </si>
  <si>
    <t>Laroque</t>
  </si>
  <si>
    <t>Lavazan</t>
  </si>
  <si>
    <t>BARNETT</t>
  </si>
  <si>
    <t>André Marc</t>
  </si>
  <si>
    <t>Aillas</t>
  </si>
  <si>
    <t>DUBO</t>
  </si>
  <si>
    <t>Arsac</t>
  </si>
  <si>
    <t>commune</t>
  </si>
  <si>
    <t>pop</t>
  </si>
  <si>
    <t>59 (2017)</t>
  </si>
  <si>
    <t xml:space="preserve">59  </t>
  </si>
  <si>
    <t>78 (2017)</t>
  </si>
  <si>
    <t xml:space="preserve">78  </t>
  </si>
  <si>
    <t>88 (2017)</t>
  </si>
  <si>
    <t xml:space="preserve">88  </t>
  </si>
  <si>
    <t>89 (2017)</t>
  </si>
  <si>
    <t xml:space="preserve">89  </t>
  </si>
  <si>
    <t>92 (2017)</t>
  </si>
  <si>
    <t xml:space="preserve">92  </t>
  </si>
  <si>
    <t>113 (2017)</t>
  </si>
  <si>
    <t xml:space="preserve">113  </t>
  </si>
  <si>
    <t>118 (2017)</t>
  </si>
  <si>
    <t xml:space="preserve">118  </t>
  </si>
  <si>
    <t>122 (2017)</t>
  </si>
  <si>
    <t xml:space="preserve">122  </t>
  </si>
  <si>
    <t>133 (2017)</t>
  </si>
  <si>
    <t xml:space="preserve">133  </t>
  </si>
  <si>
    <t>134 (2017)</t>
  </si>
  <si>
    <t xml:space="preserve">134  </t>
  </si>
  <si>
    <t>139 (2017)</t>
  </si>
  <si>
    <t xml:space="preserve">139  </t>
  </si>
  <si>
    <t>143 (2017)</t>
  </si>
  <si>
    <t xml:space="preserve">143  </t>
  </si>
  <si>
    <t>145 (2017)</t>
  </si>
  <si>
    <t xml:space="preserve">145  </t>
  </si>
  <si>
    <t>149 (2017)</t>
  </si>
  <si>
    <t xml:space="preserve">149  </t>
  </si>
  <si>
    <t>150 (2017)</t>
  </si>
  <si>
    <t xml:space="preserve">150  </t>
  </si>
  <si>
    <t>166 (2017)</t>
  </si>
  <si>
    <t xml:space="preserve">166  </t>
  </si>
  <si>
    <t>168 (2017)</t>
  </si>
  <si>
    <t xml:space="preserve">168  </t>
  </si>
  <si>
    <t>181 (2017)</t>
  </si>
  <si>
    <t xml:space="preserve">181  </t>
  </si>
  <si>
    <t>182 (2017)</t>
  </si>
  <si>
    <t xml:space="preserve">182  </t>
  </si>
  <si>
    <t>183 (2017)</t>
  </si>
  <si>
    <t xml:space="preserve">183  </t>
  </si>
  <si>
    <t>186 (2017)</t>
  </si>
  <si>
    <t xml:space="preserve">186  </t>
  </si>
  <si>
    <t>190 (2017)</t>
  </si>
  <si>
    <t xml:space="preserve">190  </t>
  </si>
  <si>
    <t>192 (2017)</t>
  </si>
  <si>
    <t xml:space="preserve">192  </t>
  </si>
  <si>
    <t>196 (2017)</t>
  </si>
  <si>
    <t xml:space="preserve">196  </t>
  </si>
  <si>
    <t>206 (2017)</t>
  </si>
  <si>
    <t xml:space="preserve">206  </t>
  </si>
  <si>
    <t>207 (2017)</t>
  </si>
  <si>
    <t xml:space="preserve">207  </t>
  </si>
  <si>
    <t>208 (2017)</t>
  </si>
  <si>
    <t xml:space="preserve">208  </t>
  </si>
  <si>
    <t>219 (2017)</t>
  </si>
  <si>
    <t xml:space="preserve">219  </t>
  </si>
  <si>
    <t>222 (2017)</t>
  </si>
  <si>
    <t xml:space="preserve">222  </t>
  </si>
  <si>
    <t>225 (2017)</t>
  </si>
  <si>
    <t xml:space="preserve">225  </t>
  </si>
  <si>
    <t>227 (2017)</t>
  </si>
  <si>
    <t xml:space="preserve">227  </t>
  </si>
  <si>
    <t>228 (2017)</t>
  </si>
  <si>
    <t xml:space="preserve">228  </t>
  </si>
  <si>
    <t>229 (2017)</t>
  </si>
  <si>
    <t xml:space="preserve">229  </t>
  </si>
  <si>
    <t>Saint-Étienne-de-Lisse</t>
  </si>
  <si>
    <t>231 (2017)</t>
  </si>
  <si>
    <t xml:space="preserve">231  </t>
  </si>
  <si>
    <t>233 (2017)</t>
  </si>
  <si>
    <t xml:space="preserve">233  </t>
  </si>
  <si>
    <t>237 (2017)</t>
  </si>
  <si>
    <t xml:space="preserve">237  </t>
  </si>
  <si>
    <t>242 (2017)</t>
  </si>
  <si>
    <t xml:space="preserve">242  </t>
  </si>
  <si>
    <t>243 (2017)</t>
  </si>
  <si>
    <t xml:space="preserve">243  </t>
  </si>
  <si>
    <t>244 (2017)</t>
  </si>
  <si>
    <t xml:space="preserve">244  </t>
  </si>
  <si>
    <t>245 (2017)</t>
  </si>
  <si>
    <t xml:space="preserve">245  </t>
  </si>
  <si>
    <t>250 (2017)</t>
  </si>
  <si>
    <t xml:space="preserve">250  </t>
  </si>
  <si>
    <t>254 (2017)</t>
  </si>
  <si>
    <t xml:space="preserve">254  </t>
  </si>
  <si>
    <t>260 (2017)</t>
  </si>
  <si>
    <t xml:space="preserve">260  </t>
  </si>
  <si>
    <t>280 (2017)</t>
  </si>
  <si>
    <t xml:space="preserve">280  </t>
  </si>
  <si>
    <t>283 (2017)</t>
  </si>
  <si>
    <t xml:space="preserve">283  </t>
  </si>
  <si>
    <t>288 (2017)</t>
  </si>
  <si>
    <t xml:space="preserve">288  </t>
  </si>
  <si>
    <t>296 (2017)</t>
  </si>
  <si>
    <t xml:space="preserve">296  </t>
  </si>
  <si>
    <t>300 (2017)</t>
  </si>
  <si>
    <t xml:space="preserve">300  </t>
  </si>
  <si>
    <t>302 (2017)</t>
  </si>
  <si>
    <t xml:space="preserve">302  </t>
  </si>
  <si>
    <t>308 (2017)</t>
  </si>
  <si>
    <t xml:space="preserve">308  </t>
  </si>
  <si>
    <t>316 (2017)</t>
  </si>
  <si>
    <t xml:space="preserve">316  </t>
  </si>
  <si>
    <t>317 (2017)</t>
  </si>
  <si>
    <t xml:space="preserve">317  </t>
  </si>
  <si>
    <t>320 (2017)</t>
  </si>
  <si>
    <t xml:space="preserve">320  </t>
  </si>
  <si>
    <t>325 (2017)</t>
  </si>
  <si>
    <t xml:space="preserve">325  </t>
  </si>
  <si>
    <t>327 (2017)</t>
  </si>
  <si>
    <t xml:space="preserve">327  </t>
  </si>
  <si>
    <t>330 (2017)</t>
  </si>
  <si>
    <t xml:space="preserve">330  </t>
  </si>
  <si>
    <t>334 (2017)</t>
  </si>
  <si>
    <t xml:space="preserve">334  </t>
  </si>
  <si>
    <t>337 (2017)</t>
  </si>
  <si>
    <t xml:space="preserve">337  </t>
  </si>
  <si>
    <t>339 (2017)</t>
  </si>
  <si>
    <t xml:space="preserve">339  </t>
  </si>
  <si>
    <t>341 (2017)</t>
  </si>
  <si>
    <t xml:space="preserve">341  </t>
  </si>
  <si>
    <t>342 (2017)</t>
  </si>
  <si>
    <t xml:space="preserve">342  </t>
  </si>
  <si>
    <t>348 (2017)</t>
  </si>
  <si>
    <t xml:space="preserve">348  </t>
  </si>
  <si>
    <t>349 (2017)</t>
  </si>
  <si>
    <t xml:space="preserve">349  </t>
  </si>
  <si>
    <t>351 (2017)</t>
  </si>
  <si>
    <t xml:space="preserve">351  </t>
  </si>
  <si>
    <t>356 (2017)</t>
  </si>
  <si>
    <t xml:space="preserve">356  </t>
  </si>
  <si>
    <t>366 (2017)</t>
  </si>
  <si>
    <t xml:space="preserve">366  </t>
  </si>
  <si>
    <t>374 (2017)</t>
  </si>
  <si>
    <t xml:space="preserve">374  </t>
  </si>
  <si>
    <t>381 (2017)</t>
  </si>
  <si>
    <t xml:space="preserve">381  </t>
  </si>
  <si>
    <t>385 (2017)</t>
  </si>
  <si>
    <t xml:space="preserve">385  </t>
  </si>
  <si>
    <t>386 (2017)</t>
  </si>
  <si>
    <t xml:space="preserve">386  </t>
  </si>
  <si>
    <t>391 (2017)</t>
  </si>
  <si>
    <t xml:space="preserve">391  </t>
  </si>
  <si>
    <t>393 (2017)</t>
  </si>
  <si>
    <t xml:space="preserve">393  </t>
  </si>
  <si>
    <t>395 (2017)</t>
  </si>
  <si>
    <t xml:space="preserve">395  </t>
  </si>
  <si>
    <t>397 (2017)</t>
  </si>
  <si>
    <t xml:space="preserve">397  </t>
  </si>
  <si>
    <t>403 (2017)</t>
  </si>
  <si>
    <t xml:space="preserve">403  </t>
  </si>
  <si>
    <t>404 (2017)</t>
  </si>
  <si>
    <t xml:space="preserve">404  </t>
  </si>
  <si>
    <t>422 (2017)</t>
  </si>
  <si>
    <t xml:space="preserve">422  </t>
  </si>
  <si>
    <t>423 (2017)</t>
  </si>
  <si>
    <t xml:space="preserve">423  </t>
  </si>
  <si>
    <t>426 (2017)</t>
  </si>
  <si>
    <t xml:space="preserve">426  </t>
  </si>
  <si>
    <t>430 (2017)</t>
  </si>
  <si>
    <t xml:space="preserve">430  </t>
  </si>
  <si>
    <t>432 (2017)</t>
  </si>
  <si>
    <t xml:space="preserve">432  </t>
  </si>
  <si>
    <t>434 (2017)</t>
  </si>
  <si>
    <t xml:space="preserve">434  </t>
  </si>
  <si>
    <t>440 (2017)</t>
  </si>
  <si>
    <t xml:space="preserve">440  </t>
  </si>
  <si>
    <t>442 (2017)</t>
  </si>
  <si>
    <t xml:space="preserve">442  </t>
  </si>
  <si>
    <t>449 (2017)</t>
  </si>
  <si>
    <t xml:space="preserve">449  </t>
  </si>
  <si>
    <t>457 (2017)</t>
  </si>
  <si>
    <t xml:space="preserve">457  </t>
  </si>
  <si>
    <t>460 (2017)</t>
  </si>
  <si>
    <t xml:space="preserve">460  </t>
  </si>
  <si>
    <t>466 (2017)</t>
  </si>
  <si>
    <t xml:space="preserve">466  </t>
  </si>
  <si>
    <t>470 (2017)</t>
  </si>
  <si>
    <t xml:space="preserve">470  </t>
  </si>
  <si>
    <t>474 (2017)</t>
  </si>
  <si>
    <t xml:space="preserve">474  </t>
  </si>
  <si>
    <t>475 (2017)</t>
  </si>
  <si>
    <t xml:space="preserve">475  </t>
  </si>
  <si>
    <t>476 (2017)</t>
  </si>
  <si>
    <t xml:space="preserve">476  </t>
  </si>
  <si>
    <t>485 (2017)</t>
  </si>
  <si>
    <t xml:space="preserve">485  </t>
  </si>
  <si>
    <t>498 (2017)</t>
  </si>
  <si>
    <t xml:space="preserve">498  </t>
  </si>
  <si>
    <t>504 (2017)</t>
  </si>
  <si>
    <t xml:space="preserve">504  </t>
  </si>
  <si>
    <t>Porte-de-Benauge</t>
  </si>
  <si>
    <t>505 (2017)</t>
  </si>
  <si>
    <t xml:space="preserve">505  </t>
  </si>
  <si>
    <t>510 (2017)</t>
  </si>
  <si>
    <t xml:space="preserve">510  </t>
  </si>
  <si>
    <t>522 (2017)</t>
  </si>
  <si>
    <t xml:space="preserve">522  </t>
  </si>
  <si>
    <t>525 (2017)</t>
  </si>
  <si>
    <t xml:space="preserve">525  </t>
  </si>
  <si>
    <t>532 (2017)</t>
  </si>
  <si>
    <t xml:space="preserve">532  </t>
  </si>
  <si>
    <t>538 (2017)</t>
  </si>
  <si>
    <t xml:space="preserve">538  </t>
  </si>
  <si>
    <t>544 (2017)</t>
  </si>
  <si>
    <t xml:space="preserve">544  </t>
  </si>
  <si>
    <t>545 (2017)</t>
  </si>
  <si>
    <t xml:space="preserve">545  </t>
  </si>
  <si>
    <t>548 (2017)</t>
  </si>
  <si>
    <t xml:space="preserve">548  </t>
  </si>
  <si>
    <t>551 (2017)</t>
  </si>
  <si>
    <t xml:space="preserve">551  </t>
  </si>
  <si>
    <t>579 (2017)</t>
  </si>
  <si>
    <t xml:space="preserve">579  </t>
  </si>
  <si>
    <t>580 (2017)</t>
  </si>
  <si>
    <t xml:space="preserve">580  </t>
  </si>
  <si>
    <t>585 (2017)</t>
  </si>
  <si>
    <t xml:space="preserve">585  </t>
  </si>
  <si>
    <t>589 (2017)</t>
  </si>
  <si>
    <t xml:space="preserve">589  </t>
  </si>
  <si>
    <t>595 (2017)</t>
  </si>
  <si>
    <t xml:space="preserve">595  </t>
  </si>
  <si>
    <t>600 (2017)</t>
  </si>
  <si>
    <t xml:space="preserve">600  </t>
  </si>
  <si>
    <t>607 (2017)</t>
  </si>
  <si>
    <t xml:space="preserve">607  </t>
  </si>
  <si>
    <t>622 (2017)</t>
  </si>
  <si>
    <t xml:space="preserve">622  </t>
  </si>
  <si>
    <t>633 (2017)</t>
  </si>
  <si>
    <t xml:space="preserve">633  </t>
  </si>
  <si>
    <t>686 (2017)</t>
  </si>
  <si>
    <t xml:space="preserve">686  </t>
  </si>
  <si>
    <t>710 (2017)</t>
  </si>
  <si>
    <t xml:space="preserve">710  </t>
  </si>
  <si>
    <t>723 (2017)</t>
  </si>
  <si>
    <t xml:space="preserve">723  </t>
  </si>
  <si>
    <t>732 (2017)</t>
  </si>
  <si>
    <t xml:space="preserve">732  </t>
  </si>
  <si>
    <t>741 (2017)</t>
  </si>
  <si>
    <t xml:space="preserve">741  </t>
  </si>
  <si>
    <t>761 (2017)</t>
  </si>
  <si>
    <t xml:space="preserve">761  </t>
  </si>
  <si>
    <t>772 (2017)</t>
  </si>
  <si>
    <t xml:space="preserve">772  </t>
  </si>
  <si>
    <t>774 (2017)</t>
  </si>
  <si>
    <t xml:space="preserve">774  </t>
  </si>
  <si>
    <t>780 (2017)</t>
  </si>
  <si>
    <t xml:space="preserve">780  </t>
  </si>
  <si>
    <t>781 (2017)</t>
  </si>
  <si>
    <t xml:space="preserve">781  </t>
  </si>
  <si>
    <t>790 (2017)</t>
  </si>
  <si>
    <t xml:space="preserve">790  </t>
  </si>
  <si>
    <t>794 (2017)</t>
  </si>
  <si>
    <t xml:space="preserve">794  </t>
  </si>
  <si>
    <t>821 (2017)</t>
  </si>
  <si>
    <t xml:space="preserve">821  </t>
  </si>
  <si>
    <t>825 (2017)</t>
  </si>
  <si>
    <t xml:space="preserve">825  </t>
  </si>
  <si>
    <t>839 (2017)</t>
  </si>
  <si>
    <t xml:space="preserve">839  </t>
  </si>
  <si>
    <t>856 (2017)</t>
  </si>
  <si>
    <t xml:space="preserve">856  </t>
  </si>
  <si>
    <t>862 (2017)</t>
  </si>
  <si>
    <t xml:space="preserve">862  </t>
  </si>
  <si>
    <t>873 (2017)</t>
  </si>
  <si>
    <t xml:space="preserve">873  </t>
  </si>
  <si>
    <t>880 (2017)</t>
  </si>
  <si>
    <t xml:space="preserve">880  </t>
  </si>
  <si>
    <t>881 (2017)</t>
  </si>
  <si>
    <t xml:space="preserve">881  </t>
  </si>
  <si>
    <t>885 (2017)</t>
  </si>
  <si>
    <t xml:space="preserve">885  </t>
  </si>
  <si>
    <t>899 (2017)</t>
  </si>
  <si>
    <t xml:space="preserve">899  </t>
  </si>
  <si>
    <t>923 (2017)</t>
  </si>
  <si>
    <t xml:space="preserve">923  </t>
  </si>
  <si>
    <t>935 (2017)</t>
  </si>
  <si>
    <t xml:space="preserve">935  </t>
  </si>
  <si>
    <t>950 (2017)</t>
  </si>
  <si>
    <t xml:space="preserve">950  </t>
  </si>
  <si>
    <t>967 (2017)</t>
  </si>
  <si>
    <t xml:space="preserve">967  </t>
  </si>
  <si>
    <t>986 (2017)</t>
  </si>
  <si>
    <t xml:space="preserve">986  </t>
  </si>
  <si>
    <t>999 (2017)</t>
  </si>
  <si>
    <t xml:space="preserve">999  </t>
  </si>
  <si>
    <t>1 007 (2017)</t>
  </si>
  <si>
    <t xml:space="preserve">1 007  </t>
  </si>
  <si>
    <t>1 010 (2017)</t>
  </si>
  <si>
    <t xml:space="preserve">1 010  </t>
  </si>
  <si>
    <t>1 016 (2017)</t>
  </si>
  <si>
    <t xml:space="preserve">1 016  </t>
  </si>
  <si>
    <t>1 031 (2017)</t>
  </si>
  <si>
    <t xml:space="preserve">1 031  </t>
  </si>
  <si>
    <t>1 059 (2017)</t>
  </si>
  <si>
    <t xml:space="preserve">1 059  </t>
  </si>
  <si>
    <t>1 061 (2017)</t>
  </si>
  <si>
    <t xml:space="preserve">1 061  </t>
  </si>
  <si>
    <t>1 062 (2017)</t>
  </si>
  <si>
    <t xml:space="preserve">1 062  </t>
  </si>
  <si>
    <t>1 066 (2017)</t>
  </si>
  <si>
    <t xml:space="preserve">1 066  </t>
  </si>
  <si>
    <t>1 082 (2017)</t>
  </si>
  <si>
    <t xml:space="preserve">1 082  </t>
  </si>
  <si>
    <t>1 090 (2017)</t>
  </si>
  <si>
    <t xml:space="preserve">1 090  </t>
  </si>
  <si>
    <t>1 099 (2017)</t>
  </si>
  <si>
    <t xml:space="preserve">1 099  </t>
  </si>
  <si>
    <t>1 112 (2017)</t>
  </si>
  <si>
    <t xml:space="preserve">1 112  </t>
  </si>
  <si>
    <t>1 118 (2017)</t>
  </si>
  <si>
    <t xml:space="preserve">1 118  </t>
  </si>
  <si>
    <t>1 198 (2017)</t>
  </si>
  <si>
    <t xml:space="preserve">1 198  </t>
  </si>
  <si>
    <t>1 204 (2017)</t>
  </si>
  <si>
    <t xml:space="preserve">1 204  </t>
  </si>
  <si>
    <t>1 211 (2017)</t>
  </si>
  <si>
    <t xml:space="preserve">1 211  </t>
  </si>
  <si>
    <t>1 213 (2017)</t>
  </si>
  <si>
    <t xml:space="preserve">1 213  </t>
  </si>
  <si>
    <t>1 234 (2017)</t>
  </si>
  <si>
    <t xml:space="preserve">1 234  </t>
  </si>
  <si>
    <t>1 263 (2017)</t>
  </si>
  <si>
    <t xml:space="preserve">1 263  </t>
  </si>
  <si>
    <t>1 286 (2017)</t>
  </si>
  <si>
    <t xml:space="preserve">1 286  </t>
  </si>
  <si>
    <t>1 289 (2017)</t>
  </si>
  <si>
    <t xml:space="preserve">1 289  </t>
  </si>
  <si>
    <t>1 312 (2017)</t>
  </si>
  <si>
    <t xml:space="preserve">1 312  </t>
  </si>
  <si>
    <t>1 314 (2017)</t>
  </si>
  <si>
    <t xml:space="preserve">1 314  </t>
  </si>
  <si>
    <t>1 321 (2017)</t>
  </si>
  <si>
    <t xml:space="preserve">1 321  </t>
  </si>
  <si>
    <t>1 348 (2017)</t>
  </si>
  <si>
    <t xml:space="preserve">1 348  </t>
  </si>
  <si>
    <t>1 379 (2017)</t>
  </si>
  <si>
    <t xml:space="preserve">1 379  </t>
  </si>
  <si>
    <t>1 382 (2017)</t>
  </si>
  <si>
    <t xml:space="preserve">1 382  </t>
  </si>
  <si>
    <t>1 446 (2017)</t>
  </si>
  <si>
    <t xml:space="preserve">1 446  </t>
  </si>
  <si>
    <t>1 449 (2017)</t>
  </si>
  <si>
    <t xml:space="preserve">1 449  </t>
  </si>
  <si>
    <t>1 469 (2017)</t>
  </si>
  <si>
    <t xml:space="preserve">1 469  </t>
  </si>
  <si>
    <t>1 524 (2017)</t>
  </si>
  <si>
    <t xml:space="preserve">1 524  </t>
  </si>
  <si>
    <t>1 556 (2017)</t>
  </si>
  <si>
    <t xml:space="preserve">1 556  </t>
  </si>
  <si>
    <t>1 584 (2017)</t>
  </si>
  <si>
    <t xml:space="preserve">1 584  </t>
  </si>
  <si>
    <t>1 599 (2017)</t>
  </si>
  <si>
    <t xml:space="preserve">1 599  </t>
  </si>
  <si>
    <t>1 602 (2017)</t>
  </si>
  <si>
    <t xml:space="preserve">1 602  </t>
  </si>
  <si>
    <t>1 615 (2017)</t>
  </si>
  <si>
    <t xml:space="preserve">1 615  </t>
  </si>
  <si>
    <t>1 629 (2017)</t>
  </si>
  <si>
    <t xml:space="preserve">1 629  </t>
  </si>
  <si>
    <t>1 679 (2017)</t>
  </si>
  <si>
    <t xml:space="preserve">1 679  </t>
  </si>
  <si>
    <t>1 694 (2017)</t>
  </si>
  <si>
    <t xml:space="preserve">1 694  </t>
  </si>
  <si>
    <t>1 700 (2017)</t>
  </si>
  <si>
    <t xml:space="preserve">1 700  </t>
  </si>
  <si>
    <t>33820
33860</t>
  </si>
  <si>
    <t>1 744 (2017)</t>
  </si>
  <si>
    <t xml:space="preserve">1 744  </t>
  </si>
  <si>
    <t>1 777 (2017)</t>
  </si>
  <si>
    <t xml:space="preserve">1 777  </t>
  </si>
  <si>
    <t>1 788 (2017)</t>
  </si>
  <si>
    <t xml:space="preserve">1 788  </t>
  </si>
  <si>
    <t>1 830 (2017)</t>
  </si>
  <si>
    <t xml:space="preserve">1 830  </t>
  </si>
  <si>
    <t>1 837 (2017)</t>
  </si>
  <si>
    <t xml:space="preserve">1 837  </t>
  </si>
  <si>
    <t>Saint-Émilion</t>
  </si>
  <si>
    <t>1 874 (2017)</t>
  </si>
  <si>
    <t xml:space="preserve">1 874  </t>
  </si>
  <si>
    <t>1 878 (2017)</t>
  </si>
  <si>
    <t xml:space="preserve">1 878  </t>
  </si>
  <si>
    <t>1 883 (2017)</t>
  </si>
  <si>
    <t xml:space="preserve">1 883  </t>
  </si>
  <si>
    <t>1 919 (2017)</t>
  </si>
  <si>
    <t xml:space="preserve">1 919  </t>
  </si>
  <si>
    <t>1 973 (2017)</t>
  </si>
  <si>
    <t xml:space="preserve">1 973  </t>
  </si>
  <si>
    <t>1 998 (2017)</t>
  </si>
  <si>
    <t xml:space="preserve">1 998  </t>
  </si>
  <si>
    <t>2 076 (2017)</t>
  </si>
  <si>
    <t xml:space="preserve">2 076  </t>
  </si>
  <si>
    <t>2 077 (2017)</t>
  </si>
  <si>
    <t xml:space="preserve">2 077  </t>
  </si>
  <si>
    <t>2 140 (2017)</t>
  </si>
  <si>
    <t xml:space="preserve">2 140  </t>
  </si>
  <si>
    <t>2 153 (2017)</t>
  </si>
  <si>
    <t xml:space="preserve">2 153  </t>
  </si>
  <si>
    <t>2 156 (2017)</t>
  </si>
  <si>
    <t xml:space="preserve">2 156  </t>
  </si>
  <si>
    <t>2 173 (2017)</t>
  </si>
  <si>
    <t xml:space="preserve">2 173  </t>
  </si>
  <si>
    <t>2 189 (2017)</t>
  </si>
  <si>
    <t xml:space="preserve">2 189  </t>
  </si>
  <si>
    <t>2 288 (2017)</t>
  </si>
  <si>
    <t xml:space="preserve">2 288  </t>
  </si>
  <si>
    <t>2 380 (2017)</t>
  </si>
  <si>
    <t xml:space="preserve">2 380  </t>
  </si>
  <si>
    <t>2 442 (2017)</t>
  </si>
  <si>
    <t xml:space="preserve">2 442  </t>
  </si>
  <si>
    <t>2 445 (2017)</t>
  </si>
  <si>
    <t xml:space="preserve">2 445  </t>
  </si>
  <si>
    <t>Sallebœuf</t>
  </si>
  <si>
    <t>2 490 (2017)</t>
  </si>
  <si>
    <t xml:space="preserve">2 490  </t>
  </si>
  <si>
    <t>2 554 (2017)</t>
  </si>
  <si>
    <t xml:space="preserve">2 554  </t>
  </si>
  <si>
    <t>2 640 (2017)</t>
  </si>
  <si>
    <t xml:space="preserve">2 640  </t>
  </si>
  <si>
    <t>2 702 (2017)</t>
  </si>
  <si>
    <t xml:space="preserve">2 702  </t>
  </si>
  <si>
    <t>2 797 (2017)</t>
  </si>
  <si>
    <t xml:space="preserve">2 797  </t>
  </si>
  <si>
    <t>2 811 (2017)</t>
  </si>
  <si>
    <t xml:space="preserve">2 811  </t>
  </si>
  <si>
    <t>2 812 (2017)</t>
  </si>
  <si>
    <t xml:space="preserve">2 812  </t>
  </si>
  <si>
    <t>2 965 (2017)</t>
  </si>
  <si>
    <t xml:space="preserve">2 965  </t>
  </si>
  <si>
    <t>2 971 (2017)</t>
  </si>
  <si>
    <t xml:space="preserve">2 971  </t>
  </si>
  <si>
    <t>2 980 (2017)</t>
  </si>
  <si>
    <t xml:space="preserve">2 980  </t>
  </si>
  <si>
    <t>3 012 (2017)</t>
  </si>
  <si>
    <t xml:space="preserve">3 012  </t>
  </si>
  <si>
    <t>3 026 (2017)</t>
  </si>
  <si>
    <t xml:space="preserve">3 026  </t>
  </si>
  <si>
    <t>3 056 (2017)</t>
  </si>
  <si>
    <t xml:space="preserve">3 056  </t>
  </si>
  <si>
    <t>3 067 (2017)</t>
  </si>
  <si>
    <t xml:space="preserve">3 067  </t>
  </si>
  <si>
    <t>3 155 (2017)</t>
  </si>
  <si>
    <t xml:space="preserve">3 155  </t>
  </si>
  <si>
    <t>3 208 (2017)</t>
  </si>
  <si>
    <t xml:space="preserve">3 208  </t>
  </si>
  <si>
    <t>3 212 (2017)</t>
  </si>
  <si>
    <t xml:space="preserve">3 212  </t>
  </si>
  <si>
    <t>3 215 (2017)</t>
  </si>
  <si>
    <t xml:space="preserve">3 215  </t>
  </si>
  <si>
    <t>3 222 (2017)</t>
  </si>
  <si>
    <t xml:space="preserve">3 222  </t>
  </si>
  <si>
    <t>3 512 (2017)</t>
  </si>
  <si>
    <t xml:space="preserve">3 512  </t>
  </si>
  <si>
    <t>3 956 (2017)</t>
  </si>
  <si>
    <t xml:space="preserve">3 956  </t>
  </si>
  <si>
    <t>4 225 (2017)</t>
  </si>
  <si>
    <t xml:space="preserve">4 225  </t>
  </si>
  <si>
    <t>4 244 (2017)</t>
  </si>
  <si>
    <t xml:space="preserve">4 244  </t>
  </si>
  <si>
    <t>4 394 (2017)</t>
  </si>
  <si>
    <t xml:space="preserve">4 394  </t>
  </si>
  <si>
    <t>4 610 (2017)</t>
  </si>
  <si>
    <t xml:space="preserve">4 610  </t>
  </si>
  <si>
    <t>4 614 (2017)</t>
  </si>
  <si>
    <t xml:space="preserve">4 614  </t>
  </si>
  <si>
    <t>4 631 (2017)</t>
  </si>
  <si>
    <t xml:space="preserve">4 631  </t>
  </si>
  <si>
    <t>4 673 (2017)</t>
  </si>
  <si>
    <t xml:space="preserve">4 673  </t>
  </si>
  <si>
    <t>4 724 (2017)</t>
  </si>
  <si>
    <t xml:space="preserve">4 724  </t>
  </si>
  <si>
    <t>4 841 (2017)</t>
  </si>
  <si>
    <t xml:space="preserve">4 841  </t>
  </si>
  <si>
    <t>5 535 (2017)</t>
  </si>
  <si>
    <t xml:space="preserve">5 535  </t>
  </si>
  <si>
    <t>7 028 (2017)</t>
  </si>
  <si>
    <t xml:space="preserve">7 028  </t>
  </si>
  <si>
    <t>7 362 (2017)</t>
  </si>
  <si>
    <t xml:space="preserve">7 362  </t>
  </si>
  <si>
    <t>7 386 (2017)</t>
  </si>
  <si>
    <t xml:space="preserve">7 386  </t>
  </si>
  <si>
    <t>8 377 (2017)</t>
  </si>
  <si>
    <t xml:space="preserve">8 377  </t>
  </si>
  <si>
    <t>8 709 (2017)</t>
  </si>
  <si>
    <t xml:space="preserve">8 709  </t>
  </si>
  <si>
    <t>9 509 (2017)</t>
  </si>
  <si>
    <t xml:space="preserve">9 509  </t>
  </si>
  <si>
    <t>9 959 (2017)</t>
  </si>
  <si>
    <t xml:space="preserve">9 959  </t>
  </si>
  <si>
    <t>11 464 (2017)</t>
  </si>
  <si>
    <t xml:space="preserve">11 464  </t>
  </si>
  <si>
    <t>31 145 (2017)</t>
  </si>
  <si>
    <t xml:space="preserve">31 145  </t>
  </si>
  <si>
    <t>34 090 (2017)</t>
  </si>
  <si>
    <t xml:space="preserve">34 090  </t>
  </si>
  <si>
    <t>42 606 (2017)</t>
  </si>
  <si>
    <t xml:space="preserve">42 606  </t>
  </si>
  <si>
    <t>63 808 (2017)</t>
  </si>
  <si>
    <t xml:space="preserve">63 808  </t>
  </si>
  <si>
    <t>70 105 (2017)</t>
  </si>
  <si>
    <t xml:space="preserve">70 105  </t>
  </si>
  <si>
    <t>Gironde</t>
  </si>
  <si>
    <t>1 583 384 (2017)</t>
  </si>
  <si>
    <t xml:space="preserve">1 583 384  </t>
  </si>
  <si>
    <t>Nom</t>
  </si>
  <si>
    <t>Code
Insee</t>
  </si>
  <si>
    <t>Code postal</t>
  </si>
  <si>
    <t>Population
(dernière pop. légale)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</si>
</sst>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27475.0</v>
      </c>
      <c r="E2" s="1">
        <v>105.0</v>
      </c>
      <c r="F2" s="1" t="s">
        <v>23</v>
      </c>
      <c r="G2" s="2">
        <v>41728.0</v>
      </c>
      <c r="H2" s="1" t="s">
        <v>24</v>
      </c>
      <c r="I2" s="2">
        <v>41763.0</v>
      </c>
      <c r="J2" s="1" t="s">
        <v>25</v>
      </c>
      <c r="K2" s="1" t="s">
        <v>26</v>
      </c>
      <c r="L2" s="1">
        <v>284.0</v>
      </c>
      <c r="M2" s="1" t="s">
        <v>27</v>
      </c>
      <c r="N2" s="1">
        <v>33.0</v>
      </c>
      <c r="O2" s="1" t="s">
        <v>28</v>
      </c>
      <c r="P2" s="1">
        <v>2.43301504E8</v>
      </c>
      <c r="Q2" s="1" t="s">
        <v>29</v>
      </c>
      <c r="R2" s="1" t="s">
        <v>30</v>
      </c>
      <c r="S2">
        <f t="shared" ref="S2:S536" si="1">N2*1000+L2</f>
        <v>33284</v>
      </c>
      <c r="T2">
        <f t="array" ref="T2">iferror(index('Copie de Feuille tri Amandine'!B:C,MATCH(S2,'Copie de Feuille tri Amandine'!B:B,0),2),"")</f>
        <v>9959</v>
      </c>
    </row>
    <row r="3">
      <c r="A3" s="1" t="s">
        <v>31</v>
      </c>
      <c r="B3" s="1" t="s">
        <v>32</v>
      </c>
      <c r="C3" s="1" t="s">
        <v>22</v>
      </c>
      <c r="D3" s="2">
        <v>20432.0</v>
      </c>
      <c r="E3" s="1">
        <v>101.0</v>
      </c>
      <c r="F3" s="1" t="s">
        <v>33</v>
      </c>
      <c r="G3" s="2">
        <v>41721.0</v>
      </c>
      <c r="H3" s="1" t="s">
        <v>24</v>
      </c>
      <c r="I3" s="2">
        <v>41721.0</v>
      </c>
      <c r="J3" s="1" t="s">
        <v>25</v>
      </c>
      <c r="K3" s="1" t="s">
        <v>26</v>
      </c>
      <c r="L3" s="1">
        <v>306.0</v>
      </c>
      <c r="M3" s="1" t="s">
        <v>34</v>
      </c>
      <c r="N3" s="1">
        <v>33.0</v>
      </c>
      <c r="O3" s="1" t="s">
        <v>28</v>
      </c>
      <c r="P3" s="1">
        <v>2.00044394E8</v>
      </c>
      <c r="Q3" s="1" t="s">
        <v>35</v>
      </c>
      <c r="R3" s="1" t="s">
        <v>30</v>
      </c>
      <c r="S3">
        <f t="shared" si="1"/>
        <v>33306</v>
      </c>
      <c r="T3">
        <f t="array" ref="T3">iferror(index('Copie de Feuille tri Amandine'!B:C,MATCH(S3,'Copie de Feuille tri Amandine'!B:B,0),2),"")</f>
        <v>466</v>
      </c>
    </row>
    <row r="4">
      <c r="A4" s="1" t="s">
        <v>36</v>
      </c>
      <c r="B4" s="1" t="s">
        <v>37</v>
      </c>
      <c r="C4" s="1" t="s">
        <v>22</v>
      </c>
      <c r="D4" s="2">
        <v>26254.0</v>
      </c>
      <c r="E4" s="1">
        <v>147.0</v>
      </c>
      <c r="F4" s="1" t="s">
        <v>38</v>
      </c>
      <c r="G4" s="2">
        <v>41728.0</v>
      </c>
      <c r="H4" s="1" t="s">
        <v>24</v>
      </c>
      <c r="I4" s="2">
        <v>41763.0</v>
      </c>
      <c r="J4" s="1" t="s">
        <v>25</v>
      </c>
      <c r="K4" s="1" t="s">
        <v>26</v>
      </c>
      <c r="L4" s="1">
        <v>318.0</v>
      </c>
      <c r="M4" s="1" t="s">
        <v>39</v>
      </c>
      <c r="N4" s="1">
        <v>33.0</v>
      </c>
      <c r="O4" s="1" t="s">
        <v>28</v>
      </c>
      <c r="P4" s="1">
        <v>2.43300316E8</v>
      </c>
      <c r="Q4" s="1" t="s">
        <v>40</v>
      </c>
      <c r="R4" s="1" t="s">
        <v>30</v>
      </c>
      <c r="S4">
        <f t="shared" si="1"/>
        <v>33318</v>
      </c>
      <c r="T4">
        <f t="array" ref="T4">iferror(index('Copie de Feuille tri Amandine'!B:C,MATCH(S4,'Copie de Feuille tri Amandine'!B:B,0),2),"")</f>
        <v>63808</v>
      </c>
    </row>
    <row r="5">
      <c r="A5" s="1" t="s">
        <v>41</v>
      </c>
      <c r="B5" s="1" t="s">
        <v>42</v>
      </c>
      <c r="C5" s="1" t="s">
        <v>22</v>
      </c>
      <c r="D5" s="2">
        <v>18884.0</v>
      </c>
      <c r="E5" s="1">
        <v>150.0</v>
      </c>
      <c r="F5" s="1" t="s">
        <v>43</v>
      </c>
      <c r="G5" s="2">
        <v>41721.0</v>
      </c>
      <c r="H5" s="1" t="s">
        <v>24</v>
      </c>
      <c r="I5" s="2">
        <v>41721.0</v>
      </c>
      <c r="J5" s="1" t="s">
        <v>25</v>
      </c>
      <c r="K5" s="1" t="s">
        <v>26</v>
      </c>
      <c r="L5" s="1">
        <v>322.0</v>
      </c>
      <c r="M5" s="1" t="s">
        <v>44</v>
      </c>
      <c r="N5" s="1">
        <v>33.0</v>
      </c>
      <c r="O5" s="1" t="s">
        <v>28</v>
      </c>
      <c r="P5" s="1">
        <v>2.43301447E8</v>
      </c>
      <c r="Q5" s="1" t="s">
        <v>45</v>
      </c>
      <c r="R5" s="1" t="s">
        <v>30</v>
      </c>
      <c r="S5">
        <f t="shared" si="1"/>
        <v>33322</v>
      </c>
      <c r="T5" t="str">
        <f t="array" ref="T5">iferror(index('Copie de Feuille tri Amandine'!B:C,MATCH(S5,'Copie de Feuille tri Amandine'!B:B,0),2),"")</f>
        <v/>
      </c>
    </row>
    <row r="6">
      <c r="A6" s="1" t="s">
        <v>46</v>
      </c>
      <c r="B6" s="1" t="s">
        <v>47</v>
      </c>
      <c r="C6" s="1" t="s">
        <v>22</v>
      </c>
      <c r="D6" s="2">
        <v>21357.0</v>
      </c>
      <c r="E6" s="1">
        <v>110.0</v>
      </c>
      <c r="F6" s="1" t="s">
        <v>48</v>
      </c>
      <c r="G6" s="2">
        <v>41721.0</v>
      </c>
      <c r="H6" s="1" t="s">
        <v>24</v>
      </c>
      <c r="I6" s="2">
        <v>41721.0</v>
      </c>
      <c r="J6" s="1" t="s">
        <v>25</v>
      </c>
      <c r="K6" s="1" t="s">
        <v>26</v>
      </c>
      <c r="L6" s="1">
        <v>328.0</v>
      </c>
      <c r="M6" s="1" t="s">
        <v>49</v>
      </c>
      <c r="N6" s="1">
        <v>33.0</v>
      </c>
      <c r="O6" s="1" t="s">
        <v>28</v>
      </c>
      <c r="P6" s="1">
        <v>2.00070092E8</v>
      </c>
      <c r="Q6" s="1" t="s">
        <v>50</v>
      </c>
      <c r="R6" s="1" t="s">
        <v>30</v>
      </c>
      <c r="S6">
        <f t="shared" si="1"/>
        <v>33328</v>
      </c>
      <c r="T6">
        <f t="array" ref="T6">iferror(index('Copie de Feuille tri Amandine'!B:C,MATCH(S6,'Copie de Feuille tri Amandine'!B:B,0),2),"")</f>
        <v>607</v>
      </c>
    </row>
    <row r="7">
      <c r="A7" s="1" t="s">
        <v>51</v>
      </c>
      <c r="B7" s="1" t="s">
        <v>52</v>
      </c>
      <c r="C7" s="1" t="s">
        <v>53</v>
      </c>
      <c r="D7" s="2">
        <v>25776.0</v>
      </c>
      <c r="E7" s="1">
        <v>147.0</v>
      </c>
      <c r="F7" s="1" t="s">
        <v>38</v>
      </c>
      <c r="G7" s="2">
        <v>41728.0</v>
      </c>
      <c r="H7" s="1" t="s">
        <v>24</v>
      </c>
      <c r="I7" s="2">
        <v>41728.0</v>
      </c>
      <c r="J7" s="1" t="s">
        <v>25</v>
      </c>
      <c r="K7" s="1" t="s">
        <v>26</v>
      </c>
      <c r="L7" s="1">
        <v>474.0</v>
      </c>
      <c r="M7" s="1" t="s">
        <v>54</v>
      </c>
      <c r="N7" s="1">
        <v>33.0</v>
      </c>
      <c r="O7" s="1" t="s">
        <v>28</v>
      </c>
      <c r="P7" s="1">
        <v>2.43301264E8</v>
      </c>
      <c r="Q7" s="1" t="s">
        <v>55</v>
      </c>
      <c r="R7" s="1" t="s">
        <v>30</v>
      </c>
      <c r="S7">
        <f t="shared" si="1"/>
        <v>33474</v>
      </c>
      <c r="T7">
        <f t="array" ref="T7">iferror(index('Copie de Feuille tri Amandine'!B:C,MATCH(S7,'Copie de Feuille tri Amandine'!B:B,0),2),"")</f>
        <v>3026</v>
      </c>
    </row>
    <row r="8">
      <c r="A8" s="1" t="s">
        <v>56</v>
      </c>
      <c r="B8" s="1" t="s">
        <v>57</v>
      </c>
      <c r="C8" s="1" t="s">
        <v>53</v>
      </c>
      <c r="D8" s="2">
        <v>16710.0</v>
      </c>
      <c r="E8" s="1">
        <v>163.0</v>
      </c>
      <c r="F8" s="1" t="s">
        <v>58</v>
      </c>
      <c r="G8" s="2">
        <v>41728.0</v>
      </c>
      <c r="H8" s="1" t="s">
        <v>24</v>
      </c>
      <c r="I8" s="2">
        <v>41728.0</v>
      </c>
      <c r="J8" s="1" t="s">
        <v>25</v>
      </c>
      <c r="K8" s="1" t="s">
        <v>26</v>
      </c>
      <c r="L8" s="1">
        <v>482.0</v>
      </c>
      <c r="M8" s="1" t="s">
        <v>59</v>
      </c>
      <c r="N8" s="1">
        <v>33.0</v>
      </c>
      <c r="O8" s="1" t="s">
        <v>28</v>
      </c>
      <c r="P8" s="1">
        <v>2.00069599E8</v>
      </c>
      <c r="Q8" s="1" t="s">
        <v>60</v>
      </c>
      <c r="R8" s="1" t="s">
        <v>30</v>
      </c>
      <c r="S8">
        <f t="shared" si="1"/>
        <v>33482</v>
      </c>
      <c r="T8">
        <f t="array" ref="T8">iferror(index('Copie de Feuille tri Amandine'!B:C,MATCH(S8,'Copie de Feuille tri Amandine'!B:B,0),2),"")</f>
        <v>225</v>
      </c>
    </row>
    <row r="9">
      <c r="A9" s="1" t="s">
        <v>61</v>
      </c>
      <c r="B9" s="1" t="s">
        <v>62</v>
      </c>
      <c r="C9" s="1" t="s">
        <v>22</v>
      </c>
      <c r="D9" s="2">
        <v>21221.0</v>
      </c>
      <c r="E9" s="1">
        <v>115.0</v>
      </c>
      <c r="F9" s="1" t="s">
        <v>63</v>
      </c>
      <c r="G9" s="2">
        <v>41721.0</v>
      </c>
      <c r="H9" s="1" t="s">
        <v>24</v>
      </c>
      <c r="I9" s="2">
        <v>41728.0</v>
      </c>
      <c r="J9" s="1" t="s">
        <v>25</v>
      </c>
      <c r="K9" s="1" t="s">
        <v>26</v>
      </c>
      <c r="L9" s="1">
        <v>493.0</v>
      </c>
      <c r="M9" s="1" t="s">
        <v>64</v>
      </c>
      <c r="N9" s="1">
        <v>33.0</v>
      </c>
      <c r="O9" s="1" t="s">
        <v>28</v>
      </c>
      <c r="P9" s="1">
        <v>2.00069995E8</v>
      </c>
      <c r="Q9" s="1" t="s">
        <v>65</v>
      </c>
      <c r="R9" s="1" t="s">
        <v>30</v>
      </c>
      <c r="S9">
        <f t="shared" si="1"/>
        <v>33493</v>
      </c>
      <c r="T9">
        <f t="array" ref="T9">iferror(index('Copie de Feuille tri Amandine'!B:C,MATCH(S9,'Copie de Feuille tri Amandine'!B:B,0),2),"")</f>
        <v>374</v>
      </c>
    </row>
    <row r="10">
      <c r="A10" s="1" t="s">
        <v>66</v>
      </c>
      <c r="B10" s="1" t="s">
        <v>67</v>
      </c>
      <c r="C10" s="1" t="s">
        <v>53</v>
      </c>
      <c r="D10" s="2">
        <v>24543.0</v>
      </c>
      <c r="E10" s="1">
        <v>134.0</v>
      </c>
      <c r="F10" s="1" t="s">
        <v>68</v>
      </c>
      <c r="G10" s="2">
        <v>41721.0</v>
      </c>
      <c r="H10" s="1" t="s">
        <v>24</v>
      </c>
      <c r="I10" s="2">
        <v>43010.0</v>
      </c>
      <c r="J10" s="1" t="s">
        <v>25</v>
      </c>
      <c r="K10" s="1" t="s">
        <v>26</v>
      </c>
      <c r="L10" s="1">
        <v>520.0</v>
      </c>
      <c r="M10" s="1" t="s">
        <v>69</v>
      </c>
      <c r="N10" s="1">
        <v>33.0</v>
      </c>
      <c r="O10" s="1" t="s">
        <v>28</v>
      </c>
      <c r="P10" s="1">
        <v>2.00069599E8</v>
      </c>
      <c r="Q10" s="1" t="s">
        <v>60</v>
      </c>
      <c r="R10" s="1" t="s">
        <v>30</v>
      </c>
      <c r="S10">
        <f t="shared" si="1"/>
        <v>33520</v>
      </c>
      <c r="T10">
        <f t="array" ref="T10">iferror(index('Copie de Feuille tri Amandine'!B:C,MATCH(S10,'Copie de Feuille tri Amandine'!B:B,0),2),"")</f>
        <v>300</v>
      </c>
    </row>
    <row r="11">
      <c r="A11" s="1" t="s">
        <v>70</v>
      </c>
      <c r="B11" s="1" t="s">
        <v>71</v>
      </c>
      <c r="C11" s="1" t="s">
        <v>53</v>
      </c>
      <c r="D11" s="2">
        <v>18700.0</v>
      </c>
      <c r="E11" s="1">
        <v>161.0</v>
      </c>
      <c r="F11" s="1" t="s">
        <v>72</v>
      </c>
      <c r="G11" s="2">
        <v>41728.0</v>
      </c>
      <c r="H11" s="1" t="s">
        <v>24</v>
      </c>
      <c r="I11" s="2">
        <v>41728.0</v>
      </c>
      <c r="J11" s="1" t="s">
        <v>25</v>
      </c>
      <c r="K11" s="1" t="s">
        <v>26</v>
      </c>
      <c r="L11" s="1">
        <v>531.0</v>
      </c>
      <c r="M11" s="1" t="s">
        <v>73</v>
      </c>
      <c r="N11" s="1">
        <v>33.0</v>
      </c>
      <c r="O11" s="1" t="s">
        <v>28</v>
      </c>
      <c r="P11" s="1">
        <v>2.00070092E8</v>
      </c>
      <c r="Q11" s="1" t="s">
        <v>50</v>
      </c>
      <c r="R11" s="1" t="s">
        <v>30</v>
      </c>
      <c r="S11">
        <f t="shared" si="1"/>
        <v>33531</v>
      </c>
      <c r="T11">
        <f t="array" ref="T11">iferror(index('Copie de Feuille tri Amandine'!B:C,MATCH(S11,'Copie de Feuille tri Amandine'!B:B,0),2),"")</f>
        <v>330</v>
      </c>
    </row>
    <row r="12">
      <c r="A12" s="1" t="s">
        <v>74</v>
      </c>
      <c r="B12" s="1" t="s">
        <v>75</v>
      </c>
      <c r="C12" s="1" t="s">
        <v>53</v>
      </c>
      <c r="D12" s="2">
        <v>15101.0</v>
      </c>
      <c r="E12" s="1">
        <v>162.0</v>
      </c>
      <c r="F12" s="1" t="s">
        <v>76</v>
      </c>
      <c r="G12" s="2">
        <v>41728.0</v>
      </c>
      <c r="H12" s="1" t="s">
        <v>24</v>
      </c>
      <c r="I12" s="2">
        <v>41728.0</v>
      </c>
      <c r="J12" s="1" t="s">
        <v>25</v>
      </c>
      <c r="K12" s="1" t="s">
        <v>26</v>
      </c>
      <c r="L12" s="1">
        <v>537.0</v>
      </c>
      <c r="M12" s="1" t="s">
        <v>77</v>
      </c>
      <c r="N12" s="1">
        <v>33.0</v>
      </c>
      <c r="O12" s="1" t="s">
        <v>28</v>
      </c>
      <c r="P12" s="1">
        <v>2.00043974E8</v>
      </c>
      <c r="Q12" s="1" t="s">
        <v>78</v>
      </c>
      <c r="R12" s="1" t="s">
        <v>30</v>
      </c>
      <c r="S12">
        <f t="shared" si="1"/>
        <v>33537</v>
      </c>
      <c r="T12">
        <f t="array" ref="T12">iferror(index('Copie de Feuille tri Amandine'!B:C,MATCH(S12,'Copie de Feuille tri Amandine'!B:B,0),2),"")</f>
        <v>430</v>
      </c>
    </row>
    <row r="13">
      <c r="A13" s="1" t="s">
        <v>79</v>
      </c>
      <c r="B13" s="1" t="s">
        <v>80</v>
      </c>
      <c r="C13" s="1" t="s">
        <v>22</v>
      </c>
      <c r="D13" s="2">
        <v>19163.0</v>
      </c>
      <c r="E13" s="1">
        <v>162.0</v>
      </c>
      <c r="F13" s="1" t="s">
        <v>76</v>
      </c>
      <c r="G13" s="2">
        <v>41721.0</v>
      </c>
      <c r="H13" s="1" t="s">
        <v>24</v>
      </c>
      <c r="I13" s="2">
        <v>41721.0</v>
      </c>
      <c r="J13" s="1" t="s">
        <v>25</v>
      </c>
      <c r="K13" s="1" t="s">
        <v>26</v>
      </c>
      <c r="L13" s="1">
        <v>552.0</v>
      </c>
      <c r="M13" s="1" t="s">
        <v>81</v>
      </c>
      <c r="N13" s="1">
        <v>33.0</v>
      </c>
      <c r="O13" s="1" t="s">
        <v>28</v>
      </c>
      <c r="P13" s="1">
        <v>2.00069581E8</v>
      </c>
      <c r="Q13" s="1" t="s">
        <v>82</v>
      </c>
      <c r="R13" s="1" t="s">
        <v>30</v>
      </c>
      <c r="S13">
        <f t="shared" si="1"/>
        <v>33552</v>
      </c>
      <c r="T13">
        <f t="array" ref="T13">iferror(index('Copie de Feuille tri Amandine'!B:C,MATCH(S13,'Copie de Feuille tri Amandine'!B:B,0),2),"")</f>
        <v>1062</v>
      </c>
    </row>
    <row r="14">
      <c r="A14" s="1" t="s">
        <v>83</v>
      </c>
      <c r="B14" s="1" t="s">
        <v>84</v>
      </c>
      <c r="C14" s="1" t="s">
        <v>22</v>
      </c>
      <c r="D14" s="2">
        <v>17603.0</v>
      </c>
      <c r="E14" s="1">
        <v>163.0</v>
      </c>
      <c r="F14" s="1" t="s">
        <v>58</v>
      </c>
      <c r="G14" s="2">
        <v>41721.0</v>
      </c>
      <c r="H14" s="1" t="s">
        <v>24</v>
      </c>
      <c r="I14" s="2">
        <v>41721.0</v>
      </c>
      <c r="J14" s="1" t="s">
        <v>25</v>
      </c>
      <c r="K14" s="1" t="s">
        <v>26</v>
      </c>
      <c r="L14" s="1">
        <v>49.0</v>
      </c>
      <c r="M14" s="1" t="s">
        <v>85</v>
      </c>
      <c r="N14" s="1">
        <v>33.0</v>
      </c>
      <c r="O14" s="1" t="s">
        <v>28</v>
      </c>
      <c r="P14" s="1">
        <v>2.43301249E8</v>
      </c>
      <c r="Q14" s="1" t="s">
        <v>86</v>
      </c>
      <c r="R14" s="1" t="s">
        <v>30</v>
      </c>
      <c r="S14">
        <f t="shared" si="1"/>
        <v>33049</v>
      </c>
      <c r="T14" t="str">
        <f t="array" ref="T14">iferror(index('Copie de Feuille tri Amandine'!B:C,MATCH(S14,'Copie de Feuille tri Amandine'!B:B,0),2),"")</f>
        <v/>
      </c>
    </row>
    <row r="15">
      <c r="A15" s="1" t="s">
        <v>87</v>
      </c>
      <c r="B15" s="1" t="s">
        <v>88</v>
      </c>
      <c r="C15" s="1" t="s">
        <v>22</v>
      </c>
      <c r="D15" s="2">
        <v>26045.0</v>
      </c>
      <c r="E15" s="1">
        <v>106.0</v>
      </c>
      <c r="F15" s="1" t="s">
        <v>89</v>
      </c>
      <c r="G15" s="2">
        <v>43466.0</v>
      </c>
      <c r="H15" s="1" t="s">
        <v>24</v>
      </c>
      <c r="I15" s="2">
        <v>43647.0</v>
      </c>
      <c r="J15" s="1" t="s">
        <v>25</v>
      </c>
      <c r="K15" s="1" t="s">
        <v>26</v>
      </c>
      <c r="L15" s="1">
        <v>55.0</v>
      </c>
      <c r="M15" s="1" t="s">
        <v>90</v>
      </c>
      <c r="N15" s="1">
        <v>33.0</v>
      </c>
      <c r="O15" s="1" t="s">
        <v>28</v>
      </c>
      <c r="P15" s="1">
        <v>2.00069995E8</v>
      </c>
      <c r="Q15" s="1" t="s">
        <v>65</v>
      </c>
      <c r="R15" s="1" t="s">
        <v>30</v>
      </c>
      <c r="S15">
        <f t="shared" si="1"/>
        <v>33055</v>
      </c>
      <c r="T15" t="str">
        <f t="array" ref="T15">iferror(index('Copie de Feuille tri Amandine'!B:C,MATCH(S15,'Copie de Feuille tri Amandine'!B:B,0),2),"")</f>
        <v/>
      </c>
    </row>
    <row r="16">
      <c r="A16" s="1" t="s">
        <v>91</v>
      </c>
      <c r="B16" s="1" t="s">
        <v>92</v>
      </c>
      <c r="C16" s="1" t="s">
        <v>53</v>
      </c>
      <c r="D16" s="2">
        <v>23801.0</v>
      </c>
      <c r="E16" s="1">
        <v>101.0</v>
      </c>
      <c r="F16" s="1" t="s">
        <v>33</v>
      </c>
      <c r="G16" s="2">
        <v>41721.0</v>
      </c>
      <c r="H16" s="1" t="s">
        <v>24</v>
      </c>
      <c r="I16" s="2">
        <v>41728.0</v>
      </c>
      <c r="J16" s="1" t="s">
        <v>25</v>
      </c>
      <c r="K16" s="1" t="s">
        <v>26</v>
      </c>
      <c r="L16" s="1">
        <v>64.0</v>
      </c>
      <c r="M16" s="1" t="s">
        <v>93</v>
      </c>
      <c r="N16" s="1">
        <v>33.0</v>
      </c>
      <c r="O16" s="1" t="s">
        <v>28</v>
      </c>
      <c r="P16" s="1">
        <v>2.43301454E8</v>
      </c>
      <c r="Q16" s="1" t="s">
        <v>94</v>
      </c>
      <c r="R16" s="1" t="s">
        <v>30</v>
      </c>
      <c r="S16">
        <f t="shared" si="1"/>
        <v>33064</v>
      </c>
      <c r="T16" t="str">
        <f t="array" ref="T16">iferror(index('Copie de Feuille tri Amandine'!B:C,MATCH(S16,'Copie de Feuille tri Amandine'!B:B,0),2),"")</f>
        <v/>
      </c>
    </row>
    <row r="17">
      <c r="A17" s="1" t="s">
        <v>95</v>
      </c>
      <c r="B17" s="1" t="s">
        <v>96</v>
      </c>
      <c r="C17" s="1" t="s">
        <v>22</v>
      </c>
      <c r="D17" s="2">
        <v>25512.0</v>
      </c>
      <c r="E17" s="1">
        <v>157.0</v>
      </c>
      <c r="F17" s="1" t="s">
        <v>97</v>
      </c>
      <c r="G17" s="2">
        <v>41721.0</v>
      </c>
      <c r="H17" s="1" t="s">
        <v>24</v>
      </c>
      <c r="I17" s="2">
        <v>42451.0</v>
      </c>
      <c r="J17" s="1" t="s">
        <v>25</v>
      </c>
      <c r="K17" s="1" t="s">
        <v>26</v>
      </c>
      <c r="L17" s="1">
        <v>72.0</v>
      </c>
      <c r="M17" s="1" t="s">
        <v>98</v>
      </c>
      <c r="N17" s="1">
        <v>33.0</v>
      </c>
      <c r="O17" s="1" t="s">
        <v>28</v>
      </c>
      <c r="P17" s="1">
        <v>2.00044394E8</v>
      </c>
      <c r="Q17" s="1" t="s">
        <v>35</v>
      </c>
      <c r="R17" s="1" t="s">
        <v>30</v>
      </c>
      <c r="S17">
        <f t="shared" si="1"/>
        <v>33072</v>
      </c>
      <c r="T17" t="str">
        <f t="array" ref="T17">iferror(index('Copie de Feuille tri Amandine'!B:C,MATCH(S17,'Copie de Feuille tri Amandine'!B:B,0),2),"")</f>
        <v/>
      </c>
    </row>
    <row r="18">
      <c r="A18" s="1" t="s">
        <v>99</v>
      </c>
      <c r="B18" s="1" t="s">
        <v>100</v>
      </c>
      <c r="C18" s="1" t="s">
        <v>22</v>
      </c>
      <c r="D18" s="2">
        <v>24304.0</v>
      </c>
      <c r="E18" s="1">
        <v>118.0</v>
      </c>
      <c r="F18" s="1" t="s">
        <v>101</v>
      </c>
      <c r="G18" s="2">
        <v>41728.0</v>
      </c>
      <c r="H18" s="1" t="s">
        <v>24</v>
      </c>
      <c r="I18" s="2">
        <v>41733.0</v>
      </c>
      <c r="J18" s="1" t="s">
        <v>25</v>
      </c>
      <c r="K18" s="1" t="s">
        <v>26</v>
      </c>
      <c r="L18" s="1">
        <v>108.0</v>
      </c>
      <c r="M18" s="1" t="s">
        <v>102</v>
      </c>
      <c r="N18" s="1">
        <v>33.0</v>
      </c>
      <c r="O18" s="1" t="s">
        <v>28</v>
      </c>
      <c r="P18" s="1">
        <v>2.43301454E8</v>
      </c>
      <c r="Q18" s="1" t="s">
        <v>94</v>
      </c>
      <c r="R18" s="1" t="s">
        <v>30</v>
      </c>
      <c r="S18">
        <f t="shared" si="1"/>
        <v>33108</v>
      </c>
      <c r="T18" t="str">
        <f t="array" ref="T18">iferror(index('Copie de Feuille tri Amandine'!B:C,MATCH(S18,'Copie de Feuille tri Amandine'!B:B,0),2),"")</f>
        <v/>
      </c>
    </row>
    <row r="19">
      <c r="A19" s="1" t="s">
        <v>103</v>
      </c>
      <c r="B19" s="1" t="s">
        <v>104</v>
      </c>
      <c r="C19" s="1" t="s">
        <v>22</v>
      </c>
      <c r="D19" s="2">
        <v>19874.0</v>
      </c>
      <c r="E19" s="1">
        <v>148.0</v>
      </c>
      <c r="F19" s="1" t="s">
        <v>105</v>
      </c>
      <c r="G19" s="2">
        <v>41728.0</v>
      </c>
      <c r="H19" s="1" t="s">
        <v>24</v>
      </c>
      <c r="I19" s="2">
        <v>41728.0</v>
      </c>
      <c r="J19" s="1" t="s">
        <v>25</v>
      </c>
      <c r="K19" s="1" t="s">
        <v>26</v>
      </c>
      <c r="L19" s="1">
        <v>185.0</v>
      </c>
      <c r="M19" s="1" t="s">
        <v>106</v>
      </c>
      <c r="N19" s="1">
        <v>33.0</v>
      </c>
      <c r="O19" s="1" t="s">
        <v>28</v>
      </c>
      <c r="P19" s="1">
        <v>2.00070092E8</v>
      </c>
      <c r="Q19" s="1" t="s">
        <v>50</v>
      </c>
      <c r="R19" s="1" t="s">
        <v>30</v>
      </c>
      <c r="S19">
        <f t="shared" si="1"/>
        <v>33185</v>
      </c>
      <c r="T19" t="str">
        <f t="array" ref="T19">iferror(index('Copie de Feuille tri Amandine'!B:C,MATCH(S19,'Copie de Feuille tri Amandine'!B:B,0),2),"")</f>
        <v/>
      </c>
    </row>
    <row r="20">
      <c r="A20" s="1" t="s">
        <v>107</v>
      </c>
      <c r="B20" s="1" t="s">
        <v>108</v>
      </c>
      <c r="C20" s="1" t="s">
        <v>22</v>
      </c>
      <c r="D20" s="2">
        <v>23637.0</v>
      </c>
      <c r="E20" s="1">
        <v>119.0</v>
      </c>
      <c r="F20" s="1" t="s">
        <v>109</v>
      </c>
      <c r="G20" s="2">
        <v>41728.0</v>
      </c>
      <c r="H20" s="1" t="s">
        <v>24</v>
      </c>
      <c r="I20" s="2">
        <v>41728.0</v>
      </c>
      <c r="J20" s="1" t="s">
        <v>25</v>
      </c>
      <c r="K20" s="1" t="s">
        <v>26</v>
      </c>
      <c r="L20" s="1">
        <v>214.0</v>
      </c>
      <c r="M20" s="1" t="s">
        <v>110</v>
      </c>
      <c r="N20" s="1">
        <v>33.0</v>
      </c>
      <c r="O20" s="1" t="s">
        <v>28</v>
      </c>
      <c r="P20" s="1">
        <v>2.0007072E8</v>
      </c>
      <c r="Q20" s="1" t="s">
        <v>111</v>
      </c>
      <c r="R20" s="1" t="s">
        <v>30</v>
      </c>
      <c r="S20">
        <f t="shared" si="1"/>
        <v>33214</v>
      </c>
      <c r="T20" t="str">
        <f t="array" ref="T20">iferror(index('Copie de Feuille tri Amandine'!B:C,MATCH(S20,'Copie de Feuille tri Amandine'!B:B,0),2),"")</f>
        <v/>
      </c>
    </row>
    <row r="21">
      <c r="A21" s="1" t="s">
        <v>112</v>
      </c>
      <c r="B21" s="1" t="s">
        <v>113</v>
      </c>
      <c r="C21" s="1" t="s">
        <v>22</v>
      </c>
      <c r="D21" s="2">
        <v>23078.0</v>
      </c>
      <c r="E21" s="1">
        <v>101.0</v>
      </c>
      <c r="F21" s="1" t="s">
        <v>33</v>
      </c>
      <c r="G21" s="2">
        <v>41728.0</v>
      </c>
      <c r="H21" s="1" t="s">
        <v>24</v>
      </c>
      <c r="I21" s="2">
        <v>41763.0</v>
      </c>
      <c r="J21" s="1" t="s">
        <v>25</v>
      </c>
      <c r="K21" s="1" t="s">
        <v>26</v>
      </c>
      <c r="L21" s="1">
        <v>226.0</v>
      </c>
      <c r="M21" s="1" t="s">
        <v>114</v>
      </c>
      <c r="N21" s="1">
        <v>33.0</v>
      </c>
      <c r="O21" s="1" t="s">
        <v>28</v>
      </c>
      <c r="P21" s="1">
        <v>2.43301439E8</v>
      </c>
      <c r="Q21" s="1" t="s">
        <v>115</v>
      </c>
      <c r="R21" s="1" t="s">
        <v>30</v>
      </c>
      <c r="S21">
        <f t="shared" si="1"/>
        <v>33226</v>
      </c>
      <c r="T21" t="str">
        <f t="array" ref="T21">iferror(index('Copie de Feuille tri Amandine'!B:C,MATCH(S21,'Copie de Feuille tri Amandine'!B:B,0),2),"")</f>
        <v/>
      </c>
    </row>
    <row r="22">
      <c r="A22" s="1" t="s">
        <v>116</v>
      </c>
      <c r="B22" s="1" t="s">
        <v>117</v>
      </c>
      <c r="C22" s="1" t="s">
        <v>22</v>
      </c>
      <c r="D22" s="2">
        <v>20329.0</v>
      </c>
      <c r="E22" s="1">
        <v>108.0</v>
      </c>
      <c r="F22" s="1" t="s">
        <v>118</v>
      </c>
      <c r="G22" s="2">
        <v>41728.0</v>
      </c>
      <c r="H22" s="1" t="s">
        <v>24</v>
      </c>
      <c r="I22" s="2">
        <v>41794.0</v>
      </c>
      <c r="J22" s="1" t="s">
        <v>25</v>
      </c>
      <c r="K22" s="1" t="s">
        <v>26</v>
      </c>
      <c r="L22" s="1">
        <v>5.0</v>
      </c>
      <c r="M22" s="1" t="s">
        <v>119</v>
      </c>
      <c r="N22" s="1">
        <v>33.0</v>
      </c>
      <c r="O22" s="1" t="s">
        <v>28</v>
      </c>
      <c r="P22" s="1">
        <v>2.43301504E8</v>
      </c>
      <c r="Q22" s="1" t="s">
        <v>29</v>
      </c>
      <c r="R22" s="1" t="s">
        <v>30</v>
      </c>
      <c r="S22">
        <f t="shared" si="1"/>
        <v>33005</v>
      </c>
      <c r="T22" t="str">
        <f t="array" ref="T22">iferror(index('Copie de Feuille tri Amandine'!B:C,MATCH(S22,'Copie de Feuille tri Amandine'!B:B,0),2),"")</f>
        <v/>
      </c>
    </row>
    <row r="23">
      <c r="A23" s="1" t="s">
        <v>120</v>
      </c>
      <c r="B23" s="1" t="s">
        <v>121</v>
      </c>
      <c r="C23" s="1" t="s">
        <v>53</v>
      </c>
      <c r="D23" s="2">
        <v>22969.0</v>
      </c>
      <c r="E23" s="1">
        <v>139.0</v>
      </c>
      <c r="F23" s="1" t="s">
        <v>122</v>
      </c>
      <c r="G23" s="2">
        <v>41721.0</v>
      </c>
      <c r="H23" s="1" t="s">
        <v>24</v>
      </c>
      <c r="I23" s="2">
        <v>41726.0</v>
      </c>
      <c r="J23" s="1" t="s">
        <v>25</v>
      </c>
      <c r="K23" s="1" t="s">
        <v>26</v>
      </c>
      <c r="L23" s="1">
        <v>116.0</v>
      </c>
      <c r="M23" s="1" t="s">
        <v>123</v>
      </c>
      <c r="N23" s="1">
        <v>33.0</v>
      </c>
      <c r="O23" s="1" t="s">
        <v>28</v>
      </c>
      <c r="P23" s="1">
        <v>2.00043982E8</v>
      </c>
      <c r="Q23" s="1" t="s">
        <v>124</v>
      </c>
      <c r="R23" s="1" t="s">
        <v>30</v>
      </c>
      <c r="S23">
        <f t="shared" si="1"/>
        <v>33116</v>
      </c>
      <c r="T23" t="str">
        <f t="array" ref="T23">iferror(index('Copie de Feuille tri Amandine'!B:C,MATCH(S23,'Copie de Feuille tri Amandine'!B:B,0),2),"")</f>
        <v/>
      </c>
    </row>
    <row r="24">
      <c r="A24" s="1" t="s">
        <v>125</v>
      </c>
      <c r="B24" s="1" t="s">
        <v>126</v>
      </c>
      <c r="C24" s="1" t="s">
        <v>22</v>
      </c>
      <c r="D24" s="2">
        <v>15178.0</v>
      </c>
      <c r="E24" s="1">
        <v>163.0</v>
      </c>
      <c r="F24" s="1" t="s">
        <v>58</v>
      </c>
      <c r="G24" s="2">
        <v>41721.0</v>
      </c>
      <c r="H24" s="1" t="s">
        <v>24</v>
      </c>
      <c r="I24" s="2">
        <v>41728.0</v>
      </c>
      <c r="J24" s="1" t="s">
        <v>25</v>
      </c>
      <c r="K24" s="1" t="s">
        <v>26</v>
      </c>
      <c r="L24" s="1">
        <v>128.0</v>
      </c>
      <c r="M24" s="1" t="s">
        <v>127</v>
      </c>
      <c r="N24" s="1">
        <v>33.0</v>
      </c>
      <c r="O24" s="1" t="s">
        <v>28</v>
      </c>
      <c r="P24" s="1">
        <v>2.00069995E8</v>
      </c>
      <c r="Q24" s="1" t="s">
        <v>65</v>
      </c>
      <c r="R24" s="1" t="s">
        <v>30</v>
      </c>
      <c r="S24">
        <f t="shared" si="1"/>
        <v>33128</v>
      </c>
      <c r="T24" t="str">
        <f t="array" ref="T24">iferror(index('Copie de Feuille tri Amandine'!B:C,MATCH(S24,'Copie de Feuille tri Amandine'!B:B,0),2),"")</f>
        <v/>
      </c>
    </row>
    <row r="25">
      <c r="A25" s="1" t="s">
        <v>128</v>
      </c>
      <c r="B25" s="1" t="s">
        <v>129</v>
      </c>
      <c r="C25" s="1" t="s">
        <v>22</v>
      </c>
      <c r="D25" s="2">
        <v>19165.0</v>
      </c>
      <c r="E25" s="1">
        <v>159.0</v>
      </c>
      <c r="F25" s="1" t="s">
        <v>130</v>
      </c>
      <c r="G25" s="2">
        <v>41721.0</v>
      </c>
      <c r="H25" s="1" t="s">
        <v>24</v>
      </c>
      <c r="I25" s="2">
        <v>41721.0</v>
      </c>
      <c r="J25" s="1" t="s">
        <v>25</v>
      </c>
      <c r="K25" s="1" t="s">
        <v>26</v>
      </c>
      <c r="L25" s="1">
        <v>141.0</v>
      </c>
      <c r="M25" s="1" t="s">
        <v>131</v>
      </c>
      <c r="N25" s="1">
        <v>33.0</v>
      </c>
      <c r="O25" s="1" t="s">
        <v>28</v>
      </c>
      <c r="P25" s="1">
        <v>2.43301355E8</v>
      </c>
      <c r="Q25" s="1" t="s">
        <v>132</v>
      </c>
      <c r="R25" s="1" t="s">
        <v>30</v>
      </c>
      <c r="S25">
        <f t="shared" si="1"/>
        <v>33141</v>
      </c>
      <c r="T25" t="str">
        <f t="array" ref="T25">iferror(index('Copie de Feuille tri Amandine'!B:C,MATCH(S25,'Copie de Feuille tri Amandine'!B:B,0),2),"")</f>
        <v/>
      </c>
    </row>
    <row r="26">
      <c r="A26" s="1" t="s">
        <v>133</v>
      </c>
      <c r="B26" s="1" t="s">
        <v>134</v>
      </c>
      <c r="C26" s="1" t="s">
        <v>22</v>
      </c>
      <c r="D26" s="2">
        <v>22540.0</v>
      </c>
      <c r="E26" s="1">
        <v>101.0</v>
      </c>
      <c r="F26" s="1" t="s">
        <v>33</v>
      </c>
      <c r="G26" s="2">
        <v>41721.0</v>
      </c>
      <c r="H26" s="1" t="s">
        <v>24</v>
      </c>
      <c r="I26" s="2">
        <v>41721.0</v>
      </c>
      <c r="J26" s="1" t="s">
        <v>25</v>
      </c>
      <c r="K26" s="1" t="s">
        <v>26</v>
      </c>
      <c r="L26" s="1">
        <v>145.0</v>
      </c>
      <c r="M26" s="1" t="s">
        <v>135</v>
      </c>
      <c r="N26" s="1">
        <v>33.0</v>
      </c>
      <c r="O26" s="1" t="s">
        <v>28</v>
      </c>
      <c r="P26" s="1">
        <v>2.43301215E8</v>
      </c>
      <c r="Q26" s="1" t="s">
        <v>136</v>
      </c>
      <c r="R26" s="1" t="s">
        <v>30</v>
      </c>
      <c r="S26">
        <f t="shared" si="1"/>
        <v>33145</v>
      </c>
      <c r="T26" t="str">
        <f t="array" ref="T26">iferror(index('Copie de Feuille tri Amandine'!B:C,MATCH(S26,'Copie de Feuille tri Amandine'!B:B,0),2),"")</f>
        <v/>
      </c>
    </row>
    <row r="27">
      <c r="A27" s="1" t="s">
        <v>137</v>
      </c>
      <c r="B27" s="1" t="s">
        <v>126</v>
      </c>
      <c r="C27" s="1" t="s">
        <v>22</v>
      </c>
      <c r="D27" s="2">
        <v>19558.0</v>
      </c>
      <c r="E27" s="1">
        <v>101.0</v>
      </c>
      <c r="F27" s="1" t="s">
        <v>33</v>
      </c>
      <c r="G27" s="2">
        <v>41721.0</v>
      </c>
      <c r="H27" s="1" t="s">
        <v>24</v>
      </c>
      <c r="I27" s="2">
        <v>41721.0</v>
      </c>
      <c r="J27" s="1" t="s">
        <v>25</v>
      </c>
      <c r="K27" s="1" t="s">
        <v>26</v>
      </c>
      <c r="L27" s="1">
        <v>176.0</v>
      </c>
      <c r="M27" s="1" t="s">
        <v>138</v>
      </c>
      <c r="N27" s="1">
        <v>33.0</v>
      </c>
      <c r="O27" s="1" t="s">
        <v>28</v>
      </c>
      <c r="P27" s="1">
        <v>2.00069581E8</v>
      </c>
      <c r="Q27" s="1" t="s">
        <v>82</v>
      </c>
      <c r="R27" s="1" t="s">
        <v>30</v>
      </c>
      <c r="S27">
        <f t="shared" si="1"/>
        <v>33176</v>
      </c>
      <c r="T27" t="str">
        <f t="array" ref="T27">iferror(index('Copie de Feuille tri Amandine'!B:C,MATCH(S27,'Copie de Feuille tri Amandine'!B:B,0),2),"")</f>
        <v/>
      </c>
    </row>
    <row r="28">
      <c r="A28" s="1" t="s">
        <v>139</v>
      </c>
      <c r="B28" s="1" t="s">
        <v>140</v>
      </c>
      <c r="C28" s="1" t="s">
        <v>22</v>
      </c>
      <c r="D28" s="2">
        <v>24140.0</v>
      </c>
      <c r="E28" s="1">
        <v>142.0</v>
      </c>
      <c r="F28" s="1" t="s">
        <v>141</v>
      </c>
      <c r="G28" s="2">
        <v>41728.0</v>
      </c>
      <c r="H28" s="1" t="s">
        <v>24</v>
      </c>
      <c r="I28" s="2">
        <v>41728.0</v>
      </c>
      <c r="J28" s="1" t="s">
        <v>25</v>
      </c>
      <c r="K28" s="1" t="s">
        <v>26</v>
      </c>
      <c r="L28" s="1">
        <v>311.0</v>
      </c>
      <c r="M28" s="1" t="s">
        <v>142</v>
      </c>
      <c r="N28" s="1">
        <v>33.0</v>
      </c>
      <c r="O28" s="1" t="s">
        <v>28</v>
      </c>
      <c r="P28" s="1">
        <v>2.00069581E8</v>
      </c>
      <c r="Q28" s="1" t="s">
        <v>82</v>
      </c>
      <c r="R28" s="1" t="s">
        <v>30</v>
      </c>
      <c r="S28">
        <f t="shared" si="1"/>
        <v>33311</v>
      </c>
      <c r="T28">
        <f t="array" ref="T28">iferror(index('Copie de Feuille tri Amandine'!B:C,MATCH(S28,'Copie de Feuille tri Amandine'!B:B,0),2),"")</f>
        <v>1213</v>
      </c>
    </row>
    <row r="29">
      <c r="A29" s="1" t="s">
        <v>143</v>
      </c>
      <c r="B29" s="1" t="s">
        <v>144</v>
      </c>
      <c r="C29" s="1" t="s">
        <v>53</v>
      </c>
      <c r="D29" s="2">
        <v>19735.0</v>
      </c>
      <c r="E29" s="1">
        <v>101.0</v>
      </c>
      <c r="F29" s="1" t="s">
        <v>33</v>
      </c>
      <c r="G29" s="2">
        <v>41721.0</v>
      </c>
      <c r="H29" s="1" t="s">
        <v>24</v>
      </c>
      <c r="I29" s="2">
        <v>41721.0</v>
      </c>
      <c r="J29" s="1" t="s">
        <v>25</v>
      </c>
      <c r="K29" s="1" t="s">
        <v>26</v>
      </c>
      <c r="L29" s="1">
        <v>320.0</v>
      </c>
      <c r="M29" s="1" t="s">
        <v>145</v>
      </c>
      <c r="N29" s="1">
        <v>33.0</v>
      </c>
      <c r="O29" s="1" t="s">
        <v>28</v>
      </c>
      <c r="P29" s="1">
        <v>2.00035533E8</v>
      </c>
      <c r="Q29" s="1" t="s">
        <v>146</v>
      </c>
      <c r="R29" s="1" t="s">
        <v>30</v>
      </c>
      <c r="S29">
        <f t="shared" si="1"/>
        <v>33320</v>
      </c>
      <c r="T29">
        <f t="array" ref="T29">iferror(index('Copie de Feuille tri Amandine'!B:C,MATCH(S29,'Copie de Feuille tri Amandine'!B:B,0),2),"")</f>
        <v>723</v>
      </c>
    </row>
    <row r="30">
      <c r="A30" s="1" t="s">
        <v>147</v>
      </c>
      <c r="B30" s="1" t="s">
        <v>148</v>
      </c>
      <c r="C30" s="1" t="s">
        <v>22</v>
      </c>
      <c r="D30" s="2">
        <v>19223.0</v>
      </c>
      <c r="E30" s="1">
        <v>141.0</v>
      </c>
      <c r="F30" s="1" t="s">
        <v>149</v>
      </c>
      <c r="G30" s="2">
        <v>41728.0</v>
      </c>
      <c r="H30" s="1" t="s">
        <v>24</v>
      </c>
      <c r="I30" s="2">
        <v>41728.0</v>
      </c>
      <c r="J30" s="1" t="s">
        <v>25</v>
      </c>
      <c r="K30" s="1" t="s">
        <v>26</v>
      </c>
      <c r="L30" s="1">
        <v>330.0</v>
      </c>
      <c r="M30" s="1" t="s">
        <v>150</v>
      </c>
      <c r="N30" s="1">
        <v>33.0</v>
      </c>
      <c r="O30" s="1" t="s">
        <v>28</v>
      </c>
      <c r="P30" s="1">
        <v>2.43301355E8</v>
      </c>
      <c r="Q30" s="1" t="s">
        <v>132</v>
      </c>
      <c r="R30" s="1" t="s">
        <v>30</v>
      </c>
      <c r="S30">
        <f t="shared" si="1"/>
        <v>33330</v>
      </c>
      <c r="T30">
        <f t="array" ref="T30">iferror(index('Copie de Feuille tri Amandine'!B:C,MATCH(S30,'Copie de Feuille tri Amandine'!B:B,0),2),"")</f>
        <v>2980</v>
      </c>
    </row>
    <row r="31">
      <c r="A31" s="1" t="s">
        <v>151</v>
      </c>
      <c r="B31" s="1" t="s">
        <v>42</v>
      </c>
      <c r="C31" s="1" t="s">
        <v>22</v>
      </c>
      <c r="D31" s="2">
        <v>20055.0</v>
      </c>
      <c r="E31" s="1">
        <v>118.0</v>
      </c>
      <c r="F31" s="1" t="s">
        <v>101</v>
      </c>
      <c r="G31" s="2">
        <v>41721.0</v>
      </c>
      <c r="H31" s="1" t="s">
        <v>24</v>
      </c>
      <c r="I31" s="2">
        <v>41721.0</v>
      </c>
      <c r="J31" s="1" t="s">
        <v>25</v>
      </c>
      <c r="K31" s="1" t="s">
        <v>26</v>
      </c>
      <c r="L31" s="1">
        <v>334.0</v>
      </c>
      <c r="M31" s="1" t="s">
        <v>152</v>
      </c>
      <c r="N31" s="1">
        <v>33.0</v>
      </c>
      <c r="O31" s="1" t="s">
        <v>28</v>
      </c>
      <c r="P31" s="1">
        <v>2.00069581E8</v>
      </c>
      <c r="Q31" s="1" t="s">
        <v>82</v>
      </c>
      <c r="R31" s="1" t="s">
        <v>30</v>
      </c>
      <c r="S31">
        <f t="shared" si="1"/>
        <v>33334</v>
      </c>
      <c r="T31">
        <f t="array" ref="T31">iferror(index('Copie de Feuille tri Amandine'!B:C,MATCH(S31,'Copie de Feuille tri Amandine'!B:B,0),2),"")</f>
        <v>2702</v>
      </c>
    </row>
    <row r="32">
      <c r="A32" s="1" t="s">
        <v>153</v>
      </c>
      <c r="B32" s="1" t="s">
        <v>154</v>
      </c>
      <c r="C32" s="1" t="s">
        <v>22</v>
      </c>
      <c r="D32" s="2">
        <v>19371.0</v>
      </c>
      <c r="E32" s="1">
        <v>161.0</v>
      </c>
      <c r="F32" s="1" t="s">
        <v>72</v>
      </c>
      <c r="G32" s="2">
        <v>41721.0</v>
      </c>
      <c r="H32" s="1" t="s">
        <v>24</v>
      </c>
      <c r="I32" s="2">
        <v>41721.0</v>
      </c>
      <c r="J32" s="1" t="s">
        <v>25</v>
      </c>
      <c r="K32" s="1" t="s">
        <v>26</v>
      </c>
      <c r="L32" s="1">
        <v>359.0</v>
      </c>
      <c r="M32" s="1" t="s">
        <v>155</v>
      </c>
      <c r="N32" s="1">
        <v>33.0</v>
      </c>
      <c r="O32" s="1" t="s">
        <v>28</v>
      </c>
      <c r="P32" s="1">
        <v>2.00044394E8</v>
      </c>
      <c r="Q32" s="1" t="s">
        <v>35</v>
      </c>
      <c r="R32" s="1" t="s">
        <v>30</v>
      </c>
      <c r="S32">
        <f t="shared" si="1"/>
        <v>33359</v>
      </c>
      <c r="T32">
        <f t="array" ref="T32">iferror(index('Copie de Feuille tri Amandine'!B:C,MATCH(S32,'Copie de Feuille tri Amandine'!B:B,0),2),"")</f>
        <v>280</v>
      </c>
    </row>
    <row r="33">
      <c r="A33" s="1" t="s">
        <v>156</v>
      </c>
      <c r="B33" s="1" t="s">
        <v>84</v>
      </c>
      <c r="C33" s="1" t="s">
        <v>22</v>
      </c>
      <c r="D33" s="2">
        <v>19140.0</v>
      </c>
      <c r="E33" s="1">
        <v>159.0</v>
      </c>
      <c r="F33" s="1" t="s">
        <v>130</v>
      </c>
      <c r="G33" s="2">
        <v>41721.0</v>
      </c>
      <c r="H33" s="1" t="s">
        <v>24</v>
      </c>
      <c r="I33" s="2">
        <v>41721.0</v>
      </c>
      <c r="J33" s="1" t="s">
        <v>25</v>
      </c>
      <c r="K33" s="1" t="s">
        <v>26</v>
      </c>
      <c r="L33" s="1">
        <v>414.0</v>
      </c>
      <c r="M33" s="1" t="s">
        <v>157</v>
      </c>
      <c r="N33" s="1">
        <v>33.0</v>
      </c>
      <c r="O33" s="1" t="s">
        <v>28</v>
      </c>
      <c r="P33" s="1">
        <v>2.43301397E8</v>
      </c>
      <c r="Q33" s="1" t="s">
        <v>158</v>
      </c>
      <c r="R33" s="1" t="s">
        <v>30</v>
      </c>
      <c r="S33">
        <f t="shared" si="1"/>
        <v>33414</v>
      </c>
      <c r="T33">
        <f t="array" ref="T33">iferror(index('Copie de Feuille tri Amandine'!B:C,MATCH(S33,'Copie de Feuille tri Amandine'!B:B,0),2),"")</f>
        <v>386</v>
      </c>
    </row>
    <row r="34">
      <c r="A34" s="1" t="s">
        <v>159</v>
      </c>
      <c r="B34" s="1" t="s">
        <v>160</v>
      </c>
      <c r="C34" s="1" t="s">
        <v>22</v>
      </c>
      <c r="D34" s="2">
        <v>20119.0</v>
      </c>
      <c r="E34" s="1">
        <v>151.0</v>
      </c>
      <c r="F34" s="1" t="s">
        <v>161</v>
      </c>
      <c r="G34" s="2">
        <v>41721.0</v>
      </c>
      <c r="H34" s="1" t="s">
        <v>24</v>
      </c>
      <c r="I34" s="2">
        <v>43277.0</v>
      </c>
      <c r="J34" s="1" t="s">
        <v>25</v>
      </c>
      <c r="K34" s="1" t="s">
        <v>26</v>
      </c>
      <c r="L34" s="1">
        <v>415.0</v>
      </c>
      <c r="M34" s="1" t="s">
        <v>162</v>
      </c>
      <c r="N34" s="1">
        <v>33.0</v>
      </c>
      <c r="O34" s="1" t="s">
        <v>28</v>
      </c>
      <c r="P34" s="1">
        <v>2.43301223E8</v>
      </c>
      <c r="Q34" s="1" t="s">
        <v>163</v>
      </c>
      <c r="R34" s="1" t="s">
        <v>30</v>
      </c>
      <c r="S34">
        <f t="shared" si="1"/>
        <v>33415</v>
      </c>
      <c r="T34">
        <f t="array" ref="T34">iferror(index('Copie de Feuille tri Amandine'!B:C,MATCH(S34,'Copie de Feuille tri Amandine'!B:B,0),2),"")</f>
        <v>1878</v>
      </c>
    </row>
    <row r="35">
      <c r="A35" s="1" t="s">
        <v>164</v>
      </c>
      <c r="B35" s="1" t="s">
        <v>165</v>
      </c>
      <c r="C35" s="1" t="s">
        <v>22</v>
      </c>
      <c r="D35" s="2">
        <v>19890.0</v>
      </c>
      <c r="E35" s="1">
        <v>101.0</v>
      </c>
      <c r="F35" s="1" t="s">
        <v>33</v>
      </c>
      <c r="G35" s="2">
        <v>41721.0</v>
      </c>
      <c r="H35" s="1" t="s">
        <v>24</v>
      </c>
      <c r="I35" s="2">
        <v>41721.0</v>
      </c>
      <c r="J35" s="1" t="s">
        <v>25</v>
      </c>
      <c r="K35" s="1" t="s">
        <v>26</v>
      </c>
      <c r="L35" s="1">
        <v>470.0</v>
      </c>
      <c r="M35" s="1" t="s">
        <v>166</v>
      </c>
      <c r="N35" s="1">
        <v>33.0</v>
      </c>
      <c r="O35" s="1" t="s">
        <v>28</v>
      </c>
      <c r="P35" s="1">
        <v>2.43301397E8</v>
      </c>
      <c r="Q35" s="1" t="s">
        <v>158</v>
      </c>
      <c r="R35" s="1" t="s">
        <v>30</v>
      </c>
      <c r="S35">
        <f t="shared" si="1"/>
        <v>33470</v>
      </c>
      <c r="T35">
        <f t="array" ref="T35">iferror(index('Copie de Feuille tri Amandine'!B:C,MATCH(S35,'Copie de Feuille tri Amandine'!B:B,0),2),"")</f>
        <v>873</v>
      </c>
    </row>
    <row r="36">
      <c r="A36" s="1" t="s">
        <v>167</v>
      </c>
      <c r="B36" s="1" t="s">
        <v>168</v>
      </c>
      <c r="C36" s="1" t="s">
        <v>22</v>
      </c>
      <c r="D36" s="2">
        <v>18571.0</v>
      </c>
      <c r="E36" s="1">
        <v>163.0</v>
      </c>
      <c r="F36" s="1" t="s">
        <v>58</v>
      </c>
      <c r="G36" s="2">
        <v>42267.0</v>
      </c>
      <c r="H36" s="1" t="s">
        <v>24</v>
      </c>
      <c r="I36" s="2">
        <v>42274.0</v>
      </c>
      <c r="J36" s="1" t="s">
        <v>25</v>
      </c>
      <c r="K36" s="1" t="s">
        <v>26</v>
      </c>
      <c r="L36" s="1">
        <v>471.0</v>
      </c>
      <c r="M36" s="1" t="s">
        <v>169</v>
      </c>
      <c r="N36" s="1">
        <v>33.0</v>
      </c>
      <c r="O36" s="1" t="s">
        <v>28</v>
      </c>
      <c r="P36" s="1">
        <v>2.00069995E8</v>
      </c>
      <c r="Q36" s="1" t="s">
        <v>65</v>
      </c>
      <c r="R36" s="1" t="s">
        <v>30</v>
      </c>
      <c r="S36">
        <f t="shared" si="1"/>
        <v>33471</v>
      </c>
      <c r="T36">
        <f t="array" ref="T36">iferror(index('Copie de Feuille tri Amandine'!B:C,MATCH(S36,'Copie de Feuille tri Amandine'!B:B,0),2),"")</f>
        <v>1312</v>
      </c>
    </row>
    <row r="37">
      <c r="A37" s="1" t="s">
        <v>170</v>
      </c>
      <c r="B37" s="1" t="s">
        <v>134</v>
      </c>
      <c r="C37" s="1" t="s">
        <v>22</v>
      </c>
      <c r="D37" s="2">
        <v>16041.0</v>
      </c>
      <c r="E37" s="1">
        <v>105.0</v>
      </c>
      <c r="F37" s="1" t="s">
        <v>23</v>
      </c>
      <c r="G37" s="2">
        <v>41721.0</v>
      </c>
      <c r="H37" s="1" t="s">
        <v>24</v>
      </c>
      <c r="I37" s="2">
        <v>41721.0</v>
      </c>
      <c r="J37" s="1" t="s">
        <v>25</v>
      </c>
      <c r="K37" s="1" t="s">
        <v>26</v>
      </c>
      <c r="L37" s="1">
        <v>25.0</v>
      </c>
      <c r="M37" s="1" t="s">
        <v>171</v>
      </c>
      <c r="N37" s="1">
        <v>33.0</v>
      </c>
      <c r="O37" s="1" t="s">
        <v>28</v>
      </c>
      <c r="P37" s="1">
        <v>2.00069599E8</v>
      </c>
      <c r="Q37" s="1" t="s">
        <v>60</v>
      </c>
      <c r="R37" s="1" t="s">
        <v>30</v>
      </c>
      <c r="S37">
        <f t="shared" si="1"/>
        <v>33025</v>
      </c>
      <c r="T37" t="str">
        <f t="array" ref="T37">iferror(index('Copie de Feuille tri Amandine'!B:C,MATCH(S37,'Copie de Feuille tri Amandine'!B:B,0),2),"")</f>
        <v/>
      </c>
    </row>
    <row r="38">
      <c r="A38" s="1" t="s">
        <v>172</v>
      </c>
      <c r="B38" s="1" t="s">
        <v>134</v>
      </c>
      <c r="C38" s="1" t="s">
        <v>22</v>
      </c>
      <c r="D38" s="2">
        <v>15434.0</v>
      </c>
      <c r="E38" s="1">
        <v>162.0</v>
      </c>
      <c r="F38" s="1" t="s">
        <v>76</v>
      </c>
      <c r="G38" s="2">
        <v>41721.0</v>
      </c>
      <c r="H38" s="1" t="s">
        <v>24</v>
      </c>
      <c r="I38" s="2">
        <v>41727.0</v>
      </c>
      <c r="J38" s="1" t="s">
        <v>25</v>
      </c>
      <c r="K38" s="1" t="s">
        <v>26</v>
      </c>
      <c r="L38" s="1">
        <v>32.0</v>
      </c>
      <c r="M38" s="1" t="s">
        <v>173</v>
      </c>
      <c r="N38" s="1">
        <v>33.0</v>
      </c>
      <c r="O38" s="1" t="s">
        <v>28</v>
      </c>
      <c r="P38" s="1">
        <v>2.43300316E8</v>
      </c>
      <c r="Q38" s="1" t="s">
        <v>40</v>
      </c>
      <c r="R38" s="1" t="s">
        <v>30</v>
      </c>
      <c r="S38">
        <f t="shared" si="1"/>
        <v>33032</v>
      </c>
      <c r="T38" t="str">
        <f t="array" ref="T38">iferror(index('Copie de Feuille tri Amandine'!B:C,MATCH(S38,'Copie de Feuille tri Amandine'!B:B,0),2),"")</f>
        <v/>
      </c>
    </row>
    <row r="39">
      <c r="A39" s="1" t="s">
        <v>174</v>
      </c>
      <c r="B39" s="1" t="s">
        <v>175</v>
      </c>
      <c r="C39" s="1" t="s">
        <v>22</v>
      </c>
      <c r="D39" s="2">
        <v>20919.0</v>
      </c>
      <c r="E39" s="1">
        <v>152.0</v>
      </c>
      <c r="F39" s="1" t="s">
        <v>176</v>
      </c>
      <c r="G39" s="2">
        <v>41721.0</v>
      </c>
      <c r="H39" s="1" t="s">
        <v>24</v>
      </c>
      <c r="I39" s="2">
        <v>41721.0</v>
      </c>
      <c r="J39" s="1" t="s">
        <v>25</v>
      </c>
      <c r="K39" s="1" t="s">
        <v>26</v>
      </c>
      <c r="L39" s="1">
        <v>52.0</v>
      </c>
      <c r="M39" s="1" t="s">
        <v>177</v>
      </c>
      <c r="N39" s="1">
        <v>33.0</v>
      </c>
      <c r="O39" s="1" t="s">
        <v>28</v>
      </c>
      <c r="P39" s="1">
        <v>2.00070092E8</v>
      </c>
      <c r="Q39" s="1" t="s">
        <v>50</v>
      </c>
      <c r="R39" s="1" t="s">
        <v>30</v>
      </c>
      <c r="S39">
        <f t="shared" si="1"/>
        <v>33052</v>
      </c>
      <c r="T39" t="str">
        <f t="array" ref="T39">iferror(index('Copie de Feuille tri Amandine'!B:C,MATCH(S39,'Copie de Feuille tri Amandine'!B:B,0),2),"")</f>
        <v/>
      </c>
    </row>
    <row r="40">
      <c r="A40" s="1" t="s">
        <v>178</v>
      </c>
      <c r="B40" s="1" t="s">
        <v>179</v>
      </c>
      <c r="C40" s="1" t="s">
        <v>22</v>
      </c>
      <c r="D40" s="2">
        <v>19074.0</v>
      </c>
      <c r="E40" s="1">
        <v>163.0</v>
      </c>
      <c r="F40" s="1" t="s">
        <v>58</v>
      </c>
      <c r="G40" s="2">
        <v>41721.0</v>
      </c>
      <c r="H40" s="1" t="s">
        <v>24</v>
      </c>
      <c r="I40" s="2">
        <v>41721.0</v>
      </c>
      <c r="J40" s="1" t="s">
        <v>25</v>
      </c>
      <c r="K40" s="1" t="s">
        <v>26</v>
      </c>
      <c r="L40" s="1">
        <v>54.0</v>
      </c>
      <c r="M40" s="1" t="s">
        <v>180</v>
      </c>
      <c r="N40" s="1">
        <v>33.0</v>
      </c>
      <c r="O40" s="1" t="s">
        <v>28</v>
      </c>
      <c r="P40" s="1">
        <v>2.00044394E8</v>
      </c>
      <c r="Q40" s="1" t="s">
        <v>35</v>
      </c>
      <c r="R40" s="1" t="s">
        <v>30</v>
      </c>
      <c r="S40">
        <f t="shared" si="1"/>
        <v>33054</v>
      </c>
      <c r="T40" t="str">
        <f t="array" ref="T40">iferror(index('Copie de Feuille tri Amandine'!B:C,MATCH(S40,'Copie de Feuille tri Amandine'!B:B,0),2),"")</f>
        <v/>
      </c>
    </row>
    <row r="41">
      <c r="A41" s="1" t="s">
        <v>181</v>
      </c>
      <c r="B41" s="1" t="s">
        <v>182</v>
      </c>
      <c r="C41" s="1" t="s">
        <v>22</v>
      </c>
      <c r="D41" s="2">
        <v>20130.0</v>
      </c>
      <c r="E41" s="1">
        <v>164.0</v>
      </c>
      <c r="F41" s="1" t="s">
        <v>183</v>
      </c>
      <c r="G41" s="2">
        <v>41721.0</v>
      </c>
      <c r="H41" s="1" t="s">
        <v>24</v>
      </c>
      <c r="I41" s="2">
        <v>41721.0</v>
      </c>
      <c r="J41" s="1" t="s">
        <v>25</v>
      </c>
      <c r="K41" s="1" t="s">
        <v>26</v>
      </c>
      <c r="L41" s="1">
        <v>67.0</v>
      </c>
      <c r="M41" s="1" t="s">
        <v>184</v>
      </c>
      <c r="N41" s="1">
        <v>33.0</v>
      </c>
      <c r="O41" s="1" t="s">
        <v>28</v>
      </c>
      <c r="P41" s="1">
        <v>2.43301223E8</v>
      </c>
      <c r="Q41" s="1" t="s">
        <v>163</v>
      </c>
      <c r="R41" s="1" t="s">
        <v>30</v>
      </c>
      <c r="S41">
        <f t="shared" si="1"/>
        <v>33067</v>
      </c>
      <c r="T41" t="str">
        <f t="array" ref="T41">iferror(index('Copie de Feuille tri Amandine'!B:C,MATCH(S41,'Copie de Feuille tri Amandine'!B:B,0),2),"")</f>
        <v/>
      </c>
    </row>
    <row r="42">
      <c r="A42" s="1" t="s">
        <v>185</v>
      </c>
      <c r="B42" s="1" t="s">
        <v>186</v>
      </c>
      <c r="C42" s="1" t="s">
        <v>22</v>
      </c>
      <c r="D42" s="2">
        <v>13259.0</v>
      </c>
      <c r="E42" s="1">
        <v>163.0</v>
      </c>
      <c r="F42" s="1" t="s">
        <v>58</v>
      </c>
      <c r="G42" s="2">
        <v>41983.0</v>
      </c>
      <c r="H42" s="1" t="s">
        <v>24</v>
      </c>
      <c r="I42" s="2">
        <v>41929.0</v>
      </c>
      <c r="J42" s="1" t="s">
        <v>25</v>
      </c>
      <c r="K42" s="1" t="s">
        <v>26</v>
      </c>
      <c r="L42" s="1">
        <v>71.0</v>
      </c>
      <c r="M42" s="1" t="s">
        <v>187</v>
      </c>
      <c r="N42" s="1">
        <v>33.0</v>
      </c>
      <c r="O42" s="1" t="s">
        <v>28</v>
      </c>
      <c r="P42" s="1">
        <v>2.43301454E8</v>
      </c>
      <c r="Q42" s="1" t="s">
        <v>94</v>
      </c>
      <c r="R42" s="1" t="s">
        <v>30</v>
      </c>
      <c r="S42">
        <f t="shared" si="1"/>
        <v>33071</v>
      </c>
      <c r="T42" t="str">
        <f t="array" ref="T42">iferror(index('Copie de Feuille tri Amandine'!B:C,MATCH(S42,'Copie de Feuille tri Amandine'!B:B,0),2),"")</f>
        <v/>
      </c>
    </row>
    <row r="43">
      <c r="A43" s="1" t="s">
        <v>188</v>
      </c>
      <c r="B43" s="1" t="s">
        <v>189</v>
      </c>
      <c r="C43" s="1" t="s">
        <v>22</v>
      </c>
      <c r="D43" s="2">
        <v>19444.0</v>
      </c>
      <c r="E43" s="1">
        <v>118.0</v>
      </c>
      <c r="F43" s="1" t="s">
        <v>101</v>
      </c>
      <c r="G43" s="2">
        <v>41721.0</v>
      </c>
      <c r="H43" s="1" t="s">
        <v>24</v>
      </c>
      <c r="I43" s="2">
        <v>41721.0</v>
      </c>
      <c r="J43" s="1" t="s">
        <v>25</v>
      </c>
      <c r="K43" s="1" t="s">
        <v>26</v>
      </c>
      <c r="L43" s="1">
        <v>90.0</v>
      </c>
      <c r="M43" s="1" t="s">
        <v>190</v>
      </c>
      <c r="N43" s="1">
        <v>33.0</v>
      </c>
      <c r="O43" s="1" t="s">
        <v>28</v>
      </c>
      <c r="P43" s="1">
        <v>2.43301165E8</v>
      </c>
      <c r="Q43" s="1" t="s">
        <v>191</v>
      </c>
      <c r="R43" s="1" t="s">
        <v>30</v>
      </c>
      <c r="S43">
        <f t="shared" si="1"/>
        <v>33090</v>
      </c>
      <c r="T43" t="str">
        <f t="array" ref="T43">iferror(index('Copie de Feuille tri Amandine'!B:C,MATCH(S43,'Copie de Feuille tri Amandine'!B:B,0),2),"")</f>
        <v/>
      </c>
    </row>
    <row r="44">
      <c r="A44" s="1" t="s">
        <v>192</v>
      </c>
      <c r="B44" s="1" t="s">
        <v>193</v>
      </c>
      <c r="C44" s="1" t="s">
        <v>22</v>
      </c>
      <c r="D44" s="2">
        <v>23121.0</v>
      </c>
      <c r="E44" s="1">
        <v>143.0</v>
      </c>
      <c r="F44" s="1" t="s">
        <v>194</v>
      </c>
      <c r="G44" s="2">
        <v>41721.0</v>
      </c>
      <c r="H44" s="1" t="s">
        <v>24</v>
      </c>
      <c r="I44" s="2">
        <v>43035.0</v>
      </c>
      <c r="J44" s="1" t="s">
        <v>25</v>
      </c>
      <c r="K44" s="1" t="s">
        <v>26</v>
      </c>
      <c r="L44" s="1">
        <v>95.0</v>
      </c>
      <c r="M44" s="1" t="s">
        <v>195</v>
      </c>
      <c r="N44" s="1">
        <v>33.0</v>
      </c>
      <c r="O44" s="1" t="s">
        <v>28</v>
      </c>
      <c r="P44" s="1">
        <v>2.00043982E8</v>
      </c>
      <c r="Q44" s="1" t="s">
        <v>124</v>
      </c>
      <c r="R44" s="1" t="s">
        <v>30</v>
      </c>
      <c r="S44">
        <f t="shared" si="1"/>
        <v>33095</v>
      </c>
      <c r="T44" t="str">
        <f t="array" ref="T44">iferror(index('Copie de Feuille tri Amandine'!B:C,MATCH(S44,'Copie de Feuille tri Amandine'!B:B,0),2),"")</f>
        <v/>
      </c>
    </row>
    <row r="45">
      <c r="A45" s="1" t="s">
        <v>196</v>
      </c>
      <c r="B45" s="1" t="s">
        <v>197</v>
      </c>
      <c r="C45" s="1" t="s">
        <v>53</v>
      </c>
      <c r="D45" s="2">
        <v>24416.0</v>
      </c>
      <c r="E45" s="1">
        <v>142.0</v>
      </c>
      <c r="F45" s="1" t="s">
        <v>141</v>
      </c>
      <c r="G45" s="2">
        <v>41721.0</v>
      </c>
      <c r="H45" s="1" t="s">
        <v>24</v>
      </c>
      <c r="I45" s="2">
        <v>41721.0</v>
      </c>
      <c r="J45" s="1" t="s">
        <v>25</v>
      </c>
      <c r="K45" s="1" t="s">
        <v>26</v>
      </c>
      <c r="L45" s="1">
        <v>200.0</v>
      </c>
      <c r="M45" s="1" t="s">
        <v>198</v>
      </c>
      <c r="N45" s="1">
        <v>33.0</v>
      </c>
      <c r="O45" s="1" t="s">
        <v>28</v>
      </c>
      <c r="P45" s="1">
        <v>2.43300316E8</v>
      </c>
      <c r="Q45" s="1" t="s">
        <v>40</v>
      </c>
      <c r="R45" s="1" t="s">
        <v>30</v>
      </c>
      <c r="S45">
        <f t="shared" si="1"/>
        <v>33200</v>
      </c>
      <c r="T45" t="str">
        <f t="array" ref="T45">iferror(index('Copie de Feuille tri Amandine'!B:C,MATCH(S45,'Copie de Feuille tri Amandine'!B:B,0),2),"")</f>
        <v/>
      </c>
    </row>
    <row r="46">
      <c r="A46" s="1" t="s">
        <v>199</v>
      </c>
      <c r="B46" s="1" t="s">
        <v>189</v>
      </c>
      <c r="C46" s="1" t="s">
        <v>22</v>
      </c>
      <c r="D46" s="2">
        <v>18648.0</v>
      </c>
      <c r="E46" s="1">
        <v>161.0</v>
      </c>
      <c r="F46" s="1" t="s">
        <v>72</v>
      </c>
      <c r="G46" s="2">
        <v>41721.0</v>
      </c>
      <c r="H46" s="1" t="s">
        <v>24</v>
      </c>
      <c r="I46" s="2">
        <v>41721.0</v>
      </c>
      <c r="J46" s="1" t="s">
        <v>25</v>
      </c>
      <c r="K46" s="1" t="s">
        <v>26</v>
      </c>
      <c r="L46" s="1">
        <v>6.0</v>
      </c>
      <c r="M46" s="1" t="s">
        <v>200</v>
      </c>
      <c r="N46" s="1">
        <v>33.0</v>
      </c>
      <c r="O46" s="1" t="s">
        <v>28</v>
      </c>
      <c r="P46" s="1">
        <v>2.43300811E8</v>
      </c>
      <c r="Q46" s="1" t="s">
        <v>201</v>
      </c>
      <c r="R46" s="1" t="s">
        <v>30</v>
      </c>
      <c r="S46">
        <f t="shared" si="1"/>
        <v>33006</v>
      </c>
      <c r="T46" t="str">
        <f t="array" ref="T46">iferror(index('Copie de Feuille tri Amandine'!B:C,MATCH(S46,'Copie de Feuille tri Amandine'!B:B,0),2),"")</f>
        <v/>
      </c>
    </row>
    <row r="47">
      <c r="A47" s="1" t="s">
        <v>202</v>
      </c>
      <c r="B47" s="1" t="s">
        <v>189</v>
      </c>
      <c r="C47" s="1" t="s">
        <v>22</v>
      </c>
      <c r="D47" s="2">
        <v>17313.0</v>
      </c>
      <c r="E47" s="1">
        <v>161.0</v>
      </c>
      <c r="F47" s="1" t="s">
        <v>72</v>
      </c>
      <c r="G47" s="2">
        <v>41721.0</v>
      </c>
      <c r="H47" s="1" t="s">
        <v>24</v>
      </c>
      <c r="I47" s="2">
        <v>41721.0</v>
      </c>
      <c r="J47" s="1" t="s">
        <v>25</v>
      </c>
      <c r="K47" s="1" t="s">
        <v>26</v>
      </c>
      <c r="L47" s="1">
        <v>155.0</v>
      </c>
      <c r="M47" s="1" t="s">
        <v>203</v>
      </c>
      <c r="N47" s="1">
        <v>33.0</v>
      </c>
      <c r="O47" s="1" t="s">
        <v>28</v>
      </c>
      <c r="P47" s="1">
        <v>2.00043982E8</v>
      </c>
      <c r="Q47" s="1" t="s">
        <v>124</v>
      </c>
      <c r="R47" s="1" t="s">
        <v>30</v>
      </c>
      <c r="S47">
        <f t="shared" si="1"/>
        <v>33155</v>
      </c>
      <c r="T47" t="str">
        <f t="array" ref="T47">iferror(index('Copie de Feuille tri Amandine'!B:C,MATCH(S47,'Copie de Feuille tri Amandine'!B:B,0),2),"")</f>
        <v/>
      </c>
    </row>
    <row r="48">
      <c r="A48" s="1" t="s">
        <v>204</v>
      </c>
      <c r="B48" s="1" t="s">
        <v>205</v>
      </c>
      <c r="C48" s="1" t="s">
        <v>22</v>
      </c>
      <c r="D48" s="2">
        <v>25627.0</v>
      </c>
      <c r="E48" s="1">
        <v>150.0</v>
      </c>
      <c r="F48" s="1" t="s">
        <v>43</v>
      </c>
      <c r="G48" s="2">
        <v>41721.0</v>
      </c>
      <c r="H48" s="1" t="s">
        <v>24</v>
      </c>
      <c r="I48" s="2">
        <v>41721.0</v>
      </c>
      <c r="J48" s="1" t="s">
        <v>25</v>
      </c>
      <c r="K48" s="1" t="s">
        <v>26</v>
      </c>
      <c r="L48" s="1">
        <v>170.0</v>
      </c>
      <c r="M48" s="1" t="s">
        <v>206</v>
      </c>
      <c r="N48" s="1">
        <v>33.0</v>
      </c>
      <c r="O48" s="1" t="s">
        <v>28</v>
      </c>
      <c r="P48" s="1">
        <v>2.00044394E8</v>
      </c>
      <c r="Q48" s="1" t="s">
        <v>35</v>
      </c>
      <c r="R48" s="1" t="s">
        <v>30</v>
      </c>
      <c r="S48">
        <f t="shared" si="1"/>
        <v>33170</v>
      </c>
      <c r="T48" t="str">
        <f t="array" ref="T48">iferror(index('Copie de Feuille tri Amandine'!B:C,MATCH(S48,'Copie de Feuille tri Amandine'!B:B,0),2),"")</f>
        <v/>
      </c>
    </row>
    <row r="49">
      <c r="A49" s="1" t="s">
        <v>207</v>
      </c>
      <c r="B49" s="1" t="s">
        <v>71</v>
      </c>
      <c r="C49" s="1" t="s">
        <v>53</v>
      </c>
      <c r="D49" s="2">
        <v>17168.0</v>
      </c>
      <c r="E49" s="1">
        <v>165.0</v>
      </c>
      <c r="F49" s="1" t="s">
        <v>208</v>
      </c>
      <c r="G49" s="2">
        <v>41721.0</v>
      </c>
      <c r="H49" s="1" t="s">
        <v>24</v>
      </c>
      <c r="I49" s="2">
        <v>41721.0</v>
      </c>
      <c r="J49" s="1" t="s">
        <v>25</v>
      </c>
      <c r="K49" s="1" t="s">
        <v>26</v>
      </c>
      <c r="L49" s="1">
        <v>175.0</v>
      </c>
      <c r="M49" s="1" t="s">
        <v>209</v>
      </c>
      <c r="N49" s="1">
        <v>33.0</v>
      </c>
      <c r="O49" s="1" t="s">
        <v>28</v>
      </c>
      <c r="P49" s="1">
        <v>2.00069599E8</v>
      </c>
      <c r="Q49" s="1" t="s">
        <v>60</v>
      </c>
      <c r="R49" s="1" t="s">
        <v>30</v>
      </c>
      <c r="S49">
        <f t="shared" si="1"/>
        <v>33175</v>
      </c>
      <c r="T49" t="str">
        <f t="array" ref="T49">iferror(index('Copie de Feuille tri Amandine'!B:C,MATCH(S49,'Copie de Feuille tri Amandine'!B:B,0),2),"")</f>
        <v/>
      </c>
    </row>
    <row r="50">
      <c r="A50" s="1" t="s">
        <v>210</v>
      </c>
      <c r="B50" s="1" t="s">
        <v>186</v>
      </c>
      <c r="C50" s="1" t="s">
        <v>22</v>
      </c>
      <c r="D50" s="2">
        <v>19648.0</v>
      </c>
      <c r="E50" s="1">
        <v>139.0</v>
      </c>
      <c r="F50" s="1" t="s">
        <v>122</v>
      </c>
      <c r="G50" s="2">
        <v>41721.0</v>
      </c>
      <c r="H50" s="1" t="s">
        <v>24</v>
      </c>
      <c r="I50" s="2">
        <v>41721.0</v>
      </c>
      <c r="J50" s="1" t="s">
        <v>25</v>
      </c>
      <c r="K50" s="1" t="s">
        <v>26</v>
      </c>
      <c r="L50" s="1">
        <v>179.0</v>
      </c>
      <c r="M50" s="1" t="s">
        <v>211</v>
      </c>
      <c r="N50" s="1">
        <v>33.0</v>
      </c>
      <c r="O50" s="1" t="s">
        <v>28</v>
      </c>
      <c r="P50" s="1">
        <v>2.43301397E8</v>
      </c>
      <c r="Q50" s="1" t="s">
        <v>158</v>
      </c>
      <c r="R50" s="1" t="s">
        <v>30</v>
      </c>
      <c r="S50">
        <f t="shared" si="1"/>
        <v>33179</v>
      </c>
      <c r="T50" t="str">
        <f t="array" ref="T50">iferror(index('Copie de Feuille tri Amandine'!B:C,MATCH(S50,'Copie de Feuille tri Amandine'!B:B,0),2),"")</f>
        <v/>
      </c>
    </row>
    <row r="51">
      <c r="A51" s="1" t="s">
        <v>212</v>
      </c>
      <c r="B51" s="1" t="s">
        <v>84</v>
      </c>
      <c r="C51" s="1" t="s">
        <v>22</v>
      </c>
      <c r="D51" s="2">
        <v>24637.0</v>
      </c>
      <c r="E51" s="1">
        <v>101.0</v>
      </c>
      <c r="F51" s="1" t="s">
        <v>33</v>
      </c>
      <c r="G51" s="2">
        <v>41721.0</v>
      </c>
      <c r="H51" s="1" t="s">
        <v>24</v>
      </c>
      <c r="I51" s="2">
        <v>41721.0</v>
      </c>
      <c r="J51" s="1" t="s">
        <v>25</v>
      </c>
      <c r="K51" s="1" t="s">
        <v>26</v>
      </c>
      <c r="L51" s="1">
        <v>251.0</v>
      </c>
      <c r="M51" s="1" t="s">
        <v>213</v>
      </c>
      <c r="N51" s="1">
        <v>33.0</v>
      </c>
      <c r="O51" s="1" t="s">
        <v>28</v>
      </c>
      <c r="P51" s="1">
        <v>2.00043974E8</v>
      </c>
      <c r="Q51" s="1" t="s">
        <v>78</v>
      </c>
      <c r="R51" s="1" t="s">
        <v>30</v>
      </c>
      <c r="S51">
        <f t="shared" si="1"/>
        <v>33251</v>
      </c>
      <c r="T51" t="str">
        <f t="array" ref="T51">iferror(index('Copie de Feuille tri Amandine'!B:C,MATCH(S51,'Copie de Feuille tri Amandine'!B:B,0),2),"")</f>
        <v/>
      </c>
    </row>
    <row r="52">
      <c r="A52" s="1" t="s">
        <v>214</v>
      </c>
      <c r="B52" s="1" t="s">
        <v>165</v>
      </c>
      <c r="C52" s="1" t="s">
        <v>22</v>
      </c>
      <c r="D52" s="2">
        <v>18778.0</v>
      </c>
      <c r="E52" s="1">
        <v>129.0</v>
      </c>
      <c r="F52" s="1" t="s">
        <v>215</v>
      </c>
      <c r="G52" s="2">
        <v>41728.0</v>
      </c>
      <c r="H52" s="1" t="s">
        <v>24</v>
      </c>
      <c r="I52" s="2">
        <v>41728.0</v>
      </c>
      <c r="J52" s="1" t="s">
        <v>25</v>
      </c>
      <c r="K52" s="1" t="s">
        <v>26</v>
      </c>
      <c r="L52" s="1">
        <v>281.0</v>
      </c>
      <c r="M52" s="1" t="s">
        <v>216</v>
      </c>
      <c r="N52" s="1">
        <v>33.0</v>
      </c>
      <c r="O52" s="1" t="s">
        <v>28</v>
      </c>
      <c r="P52" s="1">
        <v>2.43300316E8</v>
      </c>
      <c r="Q52" s="1" t="s">
        <v>40</v>
      </c>
      <c r="R52" s="1" t="s">
        <v>30</v>
      </c>
      <c r="S52">
        <f t="shared" si="1"/>
        <v>33281</v>
      </c>
      <c r="T52">
        <f t="array" ref="T52">iferror(index('Copie de Feuille tri Amandine'!B:C,MATCH(S52,'Copie de Feuille tri Amandine'!B:B,0),2),"")</f>
        <v>70105</v>
      </c>
    </row>
    <row r="53">
      <c r="A53" s="1" t="s">
        <v>217</v>
      </c>
      <c r="B53" s="1" t="s">
        <v>218</v>
      </c>
      <c r="C53" s="1" t="s">
        <v>22</v>
      </c>
      <c r="D53" s="2">
        <v>22886.0</v>
      </c>
      <c r="E53" s="1">
        <v>105.0</v>
      </c>
      <c r="F53" s="1" t="s">
        <v>23</v>
      </c>
      <c r="G53" s="2">
        <v>43197.0</v>
      </c>
      <c r="H53" s="1" t="s">
        <v>24</v>
      </c>
      <c r="I53" s="2">
        <v>43197.0</v>
      </c>
      <c r="J53" s="1" t="s">
        <v>25</v>
      </c>
      <c r="K53" s="1" t="s">
        <v>26</v>
      </c>
      <c r="L53" s="1">
        <v>333.0</v>
      </c>
      <c r="M53" s="1" t="s">
        <v>219</v>
      </c>
      <c r="N53" s="1">
        <v>33.0</v>
      </c>
      <c r="O53" s="1" t="s">
        <v>28</v>
      </c>
      <c r="P53" s="1">
        <v>2.43301389E8</v>
      </c>
      <c r="Q53" s="1" t="s">
        <v>220</v>
      </c>
      <c r="R53" s="1" t="s">
        <v>30</v>
      </c>
      <c r="S53">
        <f t="shared" si="1"/>
        <v>33333</v>
      </c>
      <c r="T53" t="str">
        <f t="array" ref="T53">iferror(index('Copie de Feuille tri Amandine'!B:C,MATCH(S53,'Copie de Feuille tri Amandine'!B:B,0),2),"")</f>
        <v/>
      </c>
    </row>
    <row r="54">
      <c r="A54" s="1" t="s">
        <v>221</v>
      </c>
      <c r="B54" s="1" t="s">
        <v>175</v>
      </c>
      <c r="C54" s="1" t="s">
        <v>22</v>
      </c>
      <c r="D54" s="2">
        <v>19828.0</v>
      </c>
      <c r="E54" s="1">
        <v>164.0</v>
      </c>
      <c r="F54" s="1" t="s">
        <v>183</v>
      </c>
      <c r="G54" s="2">
        <v>41721.0</v>
      </c>
      <c r="H54" s="1" t="s">
        <v>24</v>
      </c>
      <c r="I54" s="2">
        <v>41721.0</v>
      </c>
      <c r="J54" s="1" t="s">
        <v>25</v>
      </c>
      <c r="K54" s="1" t="s">
        <v>26</v>
      </c>
      <c r="L54" s="1">
        <v>335.0</v>
      </c>
      <c r="M54" s="1" t="s">
        <v>222</v>
      </c>
      <c r="N54" s="1">
        <v>33.0</v>
      </c>
      <c r="O54" s="1" t="s">
        <v>28</v>
      </c>
      <c r="P54" s="1">
        <v>2.43301215E8</v>
      </c>
      <c r="Q54" s="1" t="s">
        <v>136</v>
      </c>
      <c r="R54" s="1" t="s">
        <v>30</v>
      </c>
      <c r="S54">
        <f t="shared" si="1"/>
        <v>33335</v>
      </c>
      <c r="T54" t="str">
        <f t="array" ref="T54">iferror(index('Copie de Feuille tri Amandine'!B:C,MATCH(S54,'Copie de Feuille tri Amandine'!B:B,0),2),"")</f>
        <v/>
      </c>
    </row>
    <row r="55">
      <c r="A55" s="1" t="s">
        <v>223</v>
      </c>
      <c r="B55" s="1" t="s">
        <v>224</v>
      </c>
      <c r="C55" s="1" t="s">
        <v>53</v>
      </c>
      <c r="D55" s="2">
        <v>20901.0</v>
      </c>
      <c r="E55" s="1">
        <v>101.0</v>
      </c>
      <c r="F55" s="1" t="s">
        <v>33</v>
      </c>
      <c r="G55" s="2">
        <v>41721.0</v>
      </c>
      <c r="H55" s="1" t="s">
        <v>24</v>
      </c>
      <c r="I55" s="2">
        <v>41721.0</v>
      </c>
      <c r="J55" s="1" t="s">
        <v>25</v>
      </c>
      <c r="K55" s="1" t="s">
        <v>26</v>
      </c>
      <c r="L55" s="1">
        <v>348.0</v>
      </c>
      <c r="M55" s="1" t="s">
        <v>225</v>
      </c>
      <c r="N55" s="1">
        <v>33.0</v>
      </c>
      <c r="O55" s="1" t="s">
        <v>28</v>
      </c>
      <c r="P55" s="1">
        <v>2.0007072E8</v>
      </c>
      <c r="Q55" s="1" t="s">
        <v>111</v>
      </c>
      <c r="R55" s="1" t="s">
        <v>30</v>
      </c>
      <c r="S55">
        <f t="shared" si="1"/>
        <v>33348</v>
      </c>
      <c r="T55">
        <f t="array" ref="T55">iferror(index('Copie de Feuille tri Amandine'!B:C,MATCH(S55,'Copie de Feuille tri Amandine'!B:B,0),2),"")</f>
        <v>1382</v>
      </c>
    </row>
    <row r="56">
      <c r="A56" s="1" t="s">
        <v>226</v>
      </c>
      <c r="B56" s="1" t="s">
        <v>182</v>
      </c>
      <c r="C56" s="1" t="s">
        <v>22</v>
      </c>
      <c r="D56" s="2">
        <v>20113.0</v>
      </c>
      <c r="E56" s="1">
        <v>110.0</v>
      </c>
      <c r="F56" s="1" t="s">
        <v>48</v>
      </c>
      <c r="G56" s="2">
        <v>41721.0</v>
      </c>
      <c r="H56" s="1" t="s">
        <v>24</v>
      </c>
      <c r="I56" s="2">
        <v>41721.0</v>
      </c>
      <c r="J56" s="1" t="s">
        <v>25</v>
      </c>
      <c r="K56" s="1" t="s">
        <v>26</v>
      </c>
      <c r="L56" s="1">
        <v>351.0</v>
      </c>
      <c r="M56" s="1" t="s">
        <v>227</v>
      </c>
      <c r="N56" s="1">
        <v>33.0</v>
      </c>
      <c r="O56" s="1" t="s">
        <v>28</v>
      </c>
      <c r="P56" s="1">
        <v>2.43300811E8</v>
      </c>
      <c r="Q56" s="1" t="s">
        <v>201</v>
      </c>
      <c r="R56" s="1" t="s">
        <v>30</v>
      </c>
      <c r="S56">
        <f t="shared" si="1"/>
        <v>33351</v>
      </c>
      <c r="T56">
        <f t="array" ref="T56">iferror(index('Copie de Feuille tri Amandine'!B:C,MATCH(S56,'Copie de Feuille tri Amandine'!B:B,0),2),"")</f>
        <v>1599</v>
      </c>
    </row>
    <row r="57">
      <c r="A57" s="1" t="s">
        <v>228</v>
      </c>
      <c r="B57" s="1" t="s">
        <v>229</v>
      </c>
      <c r="C57" s="1" t="s">
        <v>22</v>
      </c>
      <c r="D57" s="2">
        <v>20780.0</v>
      </c>
      <c r="E57" s="1">
        <v>147.0</v>
      </c>
      <c r="F57" s="1" t="s">
        <v>38</v>
      </c>
      <c r="G57" s="2">
        <v>41721.0</v>
      </c>
      <c r="H57" s="1" t="s">
        <v>24</v>
      </c>
      <c r="I57" s="2">
        <v>41721.0</v>
      </c>
      <c r="J57" s="1" t="s">
        <v>25</v>
      </c>
      <c r="K57" s="1" t="s">
        <v>26</v>
      </c>
      <c r="L57" s="1">
        <v>381.0</v>
      </c>
      <c r="M57" s="1" t="s">
        <v>230</v>
      </c>
      <c r="N57" s="1">
        <v>33.0</v>
      </c>
      <c r="O57" s="1" t="s">
        <v>28</v>
      </c>
      <c r="P57" s="1">
        <v>2.43301439E8</v>
      </c>
      <c r="Q57" s="1" t="s">
        <v>115</v>
      </c>
      <c r="R57" s="1" t="s">
        <v>30</v>
      </c>
      <c r="S57">
        <f t="shared" si="1"/>
        <v>33381</v>
      </c>
      <c r="T57">
        <f t="array" ref="T57">iferror(index('Copie de Feuille tri Amandine'!B:C,MATCH(S57,'Copie de Feuille tri Amandine'!B:B,0),2),"")</f>
        <v>3222</v>
      </c>
    </row>
    <row r="58">
      <c r="A58" s="1" t="s">
        <v>231</v>
      </c>
      <c r="B58" s="1" t="s">
        <v>232</v>
      </c>
      <c r="C58" s="1" t="s">
        <v>22</v>
      </c>
      <c r="D58" s="2">
        <v>18913.0</v>
      </c>
      <c r="E58" s="1">
        <v>161.0</v>
      </c>
      <c r="F58" s="1" t="s">
        <v>72</v>
      </c>
      <c r="G58" s="2">
        <v>41721.0</v>
      </c>
      <c r="H58" s="1" t="s">
        <v>24</v>
      </c>
      <c r="I58" s="2">
        <v>41728.0</v>
      </c>
      <c r="J58" s="1" t="s">
        <v>25</v>
      </c>
      <c r="K58" s="1" t="s">
        <v>26</v>
      </c>
      <c r="L58" s="1">
        <v>386.0</v>
      </c>
      <c r="M58" s="1" t="s">
        <v>233</v>
      </c>
      <c r="N58" s="1">
        <v>33.0</v>
      </c>
      <c r="O58" s="1" t="s">
        <v>28</v>
      </c>
      <c r="P58" s="1">
        <v>2.00035533E8</v>
      </c>
      <c r="Q58" s="1" t="s">
        <v>146</v>
      </c>
      <c r="R58" s="1" t="s">
        <v>30</v>
      </c>
      <c r="S58">
        <f t="shared" si="1"/>
        <v>33386</v>
      </c>
      <c r="T58">
        <f t="array" ref="T58">iferror(index('Copie de Feuille tri Amandine'!B:C,MATCH(S58,'Copie de Feuille tri Amandine'!B:B,0),2),"")</f>
        <v>183</v>
      </c>
    </row>
    <row r="59">
      <c r="A59" s="1" t="s">
        <v>234</v>
      </c>
      <c r="B59" s="1" t="s">
        <v>84</v>
      </c>
      <c r="C59" s="1" t="s">
        <v>22</v>
      </c>
      <c r="D59" s="2">
        <v>17676.0</v>
      </c>
      <c r="E59" s="1">
        <v>161.0</v>
      </c>
      <c r="F59" s="1" t="s">
        <v>72</v>
      </c>
      <c r="G59" s="2">
        <v>41721.0</v>
      </c>
      <c r="H59" s="1" t="s">
        <v>24</v>
      </c>
      <c r="I59" s="2">
        <v>41728.0</v>
      </c>
      <c r="J59" s="1" t="s">
        <v>25</v>
      </c>
      <c r="K59" s="1" t="s">
        <v>26</v>
      </c>
      <c r="L59" s="1">
        <v>445.0</v>
      </c>
      <c r="M59" s="1" t="s">
        <v>235</v>
      </c>
      <c r="N59" s="1">
        <v>33.0</v>
      </c>
      <c r="O59" s="1" t="s">
        <v>28</v>
      </c>
      <c r="P59" s="1">
        <v>2.00070092E8</v>
      </c>
      <c r="Q59" s="1" t="s">
        <v>50</v>
      </c>
      <c r="R59" s="1" t="s">
        <v>30</v>
      </c>
      <c r="S59">
        <f t="shared" si="1"/>
        <v>33445</v>
      </c>
      <c r="T59">
        <f t="array" ref="T59">iferror(index('Copie de Feuille tri Amandine'!B:C,MATCH(S59,'Copie de Feuille tri Amandine'!B:B,0),2),"")</f>
        <v>862</v>
      </c>
    </row>
    <row r="60">
      <c r="A60" s="1" t="s">
        <v>236</v>
      </c>
      <c r="B60" s="1" t="s">
        <v>237</v>
      </c>
      <c r="C60" s="1" t="s">
        <v>22</v>
      </c>
      <c r="D60" s="2">
        <v>8130.0</v>
      </c>
      <c r="E60" s="1">
        <v>165.0</v>
      </c>
      <c r="F60" s="1" t="s">
        <v>208</v>
      </c>
      <c r="G60" s="2">
        <v>41721.0</v>
      </c>
      <c r="H60" s="1" t="s">
        <v>24</v>
      </c>
      <c r="I60" s="2">
        <v>41721.0</v>
      </c>
      <c r="J60" s="1" t="s">
        <v>25</v>
      </c>
      <c r="K60" s="1" t="s">
        <v>26</v>
      </c>
      <c r="L60" s="1">
        <v>478.0</v>
      </c>
      <c r="M60" s="1" t="s">
        <v>238</v>
      </c>
      <c r="N60" s="1">
        <v>33.0</v>
      </c>
      <c r="O60" s="1" t="s">
        <v>28</v>
      </c>
      <c r="P60" s="1">
        <v>2.00070092E8</v>
      </c>
      <c r="Q60" s="1" t="s">
        <v>50</v>
      </c>
      <c r="R60" s="1" t="s">
        <v>30</v>
      </c>
      <c r="S60">
        <f t="shared" si="1"/>
        <v>33478</v>
      </c>
      <c r="T60">
        <f t="array" ref="T60">iferror(index('Copie de Feuille tri Amandine'!B:C,MATCH(S60,'Copie de Feuille tri Amandine'!B:B,0),2),"")</f>
        <v>3155</v>
      </c>
    </row>
    <row r="61">
      <c r="A61" s="1" t="s">
        <v>239</v>
      </c>
      <c r="B61" s="1" t="s">
        <v>240</v>
      </c>
      <c r="C61" s="1" t="s">
        <v>53</v>
      </c>
      <c r="D61" s="2">
        <v>22839.0</v>
      </c>
      <c r="E61" s="1">
        <v>120.0</v>
      </c>
      <c r="F61" s="1" t="s">
        <v>241</v>
      </c>
      <c r="G61" s="2">
        <v>41721.0</v>
      </c>
      <c r="H61" s="1" t="s">
        <v>24</v>
      </c>
      <c r="I61" s="2">
        <v>41726.0</v>
      </c>
      <c r="J61" s="1" t="s">
        <v>25</v>
      </c>
      <c r="K61" s="1" t="s">
        <v>26</v>
      </c>
      <c r="L61" s="1">
        <v>500.0</v>
      </c>
      <c r="M61" s="1" t="s">
        <v>242</v>
      </c>
      <c r="N61" s="1">
        <v>33.0</v>
      </c>
      <c r="O61" s="1" t="s">
        <v>28</v>
      </c>
      <c r="P61" s="1">
        <v>2.00023794E8</v>
      </c>
      <c r="Q61" s="1" t="s">
        <v>243</v>
      </c>
      <c r="R61" s="1" t="s">
        <v>30</v>
      </c>
      <c r="S61">
        <f t="shared" si="1"/>
        <v>33500</v>
      </c>
      <c r="T61">
        <f t="array" ref="T61">iferror(index('Copie de Feuille tri Amandine'!B:C,MATCH(S61,'Copie de Feuille tri Amandine'!B:B,0),2),"")</f>
        <v>426</v>
      </c>
    </row>
    <row r="62">
      <c r="A62" s="1" t="s">
        <v>244</v>
      </c>
      <c r="B62" s="1" t="s">
        <v>245</v>
      </c>
      <c r="C62" s="1" t="s">
        <v>22</v>
      </c>
      <c r="D62" s="2">
        <v>21785.0</v>
      </c>
      <c r="E62" s="1">
        <v>113.0</v>
      </c>
      <c r="F62" s="1" t="s">
        <v>246</v>
      </c>
      <c r="G62" s="2">
        <v>41721.0</v>
      </c>
      <c r="H62" s="1" t="s">
        <v>24</v>
      </c>
      <c r="I62" s="2">
        <v>41721.0</v>
      </c>
      <c r="J62" s="1" t="s">
        <v>25</v>
      </c>
      <c r="K62" s="1" t="s">
        <v>26</v>
      </c>
      <c r="L62" s="1">
        <v>77.0</v>
      </c>
      <c r="M62" s="1" t="s">
        <v>247</v>
      </c>
      <c r="N62" s="1">
        <v>33.0</v>
      </c>
      <c r="O62" s="1" t="s">
        <v>28</v>
      </c>
      <c r="P62" s="1">
        <v>2.43301264E8</v>
      </c>
      <c r="Q62" s="1" t="s">
        <v>55</v>
      </c>
      <c r="R62" s="1" t="s">
        <v>30</v>
      </c>
      <c r="S62">
        <f t="shared" si="1"/>
        <v>33077</v>
      </c>
      <c r="T62" t="str">
        <f t="array" ref="T62">iferror(index('Copie de Feuille tri Amandine'!B:C,MATCH(S62,'Copie de Feuille tri Amandine'!B:B,0),2),"")</f>
        <v/>
      </c>
    </row>
    <row r="63">
      <c r="A63" s="1" t="s">
        <v>248</v>
      </c>
      <c r="B63" s="1" t="s">
        <v>42</v>
      </c>
      <c r="C63" s="1" t="s">
        <v>22</v>
      </c>
      <c r="D63" s="2">
        <v>23229.0</v>
      </c>
      <c r="E63" s="1">
        <v>110.0</v>
      </c>
      <c r="F63" s="1" t="s">
        <v>48</v>
      </c>
      <c r="G63" s="2">
        <v>43271.0</v>
      </c>
      <c r="H63" s="1" t="s">
        <v>24</v>
      </c>
      <c r="I63" s="2">
        <v>43271.0</v>
      </c>
      <c r="J63" s="1" t="s">
        <v>25</v>
      </c>
      <c r="K63" s="1" t="s">
        <v>26</v>
      </c>
      <c r="L63" s="1">
        <v>106.0</v>
      </c>
      <c r="M63" s="1" t="s">
        <v>249</v>
      </c>
      <c r="N63" s="1">
        <v>33.0</v>
      </c>
      <c r="O63" s="1" t="s">
        <v>28</v>
      </c>
      <c r="P63" s="1">
        <v>2.00043974E8</v>
      </c>
      <c r="Q63" s="1" t="s">
        <v>78</v>
      </c>
      <c r="R63" s="1" t="s">
        <v>30</v>
      </c>
      <c r="S63">
        <f t="shared" si="1"/>
        <v>33106</v>
      </c>
      <c r="T63" t="str">
        <f t="array" ref="T63">iferror(index('Copie de Feuille tri Amandine'!B:C,MATCH(S63,'Copie de Feuille tri Amandine'!B:B,0),2),"")</f>
        <v/>
      </c>
    </row>
    <row r="64">
      <c r="A64" s="1" t="s">
        <v>250</v>
      </c>
      <c r="B64" s="1" t="s">
        <v>232</v>
      </c>
      <c r="C64" s="1" t="s">
        <v>22</v>
      </c>
      <c r="D64" s="2">
        <v>24870.0</v>
      </c>
      <c r="E64" s="1">
        <v>105.0</v>
      </c>
      <c r="F64" s="1" t="s">
        <v>23</v>
      </c>
      <c r="G64" s="2">
        <v>41721.0</v>
      </c>
      <c r="H64" s="1" t="s">
        <v>24</v>
      </c>
      <c r="I64" s="2">
        <v>41721.0</v>
      </c>
      <c r="J64" s="1" t="s">
        <v>25</v>
      </c>
      <c r="K64" s="1" t="s">
        <v>26</v>
      </c>
      <c r="L64" s="1">
        <v>190.0</v>
      </c>
      <c r="M64" s="1" t="s">
        <v>251</v>
      </c>
      <c r="N64" s="1">
        <v>33.0</v>
      </c>
      <c r="O64" s="1" t="s">
        <v>28</v>
      </c>
      <c r="P64" s="1">
        <v>2.00043982E8</v>
      </c>
      <c r="Q64" s="1" t="s">
        <v>124</v>
      </c>
      <c r="R64" s="1" t="s">
        <v>30</v>
      </c>
      <c r="S64">
        <f t="shared" si="1"/>
        <v>33190</v>
      </c>
      <c r="T64" t="str">
        <f t="array" ref="T64">iferror(index('Copie de Feuille tri Amandine'!B:C,MATCH(S64,'Copie de Feuille tri Amandine'!B:B,0),2),"")</f>
        <v/>
      </c>
    </row>
    <row r="65">
      <c r="A65" s="1" t="s">
        <v>252</v>
      </c>
      <c r="B65" s="1" t="s">
        <v>84</v>
      </c>
      <c r="C65" s="1" t="s">
        <v>22</v>
      </c>
      <c r="D65" s="2">
        <v>16535.0</v>
      </c>
      <c r="E65" s="1">
        <v>160.0</v>
      </c>
      <c r="F65" s="1" t="s">
        <v>253</v>
      </c>
      <c r="G65" s="2">
        <v>41721.0</v>
      </c>
      <c r="H65" s="1" t="s">
        <v>24</v>
      </c>
      <c r="I65" s="2">
        <v>41721.0</v>
      </c>
      <c r="J65" s="1" t="s">
        <v>25</v>
      </c>
      <c r="K65" s="1" t="s">
        <v>26</v>
      </c>
      <c r="L65" s="1">
        <v>232.0</v>
      </c>
      <c r="M65" s="1" t="s">
        <v>254</v>
      </c>
      <c r="N65" s="1">
        <v>33.0</v>
      </c>
      <c r="O65" s="1" t="s">
        <v>28</v>
      </c>
      <c r="P65" s="1">
        <v>2.00043982E8</v>
      </c>
      <c r="Q65" s="1" t="s">
        <v>124</v>
      </c>
      <c r="R65" s="1" t="s">
        <v>30</v>
      </c>
      <c r="S65">
        <f t="shared" si="1"/>
        <v>33232</v>
      </c>
      <c r="T65" t="str">
        <f t="array" ref="T65">iferror(index('Copie de Feuille tri Amandine'!B:C,MATCH(S65,'Copie de Feuille tri Amandine'!B:B,0),2),"")</f>
        <v/>
      </c>
    </row>
    <row r="66">
      <c r="A66" s="1" t="s">
        <v>255</v>
      </c>
      <c r="B66" s="1" t="s">
        <v>256</v>
      </c>
      <c r="C66" s="1" t="s">
        <v>53</v>
      </c>
      <c r="D66" s="2">
        <v>25324.0</v>
      </c>
      <c r="E66" s="1">
        <v>149.0</v>
      </c>
      <c r="F66" s="1" t="s">
        <v>257</v>
      </c>
      <c r="G66" s="2">
        <v>41721.0</v>
      </c>
      <c r="H66" s="1" t="s">
        <v>24</v>
      </c>
      <c r="I66" s="2">
        <v>41721.0</v>
      </c>
      <c r="J66" s="1" t="s">
        <v>25</v>
      </c>
      <c r="K66" s="1" t="s">
        <v>26</v>
      </c>
      <c r="L66" s="1">
        <v>148.0</v>
      </c>
      <c r="M66" s="1" t="s">
        <v>258</v>
      </c>
      <c r="N66" s="1">
        <v>33.0</v>
      </c>
      <c r="O66" s="1" t="s">
        <v>28</v>
      </c>
      <c r="P66" s="1">
        <v>2.00070092E8</v>
      </c>
      <c r="Q66" s="1" t="s">
        <v>50</v>
      </c>
      <c r="R66" s="1" t="s">
        <v>30</v>
      </c>
      <c r="S66">
        <f t="shared" si="1"/>
        <v>33148</v>
      </c>
      <c r="T66" t="str">
        <f t="array" ref="T66">iferror(index('Copie de Feuille tri Amandine'!B:C,MATCH(S66,'Copie de Feuille tri Amandine'!B:B,0),2),"")</f>
        <v/>
      </c>
    </row>
    <row r="67">
      <c r="A67" s="1" t="s">
        <v>259</v>
      </c>
      <c r="B67" s="1" t="s">
        <v>229</v>
      </c>
      <c r="C67" s="1" t="s">
        <v>22</v>
      </c>
      <c r="D67" s="2">
        <v>18593.0</v>
      </c>
      <c r="E67" s="1">
        <v>161.0</v>
      </c>
      <c r="F67" s="1" t="s">
        <v>72</v>
      </c>
      <c r="G67" s="2">
        <v>41728.0</v>
      </c>
      <c r="H67" s="1" t="s">
        <v>24</v>
      </c>
      <c r="I67" s="2">
        <v>41728.0</v>
      </c>
      <c r="J67" s="1" t="s">
        <v>25</v>
      </c>
      <c r="K67" s="1" t="s">
        <v>26</v>
      </c>
      <c r="L67" s="1">
        <v>153.0</v>
      </c>
      <c r="M67" s="1" t="s">
        <v>260</v>
      </c>
      <c r="N67" s="1">
        <v>33.0</v>
      </c>
      <c r="O67" s="1" t="s">
        <v>28</v>
      </c>
      <c r="P67" s="1">
        <v>2.43301454E8</v>
      </c>
      <c r="Q67" s="1" t="s">
        <v>94</v>
      </c>
      <c r="R67" s="1" t="s">
        <v>30</v>
      </c>
      <c r="S67">
        <f t="shared" si="1"/>
        <v>33153</v>
      </c>
      <c r="T67" t="str">
        <f t="array" ref="T67">iferror(index('Copie de Feuille tri Amandine'!B:C,MATCH(S67,'Copie de Feuille tri Amandine'!B:B,0),2),"")</f>
        <v/>
      </c>
    </row>
    <row r="68">
      <c r="A68" s="1" t="s">
        <v>261</v>
      </c>
      <c r="B68" s="1" t="s">
        <v>165</v>
      </c>
      <c r="C68" s="1" t="s">
        <v>22</v>
      </c>
      <c r="D68" s="2">
        <v>20985.0</v>
      </c>
      <c r="E68" s="1">
        <v>101.0</v>
      </c>
      <c r="F68" s="1" t="s">
        <v>33</v>
      </c>
      <c r="G68" s="2">
        <v>41728.0</v>
      </c>
      <c r="H68" s="1" t="s">
        <v>24</v>
      </c>
      <c r="I68" s="2">
        <v>42042.0</v>
      </c>
      <c r="J68" s="1" t="s">
        <v>25</v>
      </c>
      <c r="K68" s="1" t="s">
        <v>26</v>
      </c>
      <c r="L68" s="1">
        <v>248.0</v>
      </c>
      <c r="M68" s="1" t="s">
        <v>262</v>
      </c>
      <c r="N68" s="1">
        <v>33.0</v>
      </c>
      <c r="O68" s="1" t="s">
        <v>28</v>
      </c>
      <c r="P68" s="1">
        <v>2.43301389E8</v>
      </c>
      <c r="Q68" s="1" t="s">
        <v>220</v>
      </c>
      <c r="R68" s="1" t="s">
        <v>30</v>
      </c>
      <c r="S68">
        <f t="shared" si="1"/>
        <v>33248</v>
      </c>
      <c r="T68" t="str">
        <f t="array" ref="T68">iferror(index('Copie de Feuille tri Amandine'!B:C,MATCH(S68,'Copie de Feuille tri Amandine'!B:B,0),2),"")</f>
        <v/>
      </c>
    </row>
    <row r="69">
      <c r="A69" s="1" t="s">
        <v>263</v>
      </c>
      <c r="B69" s="1" t="s">
        <v>264</v>
      </c>
      <c r="C69" s="1" t="s">
        <v>53</v>
      </c>
      <c r="D69" s="2">
        <v>17460.0</v>
      </c>
      <c r="E69" s="1">
        <v>162.0</v>
      </c>
      <c r="F69" s="1" t="s">
        <v>76</v>
      </c>
      <c r="G69" s="2">
        <v>41721.0</v>
      </c>
      <c r="H69" s="1" t="s">
        <v>24</v>
      </c>
      <c r="I69" s="2">
        <v>41721.0</v>
      </c>
      <c r="J69" s="1" t="s">
        <v>25</v>
      </c>
      <c r="K69" s="1" t="s">
        <v>26</v>
      </c>
      <c r="L69" s="1">
        <v>276.0</v>
      </c>
      <c r="M69" s="1" t="s">
        <v>265</v>
      </c>
      <c r="N69" s="1">
        <v>33.0</v>
      </c>
      <c r="O69" s="1" t="s">
        <v>28</v>
      </c>
      <c r="P69" s="1">
        <v>2.00043982E8</v>
      </c>
      <c r="Q69" s="1" t="s">
        <v>124</v>
      </c>
      <c r="R69" s="1" t="s">
        <v>30</v>
      </c>
      <c r="S69">
        <f t="shared" si="1"/>
        <v>33276</v>
      </c>
      <c r="T69">
        <f t="array" ref="T69">iferror(index('Copie de Feuille tri Amandine'!B:C,MATCH(S69,'Copie de Feuille tri Amandine'!B:B,0),2),"")</f>
        <v>145</v>
      </c>
    </row>
    <row r="70">
      <c r="A70" s="1" t="s">
        <v>266</v>
      </c>
      <c r="B70" s="1" t="s">
        <v>267</v>
      </c>
      <c r="C70" s="1" t="s">
        <v>22</v>
      </c>
      <c r="D70" s="2">
        <v>16079.0</v>
      </c>
      <c r="E70" s="1">
        <v>165.0</v>
      </c>
      <c r="F70" s="1" t="s">
        <v>208</v>
      </c>
      <c r="G70" s="2">
        <v>41721.0</v>
      </c>
      <c r="H70" s="1" t="s">
        <v>24</v>
      </c>
      <c r="I70" s="2">
        <v>41721.0</v>
      </c>
      <c r="J70" s="1" t="s">
        <v>25</v>
      </c>
      <c r="K70" s="1" t="s">
        <v>26</v>
      </c>
      <c r="L70" s="1">
        <v>302.0</v>
      </c>
      <c r="M70" s="1" t="s">
        <v>268</v>
      </c>
      <c r="N70" s="1">
        <v>33.0</v>
      </c>
      <c r="O70" s="1" t="s">
        <v>28</v>
      </c>
      <c r="P70" s="1">
        <v>2.00035533E8</v>
      </c>
      <c r="Q70" s="1" t="s">
        <v>146</v>
      </c>
      <c r="R70" s="1" t="s">
        <v>30</v>
      </c>
      <c r="S70">
        <f t="shared" si="1"/>
        <v>33302</v>
      </c>
      <c r="T70">
        <f t="array" ref="T70">iferror(index('Copie de Feuille tri Amandine'!B:C,MATCH(S70,'Copie de Feuille tri Amandine'!B:B,0),2),"")</f>
        <v>386</v>
      </c>
    </row>
    <row r="71">
      <c r="A71" s="1" t="s">
        <v>269</v>
      </c>
      <c r="B71" s="1" t="s">
        <v>232</v>
      </c>
      <c r="C71" s="1" t="s">
        <v>22</v>
      </c>
      <c r="D71" s="2">
        <v>17185.0</v>
      </c>
      <c r="E71" s="1">
        <v>159.0</v>
      </c>
      <c r="F71" s="1" t="s">
        <v>130</v>
      </c>
      <c r="G71" s="2">
        <v>41721.0</v>
      </c>
      <c r="H71" s="1" t="s">
        <v>24</v>
      </c>
      <c r="I71" s="2">
        <v>41721.0</v>
      </c>
      <c r="J71" s="1" t="s">
        <v>25</v>
      </c>
      <c r="K71" s="1" t="s">
        <v>26</v>
      </c>
      <c r="L71" s="1">
        <v>369.0</v>
      </c>
      <c r="M71" s="1" t="s">
        <v>270</v>
      </c>
      <c r="N71" s="1">
        <v>33.0</v>
      </c>
      <c r="O71" s="1" t="s">
        <v>28</v>
      </c>
      <c r="P71" s="1">
        <v>2.43301371E8</v>
      </c>
      <c r="Q71" s="1" t="s">
        <v>271</v>
      </c>
      <c r="R71" s="1" t="s">
        <v>30</v>
      </c>
      <c r="S71">
        <f t="shared" si="1"/>
        <v>33369</v>
      </c>
      <c r="T71">
        <f t="array" ref="T71">iferror(index('Copie de Feuille tri Amandine'!B:C,MATCH(S71,'Copie de Feuille tri Amandine'!B:B,0),2),"")</f>
        <v>686</v>
      </c>
    </row>
    <row r="72">
      <c r="A72" s="1" t="s">
        <v>272</v>
      </c>
      <c r="B72" s="1" t="s">
        <v>273</v>
      </c>
      <c r="C72" s="1" t="s">
        <v>22</v>
      </c>
      <c r="D72" s="2">
        <v>17158.0</v>
      </c>
      <c r="E72" s="1">
        <v>158.0</v>
      </c>
      <c r="F72" s="1" t="s">
        <v>274</v>
      </c>
      <c r="G72" s="2">
        <v>42995.0</v>
      </c>
      <c r="H72" s="1" t="s">
        <v>24</v>
      </c>
      <c r="I72" s="2">
        <v>43000.0</v>
      </c>
      <c r="J72" s="1" t="s">
        <v>25</v>
      </c>
      <c r="K72" s="1" t="s">
        <v>26</v>
      </c>
      <c r="L72" s="1">
        <v>388.0</v>
      </c>
      <c r="M72" s="1" t="s">
        <v>275</v>
      </c>
      <c r="N72" s="1">
        <v>33.0</v>
      </c>
      <c r="O72" s="1" t="s">
        <v>28</v>
      </c>
      <c r="P72" s="1">
        <v>2.00023794E8</v>
      </c>
      <c r="Q72" s="1" t="s">
        <v>243</v>
      </c>
      <c r="R72" s="1" t="s">
        <v>30</v>
      </c>
      <c r="S72">
        <f t="shared" si="1"/>
        <v>33388</v>
      </c>
      <c r="T72">
        <f t="array" ref="T72">iferror(index('Copie de Feuille tri Amandine'!B:C,MATCH(S72,'Copie de Feuille tri Amandine'!B:B,0),2),"")</f>
        <v>825</v>
      </c>
    </row>
    <row r="73">
      <c r="A73" s="1" t="s">
        <v>276</v>
      </c>
      <c r="B73" s="1" t="s">
        <v>165</v>
      </c>
      <c r="C73" s="1" t="s">
        <v>22</v>
      </c>
      <c r="D73" s="2">
        <v>17685.0</v>
      </c>
      <c r="E73" s="1">
        <v>161.0</v>
      </c>
      <c r="F73" s="1" t="s">
        <v>72</v>
      </c>
      <c r="G73" s="2">
        <v>41721.0</v>
      </c>
      <c r="H73" s="1" t="s">
        <v>24</v>
      </c>
      <c r="I73" s="2">
        <v>41721.0</v>
      </c>
      <c r="J73" s="1" t="s">
        <v>25</v>
      </c>
      <c r="K73" s="1" t="s">
        <v>26</v>
      </c>
      <c r="L73" s="1">
        <v>426.0</v>
      </c>
      <c r="M73" s="1" t="s">
        <v>277</v>
      </c>
      <c r="N73" s="1">
        <v>33.0</v>
      </c>
      <c r="O73" s="1" t="s">
        <v>28</v>
      </c>
      <c r="P73" s="1">
        <v>2.00035533E8</v>
      </c>
      <c r="Q73" s="1" t="s">
        <v>146</v>
      </c>
      <c r="R73" s="1" t="s">
        <v>30</v>
      </c>
      <c r="S73">
        <f t="shared" si="1"/>
        <v>33426</v>
      </c>
      <c r="T73">
        <f t="array" ref="T73">iferror(index('Copie de Feuille tri Amandine'!B:C,MATCH(S73,'Copie de Feuille tri Amandine'!B:B,0),2),"")</f>
        <v>260</v>
      </c>
    </row>
    <row r="74">
      <c r="A74" s="1" t="s">
        <v>278</v>
      </c>
      <c r="B74" s="1" t="s">
        <v>37</v>
      </c>
      <c r="C74" s="1" t="s">
        <v>22</v>
      </c>
      <c r="D74" s="2">
        <v>24239.0</v>
      </c>
      <c r="E74" s="1">
        <v>105.0</v>
      </c>
      <c r="F74" s="1" t="s">
        <v>23</v>
      </c>
      <c r="G74" s="2">
        <v>41721.0</v>
      </c>
      <c r="H74" s="1" t="s">
        <v>24</v>
      </c>
      <c r="I74" s="2">
        <v>41721.0</v>
      </c>
      <c r="J74" s="1" t="s">
        <v>25</v>
      </c>
      <c r="K74" s="1" t="s">
        <v>26</v>
      </c>
      <c r="L74" s="1">
        <v>428.0</v>
      </c>
      <c r="M74" s="1" t="s">
        <v>279</v>
      </c>
      <c r="N74" s="1">
        <v>33.0</v>
      </c>
      <c r="O74" s="1" t="s">
        <v>28</v>
      </c>
      <c r="P74" s="1">
        <v>2.00044394E8</v>
      </c>
      <c r="Q74" s="1" t="s">
        <v>35</v>
      </c>
      <c r="R74" s="1" t="s">
        <v>30</v>
      </c>
      <c r="S74">
        <f t="shared" si="1"/>
        <v>33428</v>
      </c>
      <c r="T74">
        <f t="array" ref="T74">iferror(index('Copie de Feuille tri Amandine'!B:C,MATCH(S74,'Copie de Feuille tri Amandine'!B:B,0),2),"")</f>
        <v>92</v>
      </c>
    </row>
    <row r="75">
      <c r="A75" s="1" t="s">
        <v>280</v>
      </c>
      <c r="B75" s="1" t="s">
        <v>281</v>
      </c>
      <c r="C75" s="1" t="s">
        <v>53</v>
      </c>
      <c r="D75" s="2">
        <v>24451.0</v>
      </c>
      <c r="E75" s="1">
        <v>101.0</v>
      </c>
      <c r="F75" s="1" t="s">
        <v>33</v>
      </c>
      <c r="G75" s="2">
        <v>41721.0</v>
      </c>
      <c r="H75" s="1" t="s">
        <v>24</v>
      </c>
      <c r="I75" s="2">
        <v>41728.0</v>
      </c>
      <c r="J75" s="1" t="s">
        <v>25</v>
      </c>
      <c r="K75" s="1" t="s">
        <v>26</v>
      </c>
      <c r="L75" s="1">
        <v>481.0</v>
      </c>
      <c r="M75" s="1" t="s">
        <v>282</v>
      </c>
      <c r="N75" s="1">
        <v>33.0</v>
      </c>
      <c r="O75" s="1" t="s">
        <v>28</v>
      </c>
      <c r="P75" s="1">
        <v>2.00069599E8</v>
      </c>
      <c r="Q75" s="1" t="s">
        <v>60</v>
      </c>
      <c r="R75" s="1" t="s">
        <v>30</v>
      </c>
      <c r="S75">
        <f t="shared" si="1"/>
        <v>33481</v>
      </c>
      <c r="T75">
        <f t="array" ref="T75">iferror(index('Copie de Feuille tri Amandine'!B:C,MATCH(S75,'Copie de Feuille tri Amandine'!B:B,0),2),"")</f>
        <v>229</v>
      </c>
    </row>
    <row r="76">
      <c r="A76" s="1" t="s">
        <v>283</v>
      </c>
      <c r="B76" s="1" t="s">
        <v>182</v>
      </c>
      <c r="C76" s="1" t="s">
        <v>22</v>
      </c>
      <c r="D76" s="2">
        <v>17234.0</v>
      </c>
      <c r="E76" s="1">
        <v>159.0</v>
      </c>
      <c r="F76" s="1" t="s">
        <v>130</v>
      </c>
      <c r="G76" s="2">
        <v>41721.0</v>
      </c>
      <c r="H76" s="1" t="s">
        <v>24</v>
      </c>
      <c r="I76" s="2">
        <v>41721.0</v>
      </c>
      <c r="J76" s="1" t="s">
        <v>25</v>
      </c>
      <c r="K76" s="1" t="s">
        <v>26</v>
      </c>
      <c r="L76" s="1">
        <v>483.0</v>
      </c>
      <c r="M76" s="1" t="s">
        <v>284</v>
      </c>
      <c r="N76" s="1">
        <v>33.0</v>
      </c>
      <c r="O76" s="1" t="s">
        <v>28</v>
      </c>
      <c r="P76" s="1">
        <v>2.43301249E8</v>
      </c>
      <c r="Q76" s="1" t="s">
        <v>86</v>
      </c>
      <c r="R76" s="1" t="s">
        <v>30</v>
      </c>
      <c r="S76">
        <f t="shared" si="1"/>
        <v>33483</v>
      </c>
      <c r="T76">
        <f t="array" ref="T76">iferror(index('Copie de Feuille tri Amandine'!B:C,MATCH(S76,'Copie de Feuille tri Amandine'!B:B,0),2),"")</f>
        <v>4614</v>
      </c>
    </row>
    <row r="77">
      <c r="A77" s="1" t="s">
        <v>285</v>
      </c>
      <c r="B77" s="1" t="s">
        <v>286</v>
      </c>
      <c r="C77" s="1" t="s">
        <v>22</v>
      </c>
      <c r="D77" s="2">
        <v>22231.0</v>
      </c>
      <c r="E77" s="1">
        <v>149.0</v>
      </c>
      <c r="F77" s="1" t="s">
        <v>257</v>
      </c>
      <c r="G77" s="2">
        <v>41721.0</v>
      </c>
      <c r="H77" s="1" t="s">
        <v>24</v>
      </c>
      <c r="I77" s="2">
        <v>41721.0</v>
      </c>
      <c r="J77" s="1" t="s">
        <v>25</v>
      </c>
      <c r="K77" s="1" t="s">
        <v>26</v>
      </c>
      <c r="L77" s="1">
        <v>508.0</v>
      </c>
      <c r="M77" s="1" t="s">
        <v>287</v>
      </c>
      <c r="N77" s="1">
        <v>33.0</v>
      </c>
      <c r="O77" s="1" t="s">
        <v>28</v>
      </c>
      <c r="P77" s="1">
        <v>2.00044394E8</v>
      </c>
      <c r="Q77" s="1" t="s">
        <v>35</v>
      </c>
      <c r="R77" s="1" t="s">
        <v>30</v>
      </c>
      <c r="S77">
        <f t="shared" si="1"/>
        <v>33508</v>
      </c>
      <c r="T77">
        <f t="array" ref="T77">iferror(index('Copie de Feuille tri Amandine'!B:C,MATCH(S77,'Copie de Feuille tri Amandine'!B:B,0),2),"")</f>
        <v>633</v>
      </c>
    </row>
    <row r="78">
      <c r="A78" s="1" t="s">
        <v>288</v>
      </c>
      <c r="B78" s="1" t="s">
        <v>80</v>
      </c>
      <c r="C78" s="1" t="s">
        <v>22</v>
      </c>
      <c r="D78" s="2">
        <v>23126.0</v>
      </c>
      <c r="E78" s="1">
        <v>119.0</v>
      </c>
      <c r="F78" s="1" t="s">
        <v>109</v>
      </c>
      <c r="G78" s="2">
        <v>41721.0</v>
      </c>
      <c r="H78" s="1" t="s">
        <v>24</v>
      </c>
      <c r="I78" s="2">
        <v>41728.0</v>
      </c>
      <c r="J78" s="1" t="s">
        <v>25</v>
      </c>
      <c r="K78" s="1" t="s">
        <v>26</v>
      </c>
      <c r="L78" s="1">
        <v>542.0</v>
      </c>
      <c r="M78" s="1" t="s">
        <v>289</v>
      </c>
      <c r="N78" s="1">
        <v>33.0</v>
      </c>
      <c r="O78" s="1" t="s">
        <v>28</v>
      </c>
      <c r="P78" s="1">
        <v>2.43301397E8</v>
      </c>
      <c r="Q78" s="1" t="s">
        <v>158</v>
      </c>
      <c r="R78" s="1" t="s">
        <v>30</v>
      </c>
      <c r="S78">
        <f t="shared" si="1"/>
        <v>33542</v>
      </c>
      <c r="T78">
        <f t="array" ref="T78">iferror(index('Copie de Feuille tri Amandine'!B:C,MATCH(S78,'Copie de Feuille tri Amandine'!B:B,0),2),"")</f>
        <v>923</v>
      </c>
    </row>
    <row r="79">
      <c r="A79" s="1" t="s">
        <v>290</v>
      </c>
      <c r="B79" s="1" t="s">
        <v>100</v>
      </c>
      <c r="C79" s="1" t="s">
        <v>22</v>
      </c>
      <c r="D79" s="2">
        <v>17190.0</v>
      </c>
      <c r="E79" s="1">
        <v>163.0</v>
      </c>
      <c r="F79" s="1" t="s">
        <v>58</v>
      </c>
      <c r="G79" s="2">
        <v>41721.0</v>
      </c>
      <c r="H79" s="1" t="s">
        <v>24</v>
      </c>
      <c r="I79" s="2">
        <v>41721.0</v>
      </c>
      <c r="J79" s="1" t="s">
        <v>25</v>
      </c>
      <c r="K79" s="1" t="s">
        <v>26</v>
      </c>
      <c r="L79" s="1">
        <v>544.0</v>
      </c>
      <c r="M79" s="1" t="s">
        <v>291</v>
      </c>
      <c r="N79" s="1">
        <v>33.0</v>
      </c>
      <c r="O79" s="1" t="s">
        <v>28</v>
      </c>
      <c r="P79" s="1">
        <v>2.0007072E8</v>
      </c>
      <c r="Q79" s="1" t="s">
        <v>111</v>
      </c>
      <c r="R79" s="1" t="s">
        <v>30</v>
      </c>
      <c r="S79">
        <f t="shared" si="1"/>
        <v>33544</v>
      </c>
      <c r="T79" t="str">
        <f t="array" ref="T79">iferror(index('Copie de Feuille tri Amandine'!B:C,MATCH(S79,'Copie de Feuille tri Amandine'!B:B,0),2),"")</f>
        <v/>
      </c>
    </row>
    <row r="80">
      <c r="A80" s="1" t="s">
        <v>292</v>
      </c>
      <c r="B80" s="1" t="s">
        <v>84</v>
      </c>
      <c r="C80" s="1" t="s">
        <v>22</v>
      </c>
      <c r="D80" s="2">
        <v>26598.0</v>
      </c>
      <c r="E80" s="1">
        <v>156.0</v>
      </c>
      <c r="F80" s="1" t="s">
        <v>293</v>
      </c>
      <c r="G80" s="2">
        <v>41721.0</v>
      </c>
      <c r="H80" s="1" t="s">
        <v>24</v>
      </c>
      <c r="I80" s="2">
        <v>41721.0</v>
      </c>
      <c r="J80" s="1" t="s">
        <v>25</v>
      </c>
      <c r="K80" s="1" t="s">
        <v>26</v>
      </c>
      <c r="L80" s="1">
        <v>21.0</v>
      </c>
      <c r="M80" s="1" t="s">
        <v>294</v>
      </c>
      <c r="N80" s="1">
        <v>33.0</v>
      </c>
      <c r="O80" s="1" t="s">
        <v>28</v>
      </c>
      <c r="P80" s="1">
        <v>2.00044394E8</v>
      </c>
      <c r="Q80" s="1" t="s">
        <v>35</v>
      </c>
      <c r="R80" s="1" t="s">
        <v>30</v>
      </c>
      <c r="S80">
        <f t="shared" si="1"/>
        <v>33021</v>
      </c>
      <c r="T80" t="str">
        <f t="array" ref="T80">iferror(index('Copie de Feuille tri Amandine'!B:C,MATCH(S80,'Copie de Feuille tri Amandine'!B:B,0),2),"")</f>
        <v/>
      </c>
    </row>
    <row r="81">
      <c r="A81" s="1" t="s">
        <v>295</v>
      </c>
      <c r="B81" s="1" t="s">
        <v>84</v>
      </c>
      <c r="C81" s="1" t="s">
        <v>22</v>
      </c>
      <c r="D81" s="2">
        <v>20441.0</v>
      </c>
      <c r="E81" s="1">
        <v>147.0</v>
      </c>
      <c r="F81" s="1" t="s">
        <v>38</v>
      </c>
      <c r="G81" s="2">
        <v>41721.0</v>
      </c>
      <c r="H81" s="1" t="s">
        <v>24</v>
      </c>
      <c r="I81" s="2">
        <v>41721.0</v>
      </c>
      <c r="J81" s="1" t="s">
        <v>25</v>
      </c>
      <c r="K81" s="1" t="s">
        <v>26</v>
      </c>
      <c r="L81" s="1">
        <v>23.0</v>
      </c>
      <c r="M81" s="1" t="s">
        <v>296</v>
      </c>
      <c r="N81" s="1">
        <v>33.0</v>
      </c>
      <c r="O81" s="1" t="s">
        <v>28</v>
      </c>
      <c r="P81" s="1">
        <v>2.43301264E8</v>
      </c>
      <c r="Q81" s="1" t="s">
        <v>55</v>
      </c>
      <c r="R81" s="1" t="s">
        <v>30</v>
      </c>
      <c r="S81">
        <f t="shared" si="1"/>
        <v>33023</v>
      </c>
      <c r="T81" t="str">
        <f t="array" ref="T81">iferror(index('Copie de Feuille tri Amandine'!B:C,MATCH(S81,'Copie de Feuille tri Amandine'!B:B,0),2),"")</f>
        <v/>
      </c>
    </row>
    <row r="82">
      <c r="A82" s="1" t="s">
        <v>297</v>
      </c>
      <c r="B82" s="1" t="s">
        <v>298</v>
      </c>
      <c r="C82" s="1" t="s">
        <v>53</v>
      </c>
      <c r="D82" s="2">
        <v>19920.0</v>
      </c>
      <c r="E82" s="1">
        <v>142.0</v>
      </c>
      <c r="F82" s="1" t="s">
        <v>141</v>
      </c>
      <c r="G82" s="2">
        <v>41721.0</v>
      </c>
      <c r="H82" s="1" t="s">
        <v>24</v>
      </c>
      <c r="I82" s="2">
        <v>41721.0</v>
      </c>
      <c r="J82" s="1" t="s">
        <v>25</v>
      </c>
      <c r="K82" s="1" t="s">
        <v>26</v>
      </c>
      <c r="L82" s="1">
        <v>42.0</v>
      </c>
      <c r="M82" s="1" t="s">
        <v>299</v>
      </c>
      <c r="N82" s="1">
        <v>33.0</v>
      </c>
      <c r="O82" s="1" t="s">
        <v>28</v>
      </c>
      <c r="P82" s="1">
        <v>2.43301405E8</v>
      </c>
      <c r="Q82" s="1" t="s">
        <v>300</v>
      </c>
      <c r="R82" s="1" t="s">
        <v>30</v>
      </c>
      <c r="S82">
        <f t="shared" si="1"/>
        <v>33042</v>
      </c>
      <c r="T82" t="str">
        <f t="array" ref="T82">iferror(index('Copie de Feuille tri Amandine'!B:C,MATCH(S82,'Copie de Feuille tri Amandine'!B:B,0),2),"")</f>
        <v/>
      </c>
    </row>
    <row r="83">
      <c r="A83" s="1" t="s">
        <v>301</v>
      </c>
      <c r="B83" s="1" t="s">
        <v>302</v>
      </c>
      <c r="C83" s="1" t="s">
        <v>22</v>
      </c>
      <c r="D83" s="2">
        <v>20576.0</v>
      </c>
      <c r="E83" s="1">
        <v>148.0</v>
      </c>
      <c r="F83" s="1" t="s">
        <v>105</v>
      </c>
      <c r="G83" s="2">
        <v>41721.0</v>
      </c>
      <c r="H83" s="1" t="s">
        <v>24</v>
      </c>
      <c r="I83" s="2">
        <v>41721.0</v>
      </c>
      <c r="J83" s="1" t="s">
        <v>25</v>
      </c>
      <c r="K83" s="1" t="s">
        <v>26</v>
      </c>
      <c r="L83" s="1">
        <v>74.0</v>
      </c>
      <c r="M83" s="1" t="s">
        <v>303</v>
      </c>
      <c r="N83" s="1">
        <v>33.0</v>
      </c>
      <c r="O83" s="1" t="s">
        <v>28</v>
      </c>
      <c r="P83" s="1">
        <v>2.00044394E8</v>
      </c>
      <c r="Q83" s="1" t="s">
        <v>35</v>
      </c>
      <c r="R83" s="1" t="s">
        <v>30</v>
      </c>
      <c r="S83">
        <f t="shared" si="1"/>
        <v>33074</v>
      </c>
      <c r="T83" t="str">
        <f t="array" ref="T83">iferror(index('Copie de Feuille tri Amandine'!B:C,MATCH(S83,'Copie de Feuille tri Amandine'!B:B,0),2),"")</f>
        <v/>
      </c>
    </row>
    <row r="84">
      <c r="A84" s="1" t="s">
        <v>304</v>
      </c>
      <c r="B84" s="1" t="s">
        <v>305</v>
      </c>
      <c r="C84" s="1" t="s">
        <v>53</v>
      </c>
      <c r="D84" s="2">
        <v>21031.0</v>
      </c>
      <c r="E84" s="1">
        <v>147.0</v>
      </c>
      <c r="F84" s="1" t="s">
        <v>38</v>
      </c>
      <c r="G84" s="2">
        <v>41721.0</v>
      </c>
      <c r="H84" s="1" t="s">
        <v>24</v>
      </c>
      <c r="I84" s="2">
        <v>41721.0</v>
      </c>
      <c r="J84" s="1" t="s">
        <v>25</v>
      </c>
      <c r="K84" s="1" t="s">
        <v>26</v>
      </c>
      <c r="L84" s="1">
        <v>75.0</v>
      </c>
      <c r="M84" s="1" t="s">
        <v>306</v>
      </c>
      <c r="N84" s="1">
        <v>33.0</v>
      </c>
      <c r="O84" s="1" t="s">
        <v>28</v>
      </c>
      <c r="P84" s="1">
        <v>2.43300316E8</v>
      </c>
      <c r="Q84" s="1" t="s">
        <v>40</v>
      </c>
      <c r="R84" s="1" t="s">
        <v>30</v>
      </c>
      <c r="S84">
        <f t="shared" si="1"/>
        <v>33075</v>
      </c>
      <c r="T84" t="str">
        <f t="array" ref="T84">iferror(index('Copie de Feuille tri Amandine'!B:C,MATCH(S84,'Copie de Feuille tri Amandine'!B:B,0),2),"")</f>
        <v/>
      </c>
    </row>
    <row r="85">
      <c r="A85" s="1" t="s">
        <v>307</v>
      </c>
      <c r="B85" s="1" t="s">
        <v>308</v>
      </c>
      <c r="C85" s="1" t="s">
        <v>22</v>
      </c>
      <c r="D85" s="2">
        <v>15785.0</v>
      </c>
      <c r="E85" s="1">
        <v>158.0</v>
      </c>
      <c r="F85" s="1" t="s">
        <v>274</v>
      </c>
      <c r="G85" s="2">
        <v>41721.0</v>
      </c>
      <c r="H85" s="1" t="s">
        <v>24</v>
      </c>
      <c r="I85" s="2">
        <v>41721.0</v>
      </c>
      <c r="J85" s="1" t="s">
        <v>25</v>
      </c>
      <c r="K85" s="1" t="s">
        <v>26</v>
      </c>
      <c r="L85" s="1">
        <v>76.0</v>
      </c>
      <c r="M85" s="1" t="s">
        <v>309</v>
      </c>
      <c r="N85" s="1">
        <v>33.0</v>
      </c>
      <c r="O85" s="1" t="s">
        <v>28</v>
      </c>
      <c r="P85" s="1">
        <v>2.00069581E8</v>
      </c>
      <c r="Q85" s="1" t="s">
        <v>82</v>
      </c>
      <c r="R85" s="1" t="s">
        <v>30</v>
      </c>
      <c r="S85">
        <f t="shared" si="1"/>
        <v>33076</v>
      </c>
      <c r="T85" t="str">
        <f t="array" ref="T85">iferror(index('Copie de Feuille tri Amandine'!B:C,MATCH(S85,'Copie de Feuille tri Amandine'!B:B,0),2),"")</f>
        <v/>
      </c>
    </row>
    <row r="86">
      <c r="A86" s="1" t="s">
        <v>310</v>
      </c>
      <c r="B86" s="1" t="s">
        <v>189</v>
      </c>
      <c r="C86" s="1" t="s">
        <v>22</v>
      </c>
      <c r="D86" s="2">
        <v>19040.0</v>
      </c>
      <c r="E86" s="1">
        <v>147.0</v>
      </c>
      <c r="F86" s="1" t="s">
        <v>38</v>
      </c>
      <c r="G86" s="2">
        <v>41721.0</v>
      </c>
      <c r="H86" s="1" t="s">
        <v>24</v>
      </c>
      <c r="I86" s="2">
        <v>41721.0</v>
      </c>
      <c r="J86" s="1" t="s">
        <v>25</v>
      </c>
      <c r="K86" s="1" t="s">
        <v>26</v>
      </c>
      <c r="L86" s="1">
        <v>84.0</v>
      </c>
      <c r="M86" s="1" t="s">
        <v>311</v>
      </c>
      <c r="N86" s="1">
        <v>33.0</v>
      </c>
      <c r="O86" s="1" t="s">
        <v>28</v>
      </c>
      <c r="P86" s="1">
        <v>2.43301439E8</v>
      </c>
      <c r="Q86" s="1" t="s">
        <v>115</v>
      </c>
      <c r="R86" s="1" t="s">
        <v>30</v>
      </c>
      <c r="S86">
        <f t="shared" si="1"/>
        <v>33084</v>
      </c>
      <c r="T86" t="str">
        <f t="array" ref="T86">iferror(index('Copie de Feuille tri Amandine'!B:C,MATCH(S86,'Copie de Feuille tri Amandine'!B:B,0),2),"")</f>
        <v/>
      </c>
    </row>
    <row r="87">
      <c r="A87" s="1" t="s">
        <v>312</v>
      </c>
      <c r="B87" s="1" t="s">
        <v>313</v>
      </c>
      <c r="C87" s="1" t="s">
        <v>22</v>
      </c>
      <c r="D87" s="2">
        <v>19663.0</v>
      </c>
      <c r="E87" s="1">
        <v>118.0</v>
      </c>
      <c r="F87" s="1" t="s">
        <v>101</v>
      </c>
      <c r="G87" s="2">
        <v>42885.0</v>
      </c>
      <c r="H87" s="1" t="s">
        <v>24</v>
      </c>
      <c r="I87" s="2">
        <v>42885.0</v>
      </c>
      <c r="J87" s="1" t="s">
        <v>25</v>
      </c>
      <c r="K87" s="1" t="s">
        <v>26</v>
      </c>
      <c r="L87" s="1">
        <v>99.0</v>
      </c>
      <c r="M87" s="1" t="s">
        <v>314</v>
      </c>
      <c r="N87" s="1">
        <v>33.0</v>
      </c>
      <c r="O87" s="1" t="s">
        <v>28</v>
      </c>
      <c r="P87" s="1">
        <v>2.43301355E8</v>
      </c>
      <c r="Q87" s="1" t="s">
        <v>132</v>
      </c>
      <c r="R87" s="1" t="s">
        <v>30</v>
      </c>
      <c r="S87">
        <f t="shared" si="1"/>
        <v>33099</v>
      </c>
      <c r="T87" t="str">
        <f t="array" ref="T87">iferror(index('Copie de Feuille tri Amandine'!B:C,MATCH(S87,'Copie de Feuille tri Amandine'!B:B,0),2),"")</f>
        <v/>
      </c>
    </row>
    <row r="88">
      <c r="A88" s="1" t="s">
        <v>103</v>
      </c>
      <c r="B88" s="1" t="s">
        <v>175</v>
      </c>
      <c r="C88" s="1" t="s">
        <v>22</v>
      </c>
      <c r="D88" s="2">
        <v>27871.0</v>
      </c>
      <c r="E88" s="1">
        <v>118.0</v>
      </c>
      <c r="F88" s="1" t="s">
        <v>101</v>
      </c>
      <c r="G88" s="2">
        <v>41728.0</v>
      </c>
      <c r="H88" s="1" t="s">
        <v>24</v>
      </c>
      <c r="I88" s="2">
        <v>42374.0</v>
      </c>
      <c r="J88" s="1" t="s">
        <v>25</v>
      </c>
      <c r="K88" s="1" t="s">
        <v>26</v>
      </c>
      <c r="L88" s="1">
        <v>126.0</v>
      </c>
      <c r="M88" s="1" t="s">
        <v>315</v>
      </c>
      <c r="N88" s="1">
        <v>33.0</v>
      </c>
      <c r="O88" s="1" t="s">
        <v>28</v>
      </c>
      <c r="P88" s="1">
        <v>2.43301181E8</v>
      </c>
      <c r="Q88" s="1" t="s">
        <v>316</v>
      </c>
      <c r="R88" s="1" t="s">
        <v>30</v>
      </c>
      <c r="S88">
        <f t="shared" si="1"/>
        <v>33126</v>
      </c>
      <c r="T88" t="str">
        <f t="array" ref="T88">iferror(index('Copie de Feuille tri Amandine'!B:C,MATCH(S88,'Copie de Feuille tri Amandine'!B:B,0),2),"")</f>
        <v/>
      </c>
    </row>
    <row r="89">
      <c r="A89" s="1" t="s">
        <v>317</v>
      </c>
      <c r="B89" s="1" t="s">
        <v>318</v>
      </c>
      <c r="C89" s="1" t="s">
        <v>53</v>
      </c>
      <c r="D89" s="2">
        <v>18409.0</v>
      </c>
      <c r="E89" s="1">
        <v>129.0</v>
      </c>
      <c r="F89" s="1" t="s">
        <v>215</v>
      </c>
      <c r="G89" s="2">
        <v>41721.0</v>
      </c>
      <c r="H89" s="1" t="s">
        <v>24</v>
      </c>
      <c r="I89" s="2">
        <v>41721.0</v>
      </c>
      <c r="J89" s="1" t="s">
        <v>25</v>
      </c>
      <c r="K89" s="1" t="s">
        <v>26</v>
      </c>
      <c r="L89" s="1">
        <v>199.0</v>
      </c>
      <c r="M89" s="1" t="s">
        <v>319</v>
      </c>
      <c r="N89" s="1">
        <v>33.0</v>
      </c>
      <c r="O89" s="1" t="s">
        <v>28</v>
      </c>
      <c r="P89" s="1">
        <v>2.43300563E8</v>
      </c>
      <c r="Q89" s="1" t="s">
        <v>320</v>
      </c>
      <c r="R89" s="1" t="s">
        <v>30</v>
      </c>
      <c r="S89">
        <f t="shared" si="1"/>
        <v>33199</v>
      </c>
      <c r="T89" t="str">
        <f t="array" ref="T89">iferror(index('Copie de Feuille tri Amandine'!B:C,MATCH(S89,'Copie de Feuille tri Amandine'!B:B,0),2),"")</f>
        <v/>
      </c>
    </row>
    <row r="90">
      <c r="A90" s="1" t="s">
        <v>321</v>
      </c>
      <c r="B90" s="1" t="s">
        <v>113</v>
      </c>
      <c r="C90" s="1" t="s">
        <v>22</v>
      </c>
      <c r="D90" s="2">
        <v>20933.0</v>
      </c>
      <c r="E90" s="1">
        <v>101.0</v>
      </c>
      <c r="F90" s="1" t="s">
        <v>33</v>
      </c>
      <c r="G90" s="2">
        <v>41721.0</v>
      </c>
      <c r="H90" s="1" t="s">
        <v>24</v>
      </c>
      <c r="I90" s="2">
        <v>41721.0</v>
      </c>
      <c r="J90" s="1" t="s">
        <v>25</v>
      </c>
      <c r="K90" s="1" t="s">
        <v>26</v>
      </c>
      <c r="L90" s="1">
        <v>151.0</v>
      </c>
      <c r="M90" s="1" t="s">
        <v>322</v>
      </c>
      <c r="N90" s="1">
        <v>33.0</v>
      </c>
      <c r="O90" s="1" t="s">
        <v>28</v>
      </c>
      <c r="P90" s="1">
        <v>2.43301181E8</v>
      </c>
      <c r="Q90" s="1" t="s">
        <v>316</v>
      </c>
      <c r="R90" s="1" t="s">
        <v>30</v>
      </c>
      <c r="S90">
        <f t="shared" si="1"/>
        <v>33151</v>
      </c>
      <c r="T90" t="str">
        <f t="array" ref="T90">iferror(index('Copie de Feuille tri Amandine'!B:C,MATCH(S90,'Copie de Feuille tri Amandine'!B:B,0),2),"")</f>
        <v/>
      </c>
    </row>
    <row r="91">
      <c r="A91" s="1" t="s">
        <v>323</v>
      </c>
      <c r="B91" s="1" t="s">
        <v>286</v>
      </c>
      <c r="C91" s="1" t="s">
        <v>22</v>
      </c>
      <c r="D91" s="2">
        <v>24960.0</v>
      </c>
      <c r="E91" s="1">
        <v>142.0</v>
      </c>
      <c r="F91" s="1" t="s">
        <v>141</v>
      </c>
      <c r="G91" s="2">
        <v>41721.0</v>
      </c>
      <c r="H91" s="1" t="s">
        <v>24</v>
      </c>
      <c r="I91" s="2">
        <v>41721.0</v>
      </c>
      <c r="J91" s="1" t="s">
        <v>25</v>
      </c>
      <c r="K91" s="1" t="s">
        <v>26</v>
      </c>
      <c r="L91" s="1">
        <v>181.0</v>
      </c>
      <c r="M91" s="1" t="s">
        <v>324</v>
      </c>
      <c r="N91" s="1">
        <v>33.0</v>
      </c>
      <c r="O91" s="1" t="s">
        <v>28</v>
      </c>
      <c r="P91" s="1">
        <v>2.00035533E8</v>
      </c>
      <c r="Q91" s="1" t="s">
        <v>146</v>
      </c>
      <c r="R91" s="1" t="s">
        <v>30</v>
      </c>
      <c r="S91">
        <f t="shared" si="1"/>
        <v>33181</v>
      </c>
      <c r="T91" t="str">
        <f t="array" ref="T91">iferror(index('Copie de Feuille tri Amandine'!B:C,MATCH(S91,'Copie de Feuille tri Amandine'!B:B,0),2),"")</f>
        <v/>
      </c>
    </row>
    <row r="92">
      <c r="A92" s="1" t="s">
        <v>325</v>
      </c>
      <c r="B92" s="1" t="s">
        <v>126</v>
      </c>
      <c r="C92" s="1" t="s">
        <v>22</v>
      </c>
      <c r="D92" s="2">
        <v>17948.0</v>
      </c>
      <c r="E92" s="1">
        <v>158.0</v>
      </c>
      <c r="F92" s="1" t="s">
        <v>274</v>
      </c>
      <c r="G92" s="2">
        <v>41721.0</v>
      </c>
      <c r="H92" s="1" t="s">
        <v>24</v>
      </c>
      <c r="I92" s="2">
        <v>41721.0</v>
      </c>
      <c r="J92" s="1" t="s">
        <v>25</v>
      </c>
      <c r="K92" s="1" t="s">
        <v>26</v>
      </c>
      <c r="L92" s="1">
        <v>86.0</v>
      </c>
      <c r="M92" s="1" t="s">
        <v>326</v>
      </c>
      <c r="N92" s="1">
        <v>33.0</v>
      </c>
      <c r="O92" s="1" t="s">
        <v>28</v>
      </c>
      <c r="P92" s="1">
        <v>2.43301215E8</v>
      </c>
      <c r="Q92" s="1" t="s">
        <v>136</v>
      </c>
      <c r="R92" s="1" t="s">
        <v>30</v>
      </c>
      <c r="S92">
        <f t="shared" si="1"/>
        <v>33086</v>
      </c>
      <c r="T92" t="str">
        <f t="array" ref="T92">iferror(index('Copie de Feuille tri Amandine'!B:C,MATCH(S92,'Copie de Feuille tri Amandine'!B:B,0),2),"")</f>
        <v/>
      </c>
    </row>
    <row r="93">
      <c r="A93" s="1" t="s">
        <v>327</v>
      </c>
      <c r="B93" s="1" t="s">
        <v>179</v>
      </c>
      <c r="C93" s="1" t="s">
        <v>22</v>
      </c>
      <c r="D93" s="2">
        <v>20745.0</v>
      </c>
      <c r="E93" s="1">
        <v>165.0</v>
      </c>
      <c r="F93" s="1" t="s">
        <v>208</v>
      </c>
      <c r="G93" s="2">
        <v>41721.0</v>
      </c>
      <c r="H93" s="1" t="s">
        <v>24</v>
      </c>
      <c r="I93" s="2">
        <v>41721.0</v>
      </c>
      <c r="J93" s="1" t="s">
        <v>25</v>
      </c>
      <c r="K93" s="1" t="s">
        <v>26</v>
      </c>
      <c r="L93" s="1">
        <v>89.0</v>
      </c>
      <c r="M93" s="1" t="s">
        <v>328</v>
      </c>
      <c r="N93" s="1">
        <v>33.0</v>
      </c>
      <c r="O93" s="1" t="s">
        <v>28</v>
      </c>
      <c r="P93" s="1">
        <v>2.00023794E8</v>
      </c>
      <c r="Q93" s="1" t="s">
        <v>243</v>
      </c>
      <c r="R93" s="1" t="s">
        <v>30</v>
      </c>
      <c r="S93">
        <f t="shared" si="1"/>
        <v>33089</v>
      </c>
      <c r="T93" t="str">
        <f t="array" ref="T93">iferror(index('Copie de Feuille tri Amandine'!B:C,MATCH(S93,'Copie de Feuille tri Amandine'!B:B,0),2),"")</f>
        <v/>
      </c>
    </row>
    <row r="94">
      <c r="A94" s="1" t="s">
        <v>329</v>
      </c>
      <c r="B94" s="1" t="s">
        <v>57</v>
      </c>
      <c r="C94" s="1" t="s">
        <v>53</v>
      </c>
      <c r="D94" s="2">
        <v>20542.0</v>
      </c>
      <c r="E94" s="1">
        <v>105.0</v>
      </c>
      <c r="F94" s="1" t="s">
        <v>23</v>
      </c>
      <c r="G94" s="2">
        <v>41721.0</v>
      </c>
      <c r="H94" s="1" t="s">
        <v>24</v>
      </c>
      <c r="I94" s="2">
        <v>41721.0</v>
      </c>
      <c r="J94" s="1" t="s">
        <v>25</v>
      </c>
      <c r="K94" s="1" t="s">
        <v>26</v>
      </c>
      <c r="L94" s="1">
        <v>113.0</v>
      </c>
      <c r="M94" s="1" t="s">
        <v>330</v>
      </c>
      <c r="N94" s="1">
        <v>33.0</v>
      </c>
      <c r="O94" s="1" t="s">
        <v>28</v>
      </c>
      <c r="P94" s="1">
        <v>2.00043982E8</v>
      </c>
      <c r="Q94" s="1" t="s">
        <v>124</v>
      </c>
      <c r="R94" s="1" t="s">
        <v>30</v>
      </c>
      <c r="S94">
        <f t="shared" si="1"/>
        <v>33113</v>
      </c>
      <c r="T94" t="str">
        <f t="array" ref="T94">iferror(index('Copie de Feuille tri Amandine'!B:C,MATCH(S94,'Copie de Feuille tri Amandine'!B:B,0),2),"")</f>
        <v/>
      </c>
    </row>
    <row r="95">
      <c r="A95" s="1" t="s">
        <v>331</v>
      </c>
      <c r="B95" s="1" t="s">
        <v>189</v>
      </c>
      <c r="C95" s="1" t="s">
        <v>22</v>
      </c>
      <c r="D95" s="2">
        <v>18636.0</v>
      </c>
      <c r="E95" s="1">
        <v>101.0</v>
      </c>
      <c r="F95" s="1" t="s">
        <v>33</v>
      </c>
      <c r="G95" s="2">
        <v>41721.0</v>
      </c>
      <c r="H95" s="1" t="s">
        <v>24</v>
      </c>
      <c r="I95" s="2">
        <v>41726.0</v>
      </c>
      <c r="J95" s="1" t="s">
        <v>25</v>
      </c>
      <c r="K95" s="1" t="s">
        <v>26</v>
      </c>
      <c r="L95" s="1">
        <v>150.0</v>
      </c>
      <c r="M95" s="1" t="s">
        <v>332</v>
      </c>
      <c r="N95" s="1">
        <v>33.0</v>
      </c>
      <c r="O95" s="1" t="s">
        <v>28</v>
      </c>
      <c r="P95" s="1">
        <v>2.00069599E8</v>
      </c>
      <c r="Q95" s="1" t="s">
        <v>60</v>
      </c>
      <c r="R95" s="1" t="s">
        <v>30</v>
      </c>
      <c r="S95">
        <f t="shared" si="1"/>
        <v>33150</v>
      </c>
      <c r="T95" t="str">
        <f t="array" ref="T95">iferror(index('Copie de Feuille tri Amandine'!B:C,MATCH(S95,'Copie de Feuille tri Amandine'!B:B,0),2),"")</f>
        <v/>
      </c>
    </row>
    <row r="96">
      <c r="A96" s="1" t="s">
        <v>333</v>
      </c>
      <c r="B96" s="1" t="s">
        <v>334</v>
      </c>
      <c r="C96" s="1" t="s">
        <v>53</v>
      </c>
      <c r="D96" s="2">
        <v>11856.0</v>
      </c>
      <c r="E96" s="1">
        <v>163.0</v>
      </c>
      <c r="F96" s="1" t="s">
        <v>58</v>
      </c>
      <c r="G96" s="2">
        <v>41721.0</v>
      </c>
      <c r="H96" s="1" t="s">
        <v>24</v>
      </c>
      <c r="I96" s="2">
        <v>41721.0</v>
      </c>
      <c r="J96" s="1" t="s">
        <v>25</v>
      </c>
      <c r="K96" s="1" t="s">
        <v>26</v>
      </c>
      <c r="L96" s="1">
        <v>275.0</v>
      </c>
      <c r="M96" s="1" t="s">
        <v>335</v>
      </c>
      <c r="N96" s="1">
        <v>33.0</v>
      </c>
      <c r="O96" s="1" t="s">
        <v>28</v>
      </c>
      <c r="P96" s="1">
        <v>2.00069599E8</v>
      </c>
      <c r="Q96" s="1" t="s">
        <v>60</v>
      </c>
      <c r="R96" s="1" t="s">
        <v>30</v>
      </c>
      <c r="S96">
        <f t="shared" si="1"/>
        <v>33275</v>
      </c>
      <c r="T96">
        <f t="array" ref="T96">iferror(index('Copie de Feuille tri Amandine'!B:C,MATCH(S96,'Copie de Feuille tri Amandine'!B:B,0),2),"")</f>
        <v>113</v>
      </c>
    </row>
    <row r="97">
      <c r="A97" s="1" t="s">
        <v>336</v>
      </c>
      <c r="B97" s="1" t="s">
        <v>134</v>
      </c>
      <c r="C97" s="1" t="s">
        <v>22</v>
      </c>
      <c r="D97" s="2">
        <v>16773.0</v>
      </c>
      <c r="E97" s="1">
        <v>160.0</v>
      </c>
      <c r="F97" s="1" t="s">
        <v>253</v>
      </c>
      <c r="G97" s="2">
        <v>41721.0</v>
      </c>
      <c r="H97" s="1" t="s">
        <v>24</v>
      </c>
      <c r="I97" s="2">
        <v>43079.0</v>
      </c>
      <c r="J97" s="1" t="s">
        <v>25</v>
      </c>
      <c r="K97" s="1" t="s">
        <v>26</v>
      </c>
      <c r="L97" s="1">
        <v>307.0</v>
      </c>
      <c r="M97" s="1" t="s">
        <v>337</v>
      </c>
      <c r="N97" s="1">
        <v>33.0</v>
      </c>
      <c r="O97" s="1" t="s">
        <v>28</v>
      </c>
      <c r="P97" s="1">
        <v>2.00043974E8</v>
      </c>
      <c r="Q97" s="1" t="s">
        <v>78</v>
      </c>
      <c r="R97" s="1" t="s">
        <v>30</v>
      </c>
      <c r="S97">
        <f t="shared" si="1"/>
        <v>33307</v>
      </c>
      <c r="T97">
        <f t="array" ref="T97">iferror(index('Copie de Feuille tri Amandine'!B:C,MATCH(S97,'Copie de Feuille tri Amandine'!B:B,0),2),"")</f>
        <v>1679</v>
      </c>
    </row>
    <row r="98">
      <c r="A98" s="1" t="s">
        <v>338</v>
      </c>
      <c r="B98" s="1" t="s">
        <v>339</v>
      </c>
      <c r="C98" s="1" t="s">
        <v>22</v>
      </c>
      <c r="D98" s="2">
        <v>31383.0</v>
      </c>
      <c r="E98" s="1">
        <v>119.0</v>
      </c>
      <c r="F98" s="1" t="s">
        <v>109</v>
      </c>
      <c r="G98" s="2">
        <v>41728.0</v>
      </c>
      <c r="H98" s="1" t="s">
        <v>24</v>
      </c>
      <c r="I98" s="2">
        <v>41733.0</v>
      </c>
      <c r="J98" s="1" t="s">
        <v>25</v>
      </c>
      <c r="K98" s="1" t="s">
        <v>26</v>
      </c>
      <c r="L98" s="1">
        <v>314.0</v>
      </c>
      <c r="M98" s="1" t="s">
        <v>340</v>
      </c>
      <c r="N98" s="1">
        <v>33.0</v>
      </c>
      <c r="O98" s="1" t="s">
        <v>28</v>
      </c>
      <c r="P98" s="1">
        <v>2.00069995E8</v>
      </c>
      <c r="Q98" s="1" t="s">
        <v>65</v>
      </c>
      <c r="R98" s="1" t="s">
        <v>30</v>
      </c>
      <c r="S98">
        <f t="shared" si="1"/>
        <v>33314</v>
      </c>
      <c r="T98">
        <f t="array" ref="T98">iferror(index('Copie de Feuille tri Amandine'!B:C,MATCH(S98,'Copie de Feuille tri Amandine'!B:B,0),2),"")</f>
        <v>4841</v>
      </c>
    </row>
    <row r="99">
      <c r="A99" s="1" t="s">
        <v>341</v>
      </c>
      <c r="B99" s="1" t="s">
        <v>342</v>
      </c>
      <c r="C99" s="1" t="s">
        <v>22</v>
      </c>
      <c r="D99" s="2">
        <v>21044.0</v>
      </c>
      <c r="E99" s="1">
        <v>147.0</v>
      </c>
      <c r="F99" s="1" t="s">
        <v>38</v>
      </c>
      <c r="G99" s="2">
        <v>41721.0</v>
      </c>
      <c r="H99" s="1" t="s">
        <v>24</v>
      </c>
      <c r="I99" s="2">
        <v>41721.0</v>
      </c>
      <c r="J99" s="1" t="s">
        <v>25</v>
      </c>
      <c r="K99" s="1" t="s">
        <v>26</v>
      </c>
      <c r="L99" s="1">
        <v>331.0</v>
      </c>
      <c r="M99" s="1" t="s">
        <v>343</v>
      </c>
      <c r="N99" s="1">
        <v>33.0</v>
      </c>
      <c r="O99" s="1" t="s">
        <v>28</v>
      </c>
      <c r="P99" s="1">
        <v>2.00044394E8</v>
      </c>
      <c r="Q99" s="1" t="s">
        <v>35</v>
      </c>
      <c r="R99" s="1" t="s">
        <v>30</v>
      </c>
      <c r="S99">
        <f t="shared" si="1"/>
        <v>33331</v>
      </c>
      <c r="T99">
        <f t="array" ref="T99">iferror(index('Copie de Feuille tri Amandine'!B:C,MATCH(S99,'Copie de Feuille tri Amandine'!B:B,0),2),"")</f>
        <v>470</v>
      </c>
    </row>
    <row r="100">
      <c r="A100" s="1" t="s">
        <v>344</v>
      </c>
      <c r="B100" s="1" t="s">
        <v>345</v>
      </c>
      <c r="C100" s="1" t="s">
        <v>22</v>
      </c>
      <c r="D100" s="2">
        <v>21305.0</v>
      </c>
      <c r="E100" s="1">
        <v>110.0</v>
      </c>
      <c r="F100" s="1" t="s">
        <v>48</v>
      </c>
      <c r="G100" s="2">
        <v>41728.0</v>
      </c>
      <c r="H100" s="1" t="s">
        <v>24</v>
      </c>
      <c r="I100" s="2">
        <v>41728.0</v>
      </c>
      <c r="J100" s="1" t="s">
        <v>25</v>
      </c>
      <c r="K100" s="1" t="s">
        <v>26</v>
      </c>
      <c r="L100" s="1">
        <v>383.0</v>
      </c>
      <c r="M100" s="1" t="s">
        <v>346</v>
      </c>
      <c r="N100" s="1">
        <v>33.0</v>
      </c>
      <c r="O100" s="1" t="s">
        <v>28</v>
      </c>
      <c r="P100" s="1">
        <v>2.00069995E8</v>
      </c>
      <c r="Q100" s="1" t="s">
        <v>65</v>
      </c>
      <c r="R100" s="1" t="s">
        <v>30</v>
      </c>
      <c r="S100">
        <f t="shared" si="1"/>
        <v>33383</v>
      </c>
      <c r="T100">
        <f t="array" ref="T100">iferror(index('Copie de Feuille tri Amandine'!B:C,MATCH(S100,'Copie de Feuille tri Amandine'!B:B,0),2),"")</f>
        <v>283</v>
      </c>
    </row>
    <row r="101">
      <c r="A101" s="1" t="s">
        <v>347</v>
      </c>
      <c r="B101" s="1" t="s">
        <v>168</v>
      </c>
      <c r="C101" s="1" t="s">
        <v>22</v>
      </c>
      <c r="D101" s="2">
        <v>20604.0</v>
      </c>
      <c r="E101" s="1">
        <v>148.0</v>
      </c>
      <c r="F101" s="1" t="s">
        <v>105</v>
      </c>
      <c r="G101" s="2">
        <v>41721.0</v>
      </c>
      <c r="H101" s="1" t="s">
        <v>24</v>
      </c>
      <c r="I101" s="2">
        <v>41721.0</v>
      </c>
      <c r="J101" s="1" t="s">
        <v>25</v>
      </c>
      <c r="K101" s="1" t="s">
        <v>26</v>
      </c>
      <c r="L101" s="1">
        <v>391.0</v>
      </c>
      <c r="M101" s="1" t="s">
        <v>348</v>
      </c>
      <c r="N101" s="1">
        <v>33.0</v>
      </c>
      <c r="O101" s="1" t="s">
        <v>28</v>
      </c>
      <c r="P101" s="1">
        <v>2.00043982E8</v>
      </c>
      <c r="Q101" s="1" t="s">
        <v>124</v>
      </c>
      <c r="R101" s="1" t="s">
        <v>30</v>
      </c>
      <c r="S101">
        <f t="shared" si="1"/>
        <v>33391</v>
      </c>
      <c r="T101">
        <f t="array" ref="T101">iferror(index('Copie de Feuille tri Amandine'!B:C,MATCH(S101,'Copie de Feuille tri Amandine'!B:B,0),2),"")</f>
        <v>320</v>
      </c>
    </row>
    <row r="102">
      <c r="A102" s="1" t="s">
        <v>349</v>
      </c>
      <c r="B102" s="1" t="s">
        <v>175</v>
      </c>
      <c r="C102" s="1" t="s">
        <v>22</v>
      </c>
      <c r="D102" s="2">
        <v>18664.0</v>
      </c>
      <c r="E102" s="1">
        <v>159.0</v>
      </c>
      <c r="F102" s="1" t="s">
        <v>130</v>
      </c>
      <c r="G102" s="2">
        <v>41721.0</v>
      </c>
      <c r="H102" s="1" t="s">
        <v>24</v>
      </c>
      <c r="I102" s="2">
        <v>41721.0</v>
      </c>
      <c r="J102" s="1" t="s">
        <v>25</v>
      </c>
      <c r="K102" s="1" t="s">
        <v>26</v>
      </c>
      <c r="L102" s="1">
        <v>392.0</v>
      </c>
      <c r="M102" s="1" t="s">
        <v>350</v>
      </c>
      <c r="N102" s="1">
        <v>33.0</v>
      </c>
      <c r="O102" s="1" t="s">
        <v>28</v>
      </c>
      <c r="P102" s="1">
        <v>2.00069581E8</v>
      </c>
      <c r="Q102" s="1" t="s">
        <v>82</v>
      </c>
      <c r="R102" s="1" t="s">
        <v>30</v>
      </c>
      <c r="S102">
        <f t="shared" si="1"/>
        <v>33392</v>
      </c>
      <c r="T102">
        <f t="array" ref="T102">iferror(index('Copie de Feuille tri Amandine'!B:C,MATCH(S102,'Copie de Feuille tri Amandine'!B:B,0),2),"")</f>
        <v>899</v>
      </c>
    </row>
    <row r="103">
      <c r="A103" s="1" t="s">
        <v>351</v>
      </c>
      <c r="B103" s="1" t="s">
        <v>352</v>
      </c>
      <c r="C103" s="1" t="s">
        <v>53</v>
      </c>
      <c r="D103" s="2">
        <v>26944.0</v>
      </c>
      <c r="E103" s="1">
        <v>119.0</v>
      </c>
      <c r="F103" s="1" t="s">
        <v>109</v>
      </c>
      <c r="G103" s="2">
        <v>41728.0</v>
      </c>
      <c r="H103" s="1" t="s">
        <v>24</v>
      </c>
      <c r="I103" s="2">
        <v>42359.0</v>
      </c>
      <c r="J103" s="1" t="s">
        <v>25</v>
      </c>
      <c r="K103" s="1" t="s">
        <v>26</v>
      </c>
      <c r="L103" s="1">
        <v>393.0</v>
      </c>
      <c r="M103" s="1" t="s">
        <v>353</v>
      </c>
      <c r="N103" s="1">
        <v>33.0</v>
      </c>
      <c r="O103" s="1" t="s">
        <v>28</v>
      </c>
      <c r="P103" s="1">
        <v>2.00070092E8</v>
      </c>
      <c r="Q103" s="1" t="s">
        <v>50</v>
      </c>
      <c r="R103" s="1" t="s">
        <v>30</v>
      </c>
      <c r="S103">
        <f t="shared" si="1"/>
        <v>33393</v>
      </c>
      <c r="T103">
        <f t="array" ref="T103">iferror(index('Copie de Feuille tri Amandine'!B:C,MATCH(S103,'Copie de Feuille tri Amandine'!B:B,0),2),"")</f>
        <v>5535</v>
      </c>
    </row>
    <row r="104">
      <c r="A104" s="1" t="s">
        <v>354</v>
      </c>
      <c r="B104" s="1" t="s">
        <v>355</v>
      </c>
      <c r="C104" s="1" t="s">
        <v>53</v>
      </c>
      <c r="D104" s="2">
        <v>17118.0</v>
      </c>
      <c r="E104" s="1">
        <v>158.0</v>
      </c>
      <c r="F104" s="1" t="s">
        <v>274</v>
      </c>
      <c r="G104" s="2">
        <v>41721.0</v>
      </c>
      <c r="H104" s="1" t="s">
        <v>24</v>
      </c>
      <c r="I104" s="2">
        <v>41721.0</v>
      </c>
      <c r="J104" s="1" t="s">
        <v>25</v>
      </c>
      <c r="K104" s="1" t="s">
        <v>26</v>
      </c>
      <c r="L104" s="1">
        <v>440.0</v>
      </c>
      <c r="M104" s="1" t="s">
        <v>356</v>
      </c>
      <c r="N104" s="1">
        <v>33.0</v>
      </c>
      <c r="O104" s="1" t="s">
        <v>28</v>
      </c>
      <c r="P104" s="1">
        <v>2.00043974E8</v>
      </c>
      <c r="Q104" s="1" t="s">
        <v>78</v>
      </c>
      <c r="R104" s="1" t="s">
        <v>30</v>
      </c>
      <c r="S104">
        <f t="shared" si="1"/>
        <v>33440</v>
      </c>
      <c r="T104">
        <f t="array" ref="T104">iferror(index('Copie de Feuille tri Amandine'!B:C,MATCH(S104,'Copie de Feuille tri Amandine'!B:B,0),2),"")</f>
        <v>242</v>
      </c>
    </row>
    <row r="105">
      <c r="A105" s="1" t="s">
        <v>357</v>
      </c>
      <c r="B105" s="1" t="s">
        <v>104</v>
      </c>
      <c r="C105" s="1" t="s">
        <v>22</v>
      </c>
      <c r="D105" s="2">
        <v>17116.0</v>
      </c>
      <c r="E105" s="1">
        <v>159.0</v>
      </c>
      <c r="F105" s="1" t="s">
        <v>130</v>
      </c>
      <c r="G105" s="2">
        <v>41721.0</v>
      </c>
      <c r="H105" s="1" t="s">
        <v>24</v>
      </c>
      <c r="I105" s="2">
        <v>41721.0</v>
      </c>
      <c r="J105" s="1" t="s">
        <v>25</v>
      </c>
      <c r="K105" s="1" t="s">
        <v>26</v>
      </c>
      <c r="L105" s="1">
        <v>476.0</v>
      </c>
      <c r="M105" s="1" t="s">
        <v>358</v>
      </c>
      <c r="N105" s="1">
        <v>33.0</v>
      </c>
      <c r="O105" s="1" t="s">
        <v>28</v>
      </c>
      <c r="P105" s="1">
        <v>2.00069995E8</v>
      </c>
      <c r="Q105" s="1" t="s">
        <v>65</v>
      </c>
      <c r="R105" s="1" t="s">
        <v>30</v>
      </c>
      <c r="S105">
        <f t="shared" si="1"/>
        <v>33476</v>
      </c>
      <c r="T105">
        <f t="array" ref="T105">iferror(index('Copie de Feuille tri Amandine'!B:C,MATCH(S105,'Copie de Feuille tri Amandine'!B:B,0),2),"")</f>
        <v>710</v>
      </c>
    </row>
    <row r="106">
      <c r="A106" s="1" t="s">
        <v>359</v>
      </c>
      <c r="B106" s="1" t="s">
        <v>182</v>
      </c>
      <c r="C106" s="1" t="s">
        <v>22</v>
      </c>
      <c r="D106" s="2">
        <v>17388.0</v>
      </c>
      <c r="E106" s="1">
        <v>162.0</v>
      </c>
      <c r="F106" s="1" t="s">
        <v>76</v>
      </c>
      <c r="G106" s="2">
        <v>41721.0</v>
      </c>
      <c r="H106" s="1" t="s">
        <v>24</v>
      </c>
      <c r="I106" s="2">
        <v>41721.0</v>
      </c>
      <c r="J106" s="1" t="s">
        <v>25</v>
      </c>
      <c r="K106" s="1" t="s">
        <v>26</v>
      </c>
      <c r="L106" s="1">
        <v>492.0</v>
      </c>
      <c r="M106" s="1" t="s">
        <v>360</v>
      </c>
      <c r="N106" s="1">
        <v>33.0</v>
      </c>
      <c r="O106" s="1" t="s">
        <v>28</v>
      </c>
      <c r="P106" s="1">
        <v>2.43301181E8</v>
      </c>
      <c r="Q106" s="1" t="s">
        <v>316</v>
      </c>
      <c r="R106" s="1" t="s">
        <v>30</v>
      </c>
      <c r="S106">
        <f t="shared" si="1"/>
        <v>33492</v>
      </c>
      <c r="T106">
        <f t="array" ref="T106">iferror(index('Copie de Feuille tri Amandine'!B:C,MATCH(S106,'Copie de Feuille tri Amandine'!B:B,0),2),"")</f>
        <v>2380</v>
      </c>
    </row>
    <row r="107">
      <c r="A107" s="1" t="s">
        <v>361</v>
      </c>
      <c r="B107" s="1" t="s">
        <v>362</v>
      </c>
      <c r="C107" s="1" t="s">
        <v>22</v>
      </c>
      <c r="D107" s="2">
        <v>23988.0</v>
      </c>
      <c r="E107" s="1">
        <v>148.0</v>
      </c>
      <c r="F107" s="1" t="s">
        <v>105</v>
      </c>
      <c r="G107" s="2">
        <v>42006.0</v>
      </c>
      <c r="H107" s="1" t="s">
        <v>24</v>
      </c>
      <c r="I107" s="2">
        <v>42157.0</v>
      </c>
      <c r="J107" s="1" t="s">
        <v>25</v>
      </c>
      <c r="K107" s="1" t="s">
        <v>26</v>
      </c>
      <c r="L107" s="1">
        <v>498.0</v>
      </c>
      <c r="M107" s="1" t="s">
        <v>363</v>
      </c>
      <c r="N107" s="1">
        <v>33.0</v>
      </c>
      <c r="O107" s="1" t="s">
        <v>28</v>
      </c>
      <c r="P107" s="1">
        <v>2.43301405E8</v>
      </c>
      <c r="Q107" s="1" t="s">
        <v>300</v>
      </c>
      <c r="R107" s="1" t="s">
        <v>30</v>
      </c>
      <c r="S107">
        <f t="shared" si="1"/>
        <v>33498</v>
      </c>
      <c r="T107">
        <f t="array" ref="T107">iferror(index('Copie de Feuille tri Amandine'!B:C,MATCH(S107,'Copie de Feuille tri Amandine'!B:B,0),2),"")</f>
        <v>7028</v>
      </c>
    </row>
    <row r="108">
      <c r="A108" s="1" t="s">
        <v>364</v>
      </c>
      <c r="B108" s="1" t="s">
        <v>365</v>
      </c>
      <c r="C108" s="1" t="s">
        <v>22</v>
      </c>
      <c r="D108" s="2">
        <v>16958.0</v>
      </c>
      <c r="E108" s="1">
        <v>123.0</v>
      </c>
      <c r="F108" s="1" t="s">
        <v>366</v>
      </c>
      <c r="G108" s="2">
        <v>41721.0</v>
      </c>
      <c r="H108" s="1" t="s">
        <v>24</v>
      </c>
      <c r="I108" s="2">
        <v>41721.0</v>
      </c>
      <c r="J108" s="1" t="s">
        <v>25</v>
      </c>
      <c r="K108" s="1" t="s">
        <v>26</v>
      </c>
      <c r="L108" s="1">
        <v>504.0</v>
      </c>
      <c r="M108" s="1" t="s">
        <v>367</v>
      </c>
      <c r="N108" s="1">
        <v>33.0</v>
      </c>
      <c r="O108" s="1" t="s">
        <v>28</v>
      </c>
      <c r="P108" s="1">
        <v>2.00043974E8</v>
      </c>
      <c r="Q108" s="1" t="s">
        <v>78</v>
      </c>
      <c r="R108" s="1" t="s">
        <v>30</v>
      </c>
      <c r="S108">
        <f t="shared" si="1"/>
        <v>33504</v>
      </c>
      <c r="T108">
        <f t="array" ref="T108">iferror(index('Copie de Feuille tri Amandine'!B:C,MATCH(S108,'Copie de Feuille tri Amandine'!B:B,0),2),"")</f>
        <v>790</v>
      </c>
    </row>
    <row r="109">
      <c r="A109" s="1" t="s">
        <v>368</v>
      </c>
      <c r="B109" s="1" t="s">
        <v>175</v>
      </c>
      <c r="C109" s="1" t="s">
        <v>22</v>
      </c>
      <c r="D109" s="2">
        <v>17601.0</v>
      </c>
      <c r="E109" s="1">
        <v>159.0</v>
      </c>
      <c r="F109" s="1" t="s">
        <v>130</v>
      </c>
      <c r="G109" s="2">
        <v>41721.0</v>
      </c>
      <c r="H109" s="1" t="s">
        <v>24</v>
      </c>
      <c r="I109" s="2">
        <v>41721.0</v>
      </c>
      <c r="J109" s="1" t="s">
        <v>25</v>
      </c>
      <c r="K109" s="1" t="s">
        <v>26</v>
      </c>
      <c r="L109" s="1">
        <v>513.0</v>
      </c>
      <c r="M109" s="1" t="s">
        <v>369</v>
      </c>
      <c r="N109" s="1">
        <v>33.0</v>
      </c>
      <c r="O109" s="1" t="s">
        <v>28</v>
      </c>
      <c r="P109" s="1">
        <v>2.00043982E8</v>
      </c>
      <c r="Q109" s="1" t="s">
        <v>124</v>
      </c>
      <c r="R109" s="1" t="s">
        <v>30</v>
      </c>
      <c r="S109">
        <f t="shared" si="1"/>
        <v>33513</v>
      </c>
      <c r="T109">
        <f t="array" ref="T109">iferror(index('Copie de Feuille tri Amandine'!B:C,MATCH(S109,'Copie de Feuille tri Amandine'!B:B,0),2),"")</f>
        <v>118</v>
      </c>
    </row>
    <row r="110">
      <c r="A110" s="1" t="s">
        <v>370</v>
      </c>
      <c r="B110" s="1" t="s">
        <v>229</v>
      </c>
      <c r="C110" s="1" t="s">
        <v>22</v>
      </c>
      <c r="D110" s="2">
        <v>26088.0</v>
      </c>
      <c r="E110" s="1">
        <v>147.0</v>
      </c>
      <c r="F110" s="1" t="s">
        <v>38</v>
      </c>
      <c r="G110" s="2">
        <v>41721.0</v>
      </c>
      <c r="H110" s="1" t="s">
        <v>24</v>
      </c>
      <c r="I110" s="2">
        <v>41721.0</v>
      </c>
      <c r="J110" s="1" t="s">
        <v>25</v>
      </c>
      <c r="K110" s="1" t="s">
        <v>26</v>
      </c>
      <c r="L110" s="1">
        <v>535.0</v>
      </c>
      <c r="M110" s="1" t="s">
        <v>371</v>
      </c>
      <c r="N110" s="1">
        <v>33.0</v>
      </c>
      <c r="O110" s="1" t="s">
        <v>28</v>
      </c>
      <c r="P110" s="1">
        <v>2.43301355E8</v>
      </c>
      <c r="Q110" s="1" t="s">
        <v>132</v>
      </c>
      <c r="R110" s="1" t="s">
        <v>30</v>
      </c>
      <c r="S110">
        <f t="shared" si="1"/>
        <v>33535</v>
      </c>
      <c r="T110">
        <f t="array" ref="T110">iferror(index('Copie de Feuille tri Amandine'!B:C,MATCH(S110,'Copie de Feuille tri Amandine'!B:B,0),2),"")</f>
        <v>4610</v>
      </c>
    </row>
    <row r="111">
      <c r="A111" s="1" t="s">
        <v>372</v>
      </c>
      <c r="B111" s="1" t="s">
        <v>100</v>
      </c>
      <c r="C111" s="1" t="s">
        <v>22</v>
      </c>
      <c r="D111" s="2">
        <v>18593.0</v>
      </c>
      <c r="E111" s="1">
        <v>163.0</v>
      </c>
      <c r="F111" s="1" t="s">
        <v>58</v>
      </c>
      <c r="G111" s="2">
        <v>41721.0</v>
      </c>
      <c r="H111" s="1" t="s">
        <v>24</v>
      </c>
      <c r="I111" s="2">
        <v>41721.0</v>
      </c>
      <c r="J111" s="1" t="s">
        <v>25</v>
      </c>
      <c r="K111" s="1" t="s">
        <v>26</v>
      </c>
      <c r="L111" s="1">
        <v>539.0</v>
      </c>
      <c r="M111" s="1" t="s">
        <v>373</v>
      </c>
      <c r="N111" s="1">
        <v>33.0</v>
      </c>
      <c r="O111" s="1" t="s">
        <v>28</v>
      </c>
      <c r="P111" s="1">
        <v>2.00070092E8</v>
      </c>
      <c r="Q111" s="1" t="s">
        <v>50</v>
      </c>
      <c r="R111" s="1" t="s">
        <v>30</v>
      </c>
      <c r="S111">
        <f t="shared" si="1"/>
        <v>33539</v>
      </c>
      <c r="T111">
        <f t="array" ref="T111">iferror(index('Copie de Feuille tri Amandine'!B:C,MATCH(S111,'Copie de Feuille tri Amandine'!B:B,0),2),"")</f>
        <v>3956</v>
      </c>
    </row>
    <row r="112">
      <c r="A112" s="1" t="s">
        <v>374</v>
      </c>
      <c r="B112" s="1" t="s">
        <v>342</v>
      </c>
      <c r="C112" s="1" t="s">
        <v>22</v>
      </c>
      <c r="D112" s="2">
        <v>17270.0</v>
      </c>
      <c r="E112" s="1">
        <v>162.0</v>
      </c>
      <c r="F112" s="1" t="s">
        <v>76</v>
      </c>
      <c r="G112" s="2">
        <v>41728.0</v>
      </c>
      <c r="H112" s="1" t="s">
        <v>24</v>
      </c>
      <c r="I112" s="2">
        <v>41728.0</v>
      </c>
      <c r="J112" s="1" t="s">
        <v>25</v>
      </c>
      <c r="K112" s="1" t="s">
        <v>26</v>
      </c>
      <c r="L112" s="1">
        <v>198.0</v>
      </c>
      <c r="M112" s="1" t="s">
        <v>375</v>
      </c>
      <c r="N112" s="1">
        <v>33.0</v>
      </c>
      <c r="O112" s="1" t="s">
        <v>28</v>
      </c>
      <c r="P112" s="1">
        <v>2.00070092E8</v>
      </c>
      <c r="Q112" s="1" t="s">
        <v>50</v>
      </c>
      <c r="R112" s="1" t="s">
        <v>30</v>
      </c>
      <c r="S112">
        <f t="shared" si="1"/>
        <v>33198</v>
      </c>
      <c r="T112" t="str">
        <f t="array" ref="T112">iferror(index('Copie de Feuille tri Amandine'!B:C,MATCH(S112,'Copie de Feuille tri Amandine'!B:B,0),2),"")</f>
        <v/>
      </c>
    </row>
    <row r="113">
      <c r="A113" s="1" t="s">
        <v>376</v>
      </c>
      <c r="B113" s="1" t="s">
        <v>80</v>
      </c>
      <c r="C113" s="1" t="s">
        <v>22</v>
      </c>
      <c r="D113" s="2">
        <v>19797.0</v>
      </c>
      <c r="E113" s="1">
        <v>148.0</v>
      </c>
      <c r="F113" s="1" t="s">
        <v>105</v>
      </c>
      <c r="G113" s="2">
        <v>41721.0</v>
      </c>
      <c r="H113" s="1" t="s">
        <v>24</v>
      </c>
      <c r="I113" s="2">
        <v>41728.0</v>
      </c>
      <c r="J113" s="1" t="s">
        <v>25</v>
      </c>
      <c r="K113" s="1" t="s">
        <v>26</v>
      </c>
      <c r="L113" s="1">
        <v>220.0</v>
      </c>
      <c r="M113" s="1" t="s">
        <v>377</v>
      </c>
      <c r="N113" s="1">
        <v>33.0</v>
      </c>
      <c r="O113" s="1" t="s">
        <v>28</v>
      </c>
      <c r="P113" s="1">
        <v>2.43301447E8</v>
      </c>
      <c r="Q113" s="1" t="s">
        <v>45</v>
      </c>
      <c r="R113" s="1" t="s">
        <v>30</v>
      </c>
      <c r="S113">
        <f t="shared" si="1"/>
        <v>33220</v>
      </c>
      <c r="T113" t="str">
        <f t="array" ref="T113">iferror(index('Copie de Feuille tri Amandine'!B:C,MATCH(S113,'Copie de Feuille tri Amandine'!B:B,0),2),"")</f>
        <v/>
      </c>
    </row>
    <row r="114">
      <c r="A114" s="1" t="s">
        <v>378</v>
      </c>
      <c r="B114" s="1" t="s">
        <v>379</v>
      </c>
      <c r="C114" s="1" t="s">
        <v>53</v>
      </c>
      <c r="D114" s="2">
        <v>20553.0</v>
      </c>
      <c r="E114" s="1">
        <v>128.0</v>
      </c>
      <c r="F114" s="1" t="s">
        <v>380</v>
      </c>
      <c r="G114" s="2">
        <v>41721.0</v>
      </c>
      <c r="H114" s="1" t="s">
        <v>24</v>
      </c>
      <c r="I114" s="2">
        <v>41721.0</v>
      </c>
      <c r="J114" s="1" t="s">
        <v>25</v>
      </c>
      <c r="K114" s="1" t="s">
        <v>26</v>
      </c>
      <c r="L114" s="1">
        <v>230.0</v>
      </c>
      <c r="M114" s="1" t="s">
        <v>381</v>
      </c>
      <c r="N114" s="1">
        <v>33.0</v>
      </c>
      <c r="O114" s="1" t="s">
        <v>28</v>
      </c>
      <c r="P114" s="1">
        <v>2.00070092E8</v>
      </c>
      <c r="Q114" s="1" t="s">
        <v>50</v>
      </c>
      <c r="R114" s="1" t="s">
        <v>30</v>
      </c>
      <c r="S114">
        <f t="shared" si="1"/>
        <v>33230</v>
      </c>
      <c r="T114" t="str">
        <f t="array" ref="T114">iferror(index('Copie de Feuille tri Amandine'!B:C,MATCH(S114,'Copie de Feuille tri Amandine'!B:B,0),2),"")</f>
        <v/>
      </c>
    </row>
    <row r="115">
      <c r="A115" s="1" t="s">
        <v>382</v>
      </c>
      <c r="B115" s="1" t="s">
        <v>286</v>
      </c>
      <c r="C115" s="1" t="s">
        <v>22</v>
      </c>
      <c r="D115" s="2">
        <v>17718.0</v>
      </c>
      <c r="E115" s="1">
        <v>160.0</v>
      </c>
      <c r="F115" s="1" t="s">
        <v>253</v>
      </c>
      <c r="G115" s="2">
        <v>41721.0</v>
      </c>
      <c r="H115" s="1" t="s">
        <v>24</v>
      </c>
      <c r="I115" s="2">
        <v>41721.0</v>
      </c>
      <c r="J115" s="1" t="s">
        <v>25</v>
      </c>
      <c r="K115" s="1" t="s">
        <v>26</v>
      </c>
      <c r="L115" s="1">
        <v>22.0</v>
      </c>
      <c r="M115" s="1" t="s">
        <v>383</v>
      </c>
      <c r="N115" s="1">
        <v>33.0</v>
      </c>
      <c r="O115" s="1" t="s">
        <v>28</v>
      </c>
      <c r="P115" s="1">
        <v>2.43301389E8</v>
      </c>
      <c r="Q115" s="1" t="s">
        <v>220</v>
      </c>
      <c r="R115" s="1" t="s">
        <v>30</v>
      </c>
      <c r="S115">
        <f t="shared" si="1"/>
        <v>33022</v>
      </c>
      <c r="T115" t="str">
        <f t="array" ref="T115">iferror(index('Copie de Feuille tri Amandine'!B:C,MATCH(S115,'Copie de Feuille tri Amandine'!B:B,0),2),"")</f>
        <v/>
      </c>
    </row>
    <row r="116">
      <c r="A116" s="1" t="s">
        <v>384</v>
      </c>
      <c r="B116" s="1" t="s">
        <v>189</v>
      </c>
      <c r="C116" s="1" t="s">
        <v>22</v>
      </c>
      <c r="D116" s="2">
        <v>17522.0</v>
      </c>
      <c r="E116" s="1">
        <v>158.0</v>
      </c>
      <c r="F116" s="1" t="s">
        <v>274</v>
      </c>
      <c r="G116" s="2">
        <v>41721.0</v>
      </c>
      <c r="H116" s="1" t="s">
        <v>24</v>
      </c>
      <c r="I116" s="2">
        <v>41721.0</v>
      </c>
      <c r="J116" s="1" t="s">
        <v>25</v>
      </c>
      <c r="K116" s="1" t="s">
        <v>26</v>
      </c>
      <c r="L116" s="1">
        <v>60.0</v>
      </c>
      <c r="M116" s="1" t="s">
        <v>385</v>
      </c>
      <c r="N116" s="1">
        <v>33.0</v>
      </c>
      <c r="O116" s="1" t="s">
        <v>28</v>
      </c>
      <c r="P116" s="1">
        <v>2.00043974E8</v>
      </c>
      <c r="Q116" s="1" t="s">
        <v>78</v>
      </c>
      <c r="R116" s="1" t="s">
        <v>30</v>
      </c>
      <c r="S116">
        <f t="shared" si="1"/>
        <v>33060</v>
      </c>
      <c r="T116" t="str">
        <f t="array" ref="T116">iferror(index('Copie de Feuille tri Amandine'!B:C,MATCH(S116,'Copie de Feuille tri Amandine'!B:B,0),2),"")</f>
        <v/>
      </c>
    </row>
    <row r="117">
      <c r="A117" s="1" t="s">
        <v>386</v>
      </c>
      <c r="B117" s="1" t="s">
        <v>387</v>
      </c>
      <c r="C117" s="1" t="s">
        <v>53</v>
      </c>
      <c r="D117" s="2">
        <v>19315.0</v>
      </c>
      <c r="E117" s="1">
        <v>158.0</v>
      </c>
      <c r="F117" s="1" t="s">
        <v>274</v>
      </c>
      <c r="G117" s="2">
        <v>41721.0</v>
      </c>
      <c r="H117" s="1" t="s">
        <v>24</v>
      </c>
      <c r="I117" s="2">
        <v>41721.0</v>
      </c>
      <c r="J117" s="1" t="s">
        <v>25</v>
      </c>
      <c r="K117" s="1" t="s">
        <v>26</v>
      </c>
      <c r="L117" s="1">
        <v>105.0</v>
      </c>
      <c r="M117" s="1" t="s">
        <v>388</v>
      </c>
      <c r="N117" s="1">
        <v>33.0</v>
      </c>
      <c r="O117" s="1" t="s">
        <v>28</v>
      </c>
      <c r="P117" s="1">
        <v>2.00069599E8</v>
      </c>
      <c r="Q117" s="1" t="s">
        <v>60</v>
      </c>
      <c r="R117" s="1" t="s">
        <v>30</v>
      </c>
      <c r="S117">
        <f t="shared" si="1"/>
        <v>33105</v>
      </c>
      <c r="T117" t="str">
        <f t="array" ref="T117">iferror(index('Copie de Feuille tri Amandine'!B:C,MATCH(S117,'Copie de Feuille tri Amandine'!B:B,0),2),"")</f>
        <v/>
      </c>
    </row>
    <row r="118">
      <c r="A118" s="1" t="s">
        <v>389</v>
      </c>
      <c r="B118" s="1" t="s">
        <v>229</v>
      </c>
      <c r="C118" s="1" t="s">
        <v>22</v>
      </c>
      <c r="D118" s="2">
        <v>18873.0</v>
      </c>
      <c r="E118" s="1">
        <v>106.0</v>
      </c>
      <c r="F118" s="1" t="s">
        <v>89</v>
      </c>
      <c r="G118" s="2">
        <v>41721.0</v>
      </c>
      <c r="H118" s="1" t="s">
        <v>24</v>
      </c>
      <c r="I118" s="2">
        <v>41721.0</v>
      </c>
      <c r="J118" s="1" t="s">
        <v>25</v>
      </c>
      <c r="K118" s="1" t="s">
        <v>26</v>
      </c>
      <c r="L118" s="1">
        <v>246.0</v>
      </c>
      <c r="M118" s="1" t="s">
        <v>390</v>
      </c>
      <c r="N118" s="1">
        <v>33.0</v>
      </c>
      <c r="O118" s="1" t="s">
        <v>28</v>
      </c>
      <c r="P118" s="1">
        <v>2.43301371E8</v>
      </c>
      <c r="Q118" s="1" t="s">
        <v>271</v>
      </c>
      <c r="R118" s="1" t="s">
        <v>30</v>
      </c>
      <c r="S118">
        <f t="shared" si="1"/>
        <v>33246</v>
      </c>
      <c r="T118" t="str">
        <f t="array" ref="T118">iferror(index('Copie de Feuille tri Amandine'!B:C,MATCH(S118,'Copie de Feuille tri Amandine'!B:B,0),2),"")</f>
        <v/>
      </c>
    </row>
    <row r="119">
      <c r="A119" s="1" t="s">
        <v>391</v>
      </c>
      <c r="B119" s="1" t="s">
        <v>175</v>
      </c>
      <c r="C119" s="1" t="s">
        <v>22</v>
      </c>
      <c r="D119" s="2">
        <v>18691.0</v>
      </c>
      <c r="E119" s="1">
        <v>161.0</v>
      </c>
      <c r="F119" s="1" t="s">
        <v>72</v>
      </c>
      <c r="G119" s="2">
        <v>41721.0</v>
      </c>
      <c r="H119" s="1" t="s">
        <v>24</v>
      </c>
      <c r="I119" s="2">
        <v>41721.0</v>
      </c>
      <c r="J119" s="1" t="s">
        <v>25</v>
      </c>
      <c r="K119" s="1" t="s">
        <v>26</v>
      </c>
      <c r="L119" s="1">
        <v>273.0</v>
      </c>
      <c r="M119" s="1" t="s">
        <v>392</v>
      </c>
      <c r="N119" s="1">
        <v>33.0</v>
      </c>
      <c r="O119" s="1" t="s">
        <v>28</v>
      </c>
      <c r="P119" s="1">
        <v>2.43300316E8</v>
      </c>
      <c r="Q119" s="1" t="s">
        <v>40</v>
      </c>
      <c r="R119" s="1" t="s">
        <v>30</v>
      </c>
      <c r="S119">
        <f t="shared" si="1"/>
        <v>33273</v>
      </c>
      <c r="T119">
        <f t="array" ref="T119">iferror(index('Copie de Feuille tri Amandine'!B:C,MATCH(S119,'Copie de Feuille tri Amandine'!B:B,0),2),"")</f>
        <v>7386</v>
      </c>
    </row>
    <row r="120">
      <c r="A120" s="1" t="s">
        <v>393</v>
      </c>
      <c r="B120" s="1" t="s">
        <v>286</v>
      </c>
      <c r="C120" s="1" t="s">
        <v>22</v>
      </c>
      <c r="D120" s="2">
        <v>19704.0</v>
      </c>
      <c r="E120" s="1">
        <v>120.0</v>
      </c>
      <c r="F120" s="1" t="s">
        <v>241</v>
      </c>
      <c r="G120" s="2">
        <v>41721.0</v>
      </c>
      <c r="H120" s="1" t="s">
        <v>24</v>
      </c>
      <c r="I120" s="2">
        <v>43427.0</v>
      </c>
      <c r="J120" s="1" t="s">
        <v>25</v>
      </c>
      <c r="K120" s="1" t="s">
        <v>26</v>
      </c>
      <c r="L120" s="1">
        <v>289.0</v>
      </c>
      <c r="M120" s="1" t="s">
        <v>394</v>
      </c>
      <c r="N120" s="1">
        <v>33.0</v>
      </c>
      <c r="O120" s="1" t="s">
        <v>28</v>
      </c>
      <c r="P120" s="1">
        <v>2.00044394E8</v>
      </c>
      <c r="Q120" s="1" t="s">
        <v>35</v>
      </c>
      <c r="R120" s="1" t="s">
        <v>30</v>
      </c>
      <c r="S120">
        <f t="shared" si="1"/>
        <v>33289</v>
      </c>
      <c r="T120">
        <f t="array" ref="T120">iferror(index('Copie de Feuille tri Amandine'!B:C,MATCH(S120,'Copie de Feuille tri Amandine'!B:B,0),2),"")</f>
        <v>1584</v>
      </c>
    </row>
    <row r="121">
      <c r="A121" s="1" t="s">
        <v>395</v>
      </c>
      <c r="B121" s="1" t="s">
        <v>47</v>
      </c>
      <c r="C121" s="1" t="s">
        <v>22</v>
      </c>
      <c r="D121" s="2">
        <v>20816.0</v>
      </c>
      <c r="E121" s="1">
        <v>142.0</v>
      </c>
      <c r="F121" s="1" t="s">
        <v>141</v>
      </c>
      <c r="G121" s="2">
        <v>41721.0</v>
      </c>
      <c r="H121" s="1" t="s">
        <v>24</v>
      </c>
      <c r="I121" s="2">
        <v>41721.0</v>
      </c>
      <c r="J121" s="1" t="s">
        <v>25</v>
      </c>
      <c r="K121" s="1" t="s">
        <v>26</v>
      </c>
      <c r="L121" s="1">
        <v>303.0</v>
      </c>
      <c r="M121" s="1" t="s">
        <v>396</v>
      </c>
      <c r="N121" s="1">
        <v>33.0</v>
      </c>
      <c r="O121" s="1" t="s">
        <v>28</v>
      </c>
      <c r="P121" s="1">
        <v>2.00070092E8</v>
      </c>
      <c r="Q121" s="1" t="s">
        <v>50</v>
      </c>
      <c r="R121" s="1" t="s">
        <v>30</v>
      </c>
      <c r="S121">
        <f t="shared" si="1"/>
        <v>33303</v>
      </c>
      <c r="T121">
        <f t="array" ref="T121">iferror(index('Copie de Feuille tri Amandine'!B:C,MATCH(S121,'Copie de Feuille tri Amandine'!B:B,0),2),"")</f>
        <v>839</v>
      </c>
    </row>
    <row r="122">
      <c r="A122" s="1" t="s">
        <v>397</v>
      </c>
      <c r="B122" s="1" t="s">
        <v>398</v>
      </c>
      <c r="C122" s="1" t="s">
        <v>53</v>
      </c>
      <c r="D122" s="2">
        <v>20376.0</v>
      </c>
      <c r="E122" s="1">
        <v>157.0</v>
      </c>
      <c r="F122" s="1" t="s">
        <v>97</v>
      </c>
      <c r="G122" s="2">
        <v>41728.0</v>
      </c>
      <c r="H122" s="1" t="s">
        <v>24</v>
      </c>
      <c r="I122" s="2">
        <v>41728.0</v>
      </c>
      <c r="J122" s="1" t="s">
        <v>25</v>
      </c>
      <c r="K122" s="1" t="s">
        <v>26</v>
      </c>
      <c r="L122" s="1">
        <v>312.0</v>
      </c>
      <c r="M122" s="1" t="s">
        <v>399</v>
      </c>
      <c r="N122" s="1">
        <v>33.0</v>
      </c>
      <c r="O122" s="1" t="s">
        <v>28</v>
      </c>
      <c r="P122" s="1">
        <v>2.43300316E8</v>
      </c>
      <c r="Q122" s="1" t="s">
        <v>40</v>
      </c>
      <c r="R122" s="1" t="s">
        <v>30</v>
      </c>
      <c r="S122">
        <f t="shared" si="1"/>
        <v>33312</v>
      </c>
      <c r="T122">
        <f t="array" ref="T122">iferror(index('Copie de Feuille tri Amandine'!B:C,MATCH(S122,'Copie de Feuille tri Amandine'!B:B,0),2),"")</f>
        <v>8709</v>
      </c>
    </row>
    <row r="123">
      <c r="A123" s="1" t="s">
        <v>400</v>
      </c>
      <c r="B123" s="1" t="s">
        <v>42</v>
      </c>
      <c r="C123" s="1" t="s">
        <v>22</v>
      </c>
      <c r="D123" s="2">
        <v>25177.0</v>
      </c>
      <c r="E123" s="1">
        <v>156.0</v>
      </c>
      <c r="F123" s="1" t="s">
        <v>293</v>
      </c>
      <c r="G123" s="2">
        <v>41721.0</v>
      </c>
      <c r="H123" s="1" t="s">
        <v>24</v>
      </c>
      <c r="I123" s="2">
        <v>41721.0</v>
      </c>
      <c r="J123" s="1" t="s">
        <v>25</v>
      </c>
      <c r="K123" s="1" t="s">
        <v>26</v>
      </c>
      <c r="L123" s="1">
        <v>324.0</v>
      </c>
      <c r="M123" s="1" t="s">
        <v>401</v>
      </c>
      <c r="N123" s="1">
        <v>33.0</v>
      </c>
      <c r="O123" s="1" t="s">
        <v>28</v>
      </c>
      <c r="P123" s="1">
        <v>2.43301371E8</v>
      </c>
      <c r="Q123" s="1" t="s">
        <v>271</v>
      </c>
      <c r="R123" s="1" t="s">
        <v>30</v>
      </c>
      <c r="S123">
        <f t="shared" si="1"/>
        <v>33324</v>
      </c>
      <c r="T123">
        <f t="array" ref="T123">iferror(index('Copie de Feuille tri Amandine'!B:C,MATCH(S123,'Copie de Feuille tri Amandine'!B:B,0),2),"")</f>
        <v>4394</v>
      </c>
    </row>
    <row r="124">
      <c r="A124" s="1" t="s">
        <v>402</v>
      </c>
      <c r="B124" s="1" t="s">
        <v>80</v>
      </c>
      <c r="C124" s="1" t="s">
        <v>22</v>
      </c>
      <c r="D124" s="2">
        <v>18635.0</v>
      </c>
      <c r="E124" s="1">
        <v>161.0</v>
      </c>
      <c r="F124" s="1" t="s">
        <v>72</v>
      </c>
      <c r="G124" s="2">
        <v>41721.0</v>
      </c>
      <c r="H124" s="1" t="s">
        <v>24</v>
      </c>
      <c r="I124" s="2">
        <v>41721.0</v>
      </c>
      <c r="J124" s="1" t="s">
        <v>25</v>
      </c>
      <c r="K124" s="1" t="s">
        <v>26</v>
      </c>
      <c r="L124" s="1">
        <v>343.0</v>
      </c>
      <c r="M124" s="1" t="s">
        <v>403</v>
      </c>
      <c r="N124" s="1">
        <v>33.0</v>
      </c>
      <c r="O124" s="1" t="s">
        <v>28</v>
      </c>
      <c r="P124" s="1">
        <v>2.00069581E8</v>
      </c>
      <c r="Q124" s="1" t="s">
        <v>82</v>
      </c>
      <c r="R124" s="1" t="s">
        <v>30</v>
      </c>
      <c r="S124">
        <f t="shared" si="1"/>
        <v>33343</v>
      </c>
      <c r="T124">
        <f t="array" ref="T124">iferror(index('Copie de Feuille tri Amandine'!B:C,MATCH(S124,'Copie de Feuille tri Amandine'!B:B,0),2),"")</f>
        <v>780</v>
      </c>
    </row>
    <row r="125">
      <c r="A125" s="1" t="s">
        <v>139</v>
      </c>
      <c r="B125" s="1" t="s">
        <v>404</v>
      </c>
      <c r="C125" s="1" t="s">
        <v>22</v>
      </c>
      <c r="D125" s="2">
        <v>22093.0</v>
      </c>
      <c r="E125" s="1">
        <v>136.0</v>
      </c>
      <c r="F125" s="1" t="s">
        <v>405</v>
      </c>
      <c r="G125" s="2">
        <v>41721.0</v>
      </c>
      <c r="H125" s="1" t="s">
        <v>24</v>
      </c>
      <c r="I125" s="2">
        <v>41721.0</v>
      </c>
      <c r="J125" s="1" t="s">
        <v>25</v>
      </c>
      <c r="K125" s="1" t="s">
        <v>26</v>
      </c>
      <c r="L125" s="1">
        <v>452.0</v>
      </c>
      <c r="M125" s="1" t="s">
        <v>406</v>
      </c>
      <c r="N125" s="1">
        <v>33.0</v>
      </c>
      <c r="O125" s="1" t="s">
        <v>28</v>
      </c>
      <c r="P125" s="1">
        <v>2.00069581E8</v>
      </c>
      <c r="Q125" s="1" t="s">
        <v>82</v>
      </c>
      <c r="R125" s="1" t="s">
        <v>30</v>
      </c>
      <c r="S125">
        <f t="shared" si="1"/>
        <v>33452</v>
      </c>
      <c r="T125">
        <f t="array" ref="T125">iferror(index('Copie de Feuille tri Amandine'!B:C,MATCH(S125,'Copie de Feuille tri Amandine'!B:B,0),2),"")</f>
        <v>781</v>
      </c>
    </row>
    <row r="126">
      <c r="A126" s="1" t="s">
        <v>139</v>
      </c>
      <c r="B126" s="1" t="s">
        <v>182</v>
      </c>
      <c r="C126" s="1" t="s">
        <v>22</v>
      </c>
      <c r="D126" s="2">
        <v>21102.0</v>
      </c>
      <c r="E126" s="1">
        <v>101.0</v>
      </c>
      <c r="F126" s="1" t="s">
        <v>33</v>
      </c>
      <c r="G126" s="2">
        <v>41721.0</v>
      </c>
      <c r="H126" s="1" t="s">
        <v>24</v>
      </c>
      <c r="I126" s="2">
        <v>41721.0</v>
      </c>
      <c r="J126" s="1" t="s">
        <v>25</v>
      </c>
      <c r="K126" s="1" t="s">
        <v>26</v>
      </c>
      <c r="L126" s="1">
        <v>488.0</v>
      </c>
      <c r="M126" s="1" t="s">
        <v>407</v>
      </c>
      <c r="N126" s="1">
        <v>33.0</v>
      </c>
      <c r="O126" s="1" t="s">
        <v>28</v>
      </c>
      <c r="P126" s="1">
        <v>2.43301454E8</v>
      </c>
      <c r="Q126" s="1" t="s">
        <v>94</v>
      </c>
      <c r="R126" s="1" t="s">
        <v>30</v>
      </c>
      <c r="S126">
        <f t="shared" si="1"/>
        <v>33488</v>
      </c>
      <c r="T126">
        <f t="array" ref="T126">iferror(index('Copie de Feuille tri Amandine'!B:C,MATCH(S126,'Copie de Feuille tri Amandine'!B:B,0),2),"")</f>
        <v>385</v>
      </c>
    </row>
    <row r="127">
      <c r="A127" s="1" t="s">
        <v>408</v>
      </c>
      <c r="B127" s="1" t="s">
        <v>134</v>
      </c>
      <c r="C127" s="1" t="s">
        <v>22</v>
      </c>
      <c r="D127" s="2">
        <v>15402.0</v>
      </c>
      <c r="E127" s="1">
        <v>163.0</v>
      </c>
      <c r="F127" s="1" t="s">
        <v>58</v>
      </c>
      <c r="G127" s="2">
        <v>41721.0</v>
      </c>
      <c r="H127" s="1" t="s">
        <v>24</v>
      </c>
      <c r="I127" s="2">
        <v>41721.0</v>
      </c>
      <c r="J127" s="1" t="s">
        <v>25</v>
      </c>
      <c r="K127" s="1" t="s">
        <v>26</v>
      </c>
      <c r="L127" s="1">
        <v>489.0</v>
      </c>
      <c r="M127" s="1" t="s">
        <v>409</v>
      </c>
      <c r="N127" s="1">
        <v>33.0</v>
      </c>
      <c r="O127" s="1" t="s">
        <v>28</v>
      </c>
      <c r="P127" s="1">
        <v>2.00023794E8</v>
      </c>
      <c r="Q127" s="1" t="s">
        <v>243</v>
      </c>
      <c r="R127" s="1" t="s">
        <v>30</v>
      </c>
      <c r="S127">
        <f t="shared" si="1"/>
        <v>33489</v>
      </c>
      <c r="T127">
        <f t="array" ref="T127">iferror(index('Copie de Feuille tri Amandine'!B:C,MATCH(S127,'Copie de Feuille tri Amandine'!B:B,0),2),"")</f>
        <v>356</v>
      </c>
    </row>
    <row r="128">
      <c r="A128" s="1" t="s">
        <v>410</v>
      </c>
      <c r="B128" s="1" t="s">
        <v>411</v>
      </c>
      <c r="C128" s="1" t="s">
        <v>22</v>
      </c>
      <c r="D128" s="2">
        <v>25086.0</v>
      </c>
      <c r="E128" s="1">
        <v>101.0</v>
      </c>
      <c r="F128" s="1" t="s">
        <v>33</v>
      </c>
      <c r="G128" s="2">
        <v>41721.0</v>
      </c>
      <c r="H128" s="1" t="s">
        <v>24</v>
      </c>
      <c r="I128" s="2">
        <v>41721.0</v>
      </c>
      <c r="J128" s="1" t="s">
        <v>25</v>
      </c>
      <c r="K128" s="1" t="s">
        <v>26</v>
      </c>
      <c r="L128" s="1">
        <v>506.0</v>
      </c>
      <c r="M128" s="1" t="s">
        <v>412</v>
      </c>
      <c r="N128" s="1">
        <v>33.0</v>
      </c>
      <c r="O128" s="1" t="s">
        <v>28</v>
      </c>
      <c r="P128" s="1">
        <v>2.00069599E8</v>
      </c>
      <c r="Q128" s="1" t="s">
        <v>60</v>
      </c>
      <c r="R128" s="1" t="s">
        <v>30</v>
      </c>
      <c r="S128">
        <f t="shared" si="1"/>
        <v>33506</v>
      </c>
      <c r="T128">
        <f t="array" ref="T128">iferror(index('Copie de Feuille tri Amandine'!B:C,MATCH(S128,'Copie de Feuille tri Amandine'!B:B,0),2),"")</f>
        <v>1788</v>
      </c>
    </row>
    <row r="129">
      <c r="A129" s="1" t="s">
        <v>413</v>
      </c>
      <c r="B129" s="1" t="s">
        <v>286</v>
      </c>
      <c r="C129" s="1" t="s">
        <v>22</v>
      </c>
      <c r="D129" s="2">
        <v>19660.0</v>
      </c>
      <c r="E129" s="1">
        <v>148.0</v>
      </c>
      <c r="F129" s="1" t="s">
        <v>105</v>
      </c>
      <c r="G129" s="2">
        <v>41721.0</v>
      </c>
      <c r="H129" s="1" t="s">
        <v>24</v>
      </c>
      <c r="I129" s="2">
        <v>41721.0</v>
      </c>
      <c r="J129" s="1" t="s">
        <v>25</v>
      </c>
      <c r="K129" s="1" t="s">
        <v>26</v>
      </c>
      <c r="L129" s="1">
        <v>550.0</v>
      </c>
      <c r="M129" s="1" t="s">
        <v>414</v>
      </c>
      <c r="N129" s="1">
        <v>33.0</v>
      </c>
      <c r="O129" s="1" t="s">
        <v>28</v>
      </c>
      <c r="P129" s="1">
        <v>2.43300316E8</v>
      </c>
      <c r="Q129" s="1" t="s">
        <v>40</v>
      </c>
      <c r="R129" s="1" t="s">
        <v>30</v>
      </c>
      <c r="S129">
        <f t="shared" si="1"/>
        <v>33550</v>
      </c>
      <c r="T129">
        <f t="array" ref="T129">iferror(index('Copie de Feuille tri Amandine'!B:C,MATCH(S129,'Copie de Feuille tri Amandine'!B:B,0),2),"")</f>
        <v>34090</v>
      </c>
    </row>
    <row r="130">
      <c r="A130" s="1" t="s">
        <v>415</v>
      </c>
      <c r="B130" s="1" t="s">
        <v>189</v>
      </c>
      <c r="C130" s="1" t="s">
        <v>22</v>
      </c>
      <c r="D130" s="2">
        <v>18808.0</v>
      </c>
      <c r="E130" s="1">
        <v>165.0</v>
      </c>
      <c r="F130" s="1" t="s">
        <v>208</v>
      </c>
      <c r="G130" s="2">
        <v>41721.0</v>
      </c>
      <c r="H130" s="1" t="s">
        <v>24</v>
      </c>
      <c r="I130" s="2">
        <v>41721.0</v>
      </c>
      <c r="J130" s="1" t="s">
        <v>25</v>
      </c>
      <c r="K130" s="1" t="s">
        <v>26</v>
      </c>
      <c r="L130" s="1">
        <v>263.0</v>
      </c>
      <c r="M130" s="1" t="s">
        <v>416</v>
      </c>
      <c r="N130" s="1">
        <v>33.0</v>
      </c>
      <c r="O130" s="1" t="s">
        <v>28</v>
      </c>
      <c r="P130" s="1">
        <v>2.43301215E8</v>
      </c>
      <c r="Q130" s="1" t="s">
        <v>136</v>
      </c>
      <c r="R130" s="1" t="s">
        <v>30</v>
      </c>
      <c r="S130">
        <f t="shared" si="1"/>
        <v>33263</v>
      </c>
      <c r="T130">
        <f t="array" ref="T130">iferror(index('Copie de Feuille tri Amandine'!B:C,MATCH(S130,'Copie de Feuille tri Amandine'!B:B,0),2),"")</f>
        <v>245</v>
      </c>
    </row>
    <row r="131">
      <c r="A131" s="1" t="s">
        <v>417</v>
      </c>
      <c r="B131" s="1" t="s">
        <v>418</v>
      </c>
      <c r="C131" s="1" t="s">
        <v>22</v>
      </c>
      <c r="D131" s="2">
        <v>21885.0</v>
      </c>
      <c r="E131" s="1">
        <v>101.0</v>
      </c>
      <c r="F131" s="1" t="s">
        <v>33</v>
      </c>
      <c r="G131" s="2">
        <v>41721.0</v>
      </c>
      <c r="H131" s="1" t="s">
        <v>24</v>
      </c>
      <c r="I131" s="2">
        <v>41721.0</v>
      </c>
      <c r="J131" s="1" t="s">
        <v>25</v>
      </c>
      <c r="K131" s="1" t="s">
        <v>26</v>
      </c>
      <c r="L131" s="1">
        <v>299.0</v>
      </c>
      <c r="M131" s="1" t="s">
        <v>419</v>
      </c>
      <c r="N131" s="1">
        <v>33.0</v>
      </c>
      <c r="O131" s="1" t="s">
        <v>28</v>
      </c>
      <c r="P131" s="1">
        <v>2.00069599E8</v>
      </c>
      <c r="Q131" s="1" t="s">
        <v>60</v>
      </c>
      <c r="R131" s="1" t="s">
        <v>30</v>
      </c>
      <c r="S131">
        <f t="shared" si="1"/>
        <v>33299</v>
      </c>
      <c r="T131">
        <f t="array" ref="T131">iferror(index('Copie de Feuille tri Amandine'!B:C,MATCH(S131,'Copie de Feuille tri Amandine'!B:B,0),2),"")</f>
        <v>385</v>
      </c>
    </row>
    <row r="132">
      <c r="A132" s="1" t="s">
        <v>420</v>
      </c>
      <c r="B132" s="1" t="s">
        <v>421</v>
      </c>
      <c r="C132" s="1" t="s">
        <v>22</v>
      </c>
      <c r="D132" s="2">
        <v>17578.0</v>
      </c>
      <c r="E132" s="1">
        <v>159.0</v>
      </c>
      <c r="F132" s="1" t="s">
        <v>130</v>
      </c>
      <c r="G132" s="2">
        <v>41721.0</v>
      </c>
      <c r="H132" s="1" t="s">
        <v>24</v>
      </c>
      <c r="I132" s="2">
        <v>41721.0</v>
      </c>
      <c r="J132" s="1" t="s">
        <v>25</v>
      </c>
      <c r="K132" s="1" t="s">
        <v>26</v>
      </c>
      <c r="L132" s="1">
        <v>337.0</v>
      </c>
      <c r="M132" s="1" t="s">
        <v>422</v>
      </c>
      <c r="N132" s="1">
        <v>33.0</v>
      </c>
      <c r="O132" s="1" t="s">
        <v>28</v>
      </c>
      <c r="P132" s="1">
        <v>2.00069581E8</v>
      </c>
      <c r="Q132" s="1" t="s">
        <v>82</v>
      </c>
      <c r="R132" s="1" t="s">
        <v>30</v>
      </c>
      <c r="S132">
        <f t="shared" si="1"/>
        <v>33337</v>
      </c>
      <c r="T132">
        <f t="array" ref="T132">iferror(index('Copie de Feuille tri Amandine'!B:C,MATCH(S132,'Copie de Feuille tri Amandine'!B:B,0),2),"")</f>
        <v>2140</v>
      </c>
    </row>
    <row r="133">
      <c r="A133" s="1" t="s">
        <v>423</v>
      </c>
      <c r="B133" s="1" t="s">
        <v>424</v>
      </c>
      <c r="C133" s="1" t="s">
        <v>53</v>
      </c>
      <c r="D133" s="2">
        <v>18718.0</v>
      </c>
      <c r="E133" s="1">
        <v>160.0</v>
      </c>
      <c r="F133" s="1" t="s">
        <v>253</v>
      </c>
      <c r="G133" s="2">
        <v>41721.0</v>
      </c>
      <c r="H133" s="1" t="s">
        <v>24</v>
      </c>
      <c r="I133" s="2">
        <v>41721.0</v>
      </c>
      <c r="J133" s="1" t="s">
        <v>25</v>
      </c>
      <c r="K133" s="1" t="s">
        <v>26</v>
      </c>
      <c r="L133" s="1">
        <v>373.0</v>
      </c>
      <c r="M133" s="1" t="s">
        <v>425</v>
      </c>
      <c r="N133" s="1">
        <v>33.0</v>
      </c>
      <c r="O133" s="1" t="s">
        <v>28</v>
      </c>
      <c r="P133" s="1">
        <v>2.00070092E8</v>
      </c>
      <c r="Q133" s="1" t="s">
        <v>50</v>
      </c>
      <c r="R133" s="1" t="s">
        <v>30</v>
      </c>
      <c r="S133">
        <f t="shared" si="1"/>
        <v>33373</v>
      </c>
      <c r="T133">
        <f t="array" ref="T133">iferror(index('Copie de Feuille tri Amandine'!B:C,MATCH(S133,'Copie de Feuille tri Amandine'!B:B,0),2),"")</f>
        <v>585</v>
      </c>
    </row>
    <row r="134">
      <c r="A134" s="1" t="s">
        <v>426</v>
      </c>
      <c r="B134" s="1" t="s">
        <v>427</v>
      </c>
      <c r="C134" s="1" t="s">
        <v>53</v>
      </c>
      <c r="D134" s="2">
        <v>24914.0</v>
      </c>
      <c r="E134" s="1">
        <v>156.0</v>
      </c>
      <c r="F134" s="1" t="s">
        <v>293</v>
      </c>
      <c r="G134" s="2">
        <v>41728.0</v>
      </c>
      <c r="H134" s="1" t="s">
        <v>24</v>
      </c>
      <c r="I134" s="2">
        <v>41763.0</v>
      </c>
      <c r="J134" s="1" t="s">
        <v>25</v>
      </c>
      <c r="K134" s="1" t="s">
        <v>26</v>
      </c>
      <c r="L134" s="1">
        <v>382.0</v>
      </c>
      <c r="M134" s="1" t="s">
        <v>428</v>
      </c>
      <c r="N134" s="1">
        <v>33.0</v>
      </c>
      <c r="O134" s="1" t="s">
        <v>28</v>
      </c>
      <c r="P134" s="1">
        <v>2.00023794E8</v>
      </c>
      <c r="Q134" s="1" t="s">
        <v>243</v>
      </c>
      <c r="R134" s="1" t="s">
        <v>30</v>
      </c>
      <c r="S134">
        <f t="shared" si="1"/>
        <v>33382</v>
      </c>
      <c r="T134">
        <f t="array" ref="T134">iferror(index('Copie de Feuille tri Amandine'!B:C,MATCH(S134,'Copie de Feuille tri Amandine'!B:B,0),2),"")</f>
        <v>1973</v>
      </c>
    </row>
    <row r="135">
      <c r="A135" s="1" t="s">
        <v>429</v>
      </c>
      <c r="B135" s="1" t="s">
        <v>430</v>
      </c>
      <c r="C135" s="1" t="s">
        <v>22</v>
      </c>
      <c r="D135" s="2">
        <v>21037.0</v>
      </c>
      <c r="E135" s="1">
        <v>163.0</v>
      </c>
      <c r="F135" s="1" t="s">
        <v>58</v>
      </c>
      <c r="G135" s="2">
        <v>41896.0</v>
      </c>
      <c r="H135" s="1" t="s">
        <v>24</v>
      </c>
      <c r="I135" s="2">
        <v>41901.0</v>
      </c>
      <c r="J135" s="1" t="s">
        <v>25</v>
      </c>
      <c r="K135" s="1" t="s">
        <v>26</v>
      </c>
      <c r="L135" s="1">
        <v>466.0</v>
      </c>
      <c r="M135" s="1" t="s">
        <v>431</v>
      </c>
      <c r="N135" s="1">
        <v>33.0</v>
      </c>
      <c r="O135" s="1" t="s">
        <v>28</v>
      </c>
      <c r="P135" s="1">
        <v>2.00070092E8</v>
      </c>
      <c r="Q135" s="1" t="s">
        <v>50</v>
      </c>
      <c r="R135" s="1" t="s">
        <v>30</v>
      </c>
      <c r="S135">
        <f t="shared" si="1"/>
        <v>33466</v>
      </c>
      <c r="T135">
        <f t="array" ref="T135">iferror(index('Copie de Feuille tri Amandine'!B:C,MATCH(S135,'Copie de Feuille tri Amandine'!B:B,0),2),"")</f>
        <v>2442</v>
      </c>
    </row>
    <row r="136">
      <c r="A136" s="1" t="s">
        <v>432</v>
      </c>
      <c r="B136" s="1" t="s">
        <v>134</v>
      </c>
      <c r="C136" s="1" t="s">
        <v>22</v>
      </c>
      <c r="D136" s="2">
        <v>18045.0</v>
      </c>
      <c r="E136" s="1">
        <v>161.0</v>
      </c>
      <c r="F136" s="1" t="s">
        <v>72</v>
      </c>
      <c r="G136" s="2">
        <v>41721.0</v>
      </c>
      <c r="H136" s="1" t="s">
        <v>24</v>
      </c>
      <c r="I136" s="2">
        <v>41728.0</v>
      </c>
      <c r="J136" s="1" t="s">
        <v>25</v>
      </c>
      <c r="K136" s="1" t="s">
        <v>26</v>
      </c>
      <c r="L136" s="1">
        <v>467.0</v>
      </c>
      <c r="M136" s="1" t="s">
        <v>433</v>
      </c>
      <c r="N136" s="1">
        <v>33.0</v>
      </c>
      <c r="O136" s="1" t="s">
        <v>28</v>
      </c>
      <c r="P136" s="1">
        <v>2.43301371E8</v>
      </c>
      <c r="Q136" s="1" t="s">
        <v>271</v>
      </c>
      <c r="R136" s="1" t="s">
        <v>30</v>
      </c>
      <c r="S136">
        <f t="shared" si="1"/>
        <v>33467</v>
      </c>
      <c r="T136">
        <f t="array" ref="T136">iferror(index('Copie de Feuille tri Amandine'!B:C,MATCH(S136,'Copie de Feuille tri Amandine'!B:B,0),2),"")</f>
        <v>243</v>
      </c>
    </row>
    <row r="137">
      <c r="A137" s="1" t="s">
        <v>434</v>
      </c>
      <c r="B137" s="1" t="s">
        <v>165</v>
      </c>
      <c r="C137" s="1" t="s">
        <v>22</v>
      </c>
      <c r="D137" s="2">
        <v>19770.0</v>
      </c>
      <c r="E137" s="1">
        <v>147.0</v>
      </c>
      <c r="F137" s="1" t="s">
        <v>38</v>
      </c>
      <c r="G137" s="2">
        <v>41721.0</v>
      </c>
      <c r="H137" s="1" t="s">
        <v>24</v>
      </c>
      <c r="I137" s="2">
        <v>41721.0</v>
      </c>
      <c r="J137" s="1" t="s">
        <v>25</v>
      </c>
      <c r="K137" s="1" t="s">
        <v>26</v>
      </c>
      <c r="L137" s="1">
        <v>473.0</v>
      </c>
      <c r="M137" s="1" t="s">
        <v>435</v>
      </c>
      <c r="N137" s="1">
        <v>33.0</v>
      </c>
      <c r="O137" s="1" t="s">
        <v>28</v>
      </c>
      <c r="P137" s="1">
        <v>2.43301181E8</v>
      </c>
      <c r="Q137" s="1" t="s">
        <v>316</v>
      </c>
      <c r="R137" s="1" t="s">
        <v>30</v>
      </c>
      <c r="S137">
        <f t="shared" si="1"/>
        <v>33473</v>
      </c>
      <c r="T137">
        <f t="array" ref="T137">iferror(index('Copie de Feuille tri Amandine'!B:C,MATCH(S137,'Copie de Feuille tri Amandine'!B:B,0),2),"")</f>
        <v>3208</v>
      </c>
    </row>
    <row r="138">
      <c r="A138" s="1" t="s">
        <v>436</v>
      </c>
      <c r="B138" s="1" t="s">
        <v>437</v>
      </c>
      <c r="C138" s="1" t="s">
        <v>22</v>
      </c>
      <c r="D138" s="2">
        <v>19569.0</v>
      </c>
      <c r="E138" s="1">
        <v>128.0</v>
      </c>
      <c r="F138" s="1" t="s">
        <v>380</v>
      </c>
      <c r="G138" s="2">
        <v>41728.0</v>
      </c>
      <c r="H138" s="1" t="s">
        <v>24</v>
      </c>
      <c r="I138" s="2">
        <v>41794.0</v>
      </c>
      <c r="J138" s="1" t="s">
        <v>25</v>
      </c>
      <c r="K138" s="1" t="s">
        <v>26</v>
      </c>
      <c r="L138" s="1">
        <v>529.0</v>
      </c>
      <c r="M138" s="1" t="s">
        <v>438</v>
      </c>
      <c r="N138" s="1">
        <v>33.0</v>
      </c>
      <c r="O138" s="1" t="s">
        <v>28</v>
      </c>
      <c r="P138" s="1">
        <v>2.43300563E8</v>
      </c>
      <c r="Q138" s="1" t="s">
        <v>320</v>
      </c>
      <c r="R138" s="1" t="s">
        <v>30</v>
      </c>
      <c r="S138">
        <f t="shared" si="1"/>
        <v>33529</v>
      </c>
      <c r="T138" t="str">
        <f t="array" ref="T138">iferror(index('Copie de Feuille tri Amandine'!B:C,MATCH(S138,'Copie de Feuille tri Amandine'!B:B,0),2),"")</f>
        <v/>
      </c>
    </row>
    <row r="139">
      <c r="A139" s="1" t="s">
        <v>439</v>
      </c>
      <c r="B139" s="1" t="s">
        <v>440</v>
      </c>
      <c r="C139" s="1" t="s">
        <v>22</v>
      </c>
      <c r="D139" s="2">
        <v>23600.0</v>
      </c>
      <c r="E139" s="1">
        <v>120.0</v>
      </c>
      <c r="F139" s="1" t="s">
        <v>241</v>
      </c>
      <c r="G139" s="2">
        <v>41721.0</v>
      </c>
      <c r="H139" s="1" t="s">
        <v>24</v>
      </c>
      <c r="I139" s="2">
        <v>41721.0</v>
      </c>
      <c r="J139" s="1" t="s">
        <v>25</v>
      </c>
      <c r="K139" s="1" t="s">
        <v>26</v>
      </c>
      <c r="L139" s="1">
        <v>530.0</v>
      </c>
      <c r="M139" s="1" t="s">
        <v>441</v>
      </c>
      <c r="N139" s="1">
        <v>33.0</v>
      </c>
      <c r="O139" s="1" t="s">
        <v>28</v>
      </c>
      <c r="P139" s="1">
        <v>2.43301223E8</v>
      </c>
      <c r="Q139" s="1" t="s">
        <v>163</v>
      </c>
      <c r="R139" s="1" t="s">
        <v>30</v>
      </c>
      <c r="S139">
        <f t="shared" si="1"/>
        <v>33530</v>
      </c>
      <c r="T139">
        <f t="array" ref="T139">iferror(index('Copie de Feuille tri Amandine'!B:C,MATCH(S139,'Copie de Feuille tri Amandine'!B:B,0),2),"")</f>
        <v>880</v>
      </c>
    </row>
    <row r="140">
      <c r="A140" s="1" t="s">
        <v>442</v>
      </c>
      <c r="B140" s="1" t="s">
        <v>443</v>
      </c>
      <c r="C140" s="1" t="s">
        <v>53</v>
      </c>
      <c r="D140" s="2">
        <v>23249.0</v>
      </c>
      <c r="E140" s="1">
        <v>148.0</v>
      </c>
      <c r="F140" s="1" t="s">
        <v>105</v>
      </c>
      <c r="G140" s="2">
        <v>41721.0</v>
      </c>
      <c r="H140" s="1" t="s">
        <v>24</v>
      </c>
      <c r="I140" s="2">
        <v>41721.0</v>
      </c>
      <c r="J140" s="1" t="s">
        <v>25</v>
      </c>
      <c r="K140" s="1" t="s">
        <v>26</v>
      </c>
      <c r="L140" s="1">
        <v>534.0</v>
      </c>
      <c r="M140" s="1" t="s">
        <v>444</v>
      </c>
      <c r="N140" s="1">
        <v>33.0</v>
      </c>
      <c r="O140" s="1" t="s">
        <v>28</v>
      </c>
      <c r="P140" s="1">
        <v>2.43301439E8</v>
      </c>
      <c r="Q140" s="1" t="s">
        <v>115</v>
      </c>
      <c r="R140" s="1" t="s">
        <v>30</v>
      </c>
      <c r="S140">
        <f t="shared" si="1"/>
        <v>33534</v>
      </c>
      <c r="T140" t="str">
        <f t="array" ref="T140">iferror(index('Copie de Feuille tri Amandine'!B:C,MATCH(S140,'Copie de Feuille tri Amandine'!B:B,0),2),"")</f>
        <v/>
      </c>
    </row>
    <row r="141">
      <c r="A141" s="1" t="s">
        <v>445</v>
      </c>
      <c r="B141" s="1" t="s">
        <v>154</v>
      </c>
      <c r="C141" s="1" t="s">
        <v>22</v>
      </c>
      <c r="D141" s="2">
        <v>20200.0</v>
      </c>
      <c r="E141" s="1">
        <v>101.0</v>
      </c>
      <c r="F141" s="1" t="s">
        <v>33</v>
      </c>
      <c r="G141" s="2">
        <v>41721.0</v>
      </c>
      <c r="H141" s="1" t="s">
        <v>24</v>
      </c>
      <c r="I141" s="2">
        <v>41721.0</v>
      </c>
      <c r="J141" s="1" t="s">
        <v>25</v>
      </c>
      <c r="K141" s="1" t="s">
        <v>26</v>
      </c>
      <c r="L141" s="1">
        <v>196.0</v>
      </c>
      <c r="M141" s="1" t="s">
        <v>446</v>
      </c>
      <c r="N141" s="1">
        <v>33.0</v>
      </c>
      <c r="O141" s="1" t="s">
        <v>28</v>
      </c>
      <c r="P141" s="1">
        <v>2.43301454E8</v>
      </c>
      <c r="Q141" s="1" t="s">
        <v>94</v>
      </c>
      <c r="R141" s="1" t="s">
        <v>30</v>
      </c>
      <c r="S141">
        <f t="shared" si="1"/>
        <v>33196</v>
      </c>
      <c r="T141" t="str">
        <f t="array" ref="T141">iferror(index('Copie de Feuille tri Amandine'!B:C,MATCH(S141,'Copie de Feuille tri Amandine'!B:B,0),2),"")</f>
        <v/>
      </c>
    </row>
    <row r="142">
      <c r="A142" s="1" t="s">
        <v>447</v>
      </c>
      <c r="B142" s="1" t="s">
        <v>52</v>
      </c>
      <c r="C142" s="1" t="s">
        <v>53</v>
      </c>
      <c r="D142" s="2">
        <v>23129.0</v>
      </c>
      <c r="E142" s="1">
        <v>156.0</v>
      </c>
      <c r="F142" s="1" t="s">
        <v>293</v>
      </c>
      <c r="G142" s="2">
        <v>42342.0</v>
      </c>
      <c r="H142" s="1" t="s">
        <v>24</v>
      </c>
      <c r="I142" s="2">
        <v>42112.0</v>
      </c>
      <c r="J142" s="1" t="s">
        <v>25</v>
      </c>
      <c r="K142" s="1" t="s">
        <v>26</v>
      </c>
      <c r="L142" s="1">
        <v>201.0</v>
      </c>
      <c r="M142" s="1" t="s">
        <v>448</v>
      </c>
      <c r="N142" s="1">
        <v>33.0</v>
      </c>
      <c r="O142" s="1" t="s">
        <v>28</v>
      </c>
      <c r="P142" s="1">
        <v>2.43301215E8</v>
      </c>
      <c r="Q142" s="1" t="s">
        <v>136</v>
      </c>
      <c r="R142" s="1" t="s">
        <v>30</v>
      </c>
      <c r="S142">
        <f t="shared" si="1"/>
        <v>33201</v>
      </c>
      <c r="T142" t="str">
        <f t="array" ref="T142">iferror(index('Copie de Feuille tri Amandine'!B:C,MATCH(S142,'Copie de Feuille tri Amandine'!B:B,0),2),"")</f>
        <v/>
      </c>
    </row>
    <row r="143">
      <c r="A143" s="1" t="s">
        <v>449</v>
      </c>
      <c r="B143" s="1" t="s">
        <v>179</v>
      </c>
      <c r="C143" s="1" t="s">
        <v>22</v>
      </c>
      <c r="D143" s="2">
        <v>20062.0</v>
      </c>
      <c r="E143" s="1">
        <v>163.0</v>
      </c>
      <c r="F143" s="1" t="s">
        <v>58</v>
      </c>
      <c r="G143" s="2">
        <v>41721.0</v>
      </c>
      <c r="H143" s="1" t="s">
        <v>24</v>
      </c>
      <c r="I143" s="2">
        <v>41721.0</v>
      </c>
      <c r="J143" s="1" t="s">
        <v>25</v>
      </c>
      <c r="K143" s="1" t="s">
        <v>26</v>
      </c>
      <c r="L143" s="1">
        <v>208.0</v>
      </c>
      <c r="M143" s="1" t="s">
        <v>450</v>
      </c>
      <c r="N143" s="1">
        <v>33.0</v>
      </c>
      <c r="O143" s="1" t="s">
        <v>28</v>
      </c>
      <c r="P143" s="1">
        <v>2.0007072E8</v>
      </c>
      <c r="Q143" s="1" t="s">
        <v>111</v>
      </c>
      <c r="R143" s="1" t="s">
        <v>30</v>
      </c>
      <c r="S143">
        <f t="shared" si="1"/>
        <v>33208</v>
      </c>
      <c r="T143" t="str">
        <f t="array" ref="T143">iferror(index('Copie de Feuille tri Amandine'!B:C,MATCH(S143,'Copie de Feuille tri Amandine'!B:B,0),2),"")</f>
        <v/>
      </c>
    </row>
    <row r="144">
      <c r="A144" s="1" t="s">
        <v>451</v>
      </c>
      <c r="B144" s="1" t="s">
        <v>175</v>
      </c>
      <c r="C144" s="1" t="s">
        <v>22</v>
      </c>
      <c r="D144" s="2">
        <v>18297.0</v>
      </c>
      <c r="E144" s="1">
        <v>164.0</v>
      </c>
      <c r="F144" s="1" t="s">
        <v>183</v>
      </c>
      <c r="G144" s="2">
        <v>41721.0</v>
      </c>
      <c r="H144" s="1" t="s">
        <v>24</v>
      </c>
      <c r="I144" s="2">
        <v>41721.0</v>
      </c>
      <c r="J144" s="1" t="s">
        <v>25</v>
      </c>
      <c r="K144" s="1" t="s">
        <v>26</v>
      </c>
      <c r="L144" s="1">
        <v>221.0</v>
      </c>
      <c r="M144" s="1" t="s">
        <v>452</v>
      </c>
      <c r="N144" s="1">
        <v>33.0</v>
      </c>
      <c r="O144" s="1" t="s">
        <v>28</v>
      </c>
      <c r="P144" s="1">
        <v>2.00044394E8</v>
      </c>
      <c r="Q144" s="1" t="s">
        <v>35</v>
      </c>
      <c r="R144" s="1" t="s">
        <v>30</v>
      </c>
      <c r="S144">
        <f t="shared" si="1"/>
        <v>33221</v>
      </c>
      <c r="T144" t="str">
        <f t="array" ref="T144">iferror(index('Copie de Feuille tri Amandine'!B:C,MATCH(S144,'Copie de Feuille tri Amandine'!B:B,0),2),"")</f>
        <v/>
      </c>
    </row>
    <row r="145">
      <c r="A145" s="1" t="s">
        <v>453</v>
      </c>
      <c r="B145" s="1" t="s">
        <v>454</v>
      </c>
      <c r="C145" s="1" t="s">
        <v>22</v>
      </c>
      <c r="D145" s="2">
        <v>32263.0</v>
      </c>
      <c r="E145" s="1">
        <v>116.0</v>
      </c>
      <c r="F145" s="1" t="s">
        <v>455</v>
      </c>
      <c r="G145" s="2">
        <v>41721.0</v>
      </c>
      <c r="H145" s="1" t="s">
        <v>24</v>
      </c>
      <c r="I145" s="2">
        <v>41721.0</v>
      </c>
      <c r="J145" s="1" t="s">
        <v>25</v>
      </c>
      <c r="K145" s="1" t="s">
        <v>26</v>
      </c>
      <c r="L145" s="1">
        <v>87.0</v>
      </c>
      <c r="M145" s="1" t="s">
        <v>456</v>
      </c>
      <c r="N145" s="1">
        <v>33.0</v>
      </c>
      <c r="O145" s="1" t="s">
        <v>28</v>
      </c>
      <c r="P145" s="1">
        <v>2.00044394E8</v>
      </c>
      <c r="Q145" s="1" t="s">
        <v>35</v>
      </c>
      <c r="R145" s="1" t="s">
        <v>30</v>
      </c>
      <c r="S145">
        <f t="shared" si="1"/>
        <v>33087</v>
      </c>
      <c r="T145" t="str">
        <f t="array" ref="T145">iferror(index('Copie de Feuille tri Amandine'!B:C,MATCH(S145,'Copie de Feuille tri Amandine'!B:B,0),2),"")</f>
        <v/>
      </c>
    </row>
    <row r="146">
      <c r="A146" s="1" t="s">
        <v>457</v>
      </c>
      <c r="B146" s="1" t="s">
        <v>286</v>
      </c>
      <c r="C146" s="1" t="s">
        <v>22</v>
      </c>
      <c r="D146" s="2">
        <v>20806.0</v>
      </c>
      <c r="E146" s="1">
        <v>118.0</v>
      </c>
      <c r="F146" s="1" t="s">
        <v>101</v>
      </c>
      <c r="G146" s="2">
        <v>41721.0</v>
      </c>
      <c r="H146" s="1" t="s">
        <v>24</v>
      </c>
      <c r="I146" s="2">
        <v>42580.0</v>
      </c>
      <c r="J146" s="1" t="s">
        <v>25</v>
      </c>
      <c r="K146" s="1" t="s">
        <v>26</v>
      </c>
      <c r="L146" s="1">
        <v>97.0</v>
      </c>
      <c r="M146" s="1" t="s">
        <v>458</v>
      </c>
      <c r="N146" s="1">
        <v>33.0</v>
      </c>
      <c r="O146" s="1" t="s">
        <v>28</v>
      </c>
      <c r="P146" s="1">
        <v>2.0007072E8</v>
      </c>
      <c r="Q146" s="1" t="s">
        <v>111</v>
      </c>
      <c r="R146" s="1" t="s">
        <v>30</v>
      </c>
      <c r="S146">
        <f t="shared" si="1"/>
        <v>33097</v>
      </c>
      <c r="T146" t="str">
        <f t="array" ref="T146">iferror(index('Copie de Feuille tri Amandine'!B:C,MATCH(S146,'Copie de Feuille tri Amandine'!B:B,0),2),"")</f>
        <v/>
      </c>
    </row>
    <row r="147">
      <c r="A147" s="1" t="s">
        <v>459</v>
      </c>
      <c r="B147" s="1" t="s">
        <v>460</v>
      </c>
      <c r="C147" s="1" t="s">
        <v>22</v>
      </c>
      <c r="D147" s="2">
        <v>17741.0</v>
      </c>
      <c r="E147" s="1">
        <v>161.0</v>
      </c>
      <c r="F147" s="1" t="s">
        <v>72</v>
      </c>
      <c r="G147" s="2">
        <v>41721.0</v>
      </c>
      <c r="H147" s="1" t="s">
        <v>24</v>
      </c>
      <c r="I147" s="2">
        <v>41721.0</v>
      </c>
      <c r="J147" s="1" t="s">
        <v>25</v>
      </c>
      <c r="K147" s="1" t="s">
        <v>26</v>
      </c>
      <c r="L147" s="1">
        <v>115.0</v>
      </c>
      <c r="M147" s="1" t="s">
        <v>461</v>
      </c>
      <c r="N147" s="1">
        <v>33.0</v>
      </c>
      <c r="O147" s="1" t="s">
        <v>28</v>
      </c>
      <c r="P147" s="1">
        <v>2.00043974E8</v>
      </c>
      <c r="Q147" s="1" t="s">
        <v>78</v>
      </c>
      <c r="R147" s="1" t="s">
        <v>30</v>
      </c>
      <c r="S147">
        <f t="shared" si="1"/>
        <v>33115</v>
      </c>
      <c r="T147" t="str">
        <f t="array" ref="T147">iferror(index('Copie de Feuille tri Amandine'!B:C,MATCH(S147,'Copie de Feuille tri Amandine'!B:B,0),2),"")</f>
        <v/>
      </c>
    </row>
    <row r="148">
      <c r="A148" s="1" t="s">
        <v>462</v>
      </c>
      <c r="B148" s="1" t="s">
        <v>463</v>
      </c>
      <c r="C148" s="1" t="s">
        <v>22</v>
      </c>
      <c r="D148" s="2">
        <v>13448.0</v>
      </c>
      <c r="E148" s="1">
        <v>159.0</v>
      </c>
      <c r="F148" s="1" t="s">
        <v>130</v>
      </c>
      <c r="G148" s="2">
        <v>41721.0</v>
      </c>
      <c r="H148" s="1" t="s">
        <v>24</v>
      </c>
      <c r="I148" s="2">
        <v>41721.0</v>
      </c>
      <c r="J148" s="1" t="s">
        <v>25</v>
      </c>
      <c r="K148" s="1" t="s">
        <v>26</v>
      </c>
      <c r="L148" s="1">
        <v>117.0</v>
      </c>
      <c r="M148" s="1" t="s">
        <v>464</v>
      </c>
      <c r="N148" s="1">
        <v>33.0</v>
      </c>
      <c r="O148" s="1" t="s">
        <v>28</v>
      </c>
      <c r="P148" s="1">
        <v>2.00069599E8</v>
      </c>
      <c r="Q148" s="1" t="s">
        <v>60</v>
      </c>
      <c r="R148" s="1" t="s">
        <v>30</v>
      </c>
      <c r="S148">
        <f t="shared" si="1"/>
        <v>33117</v>
      </c>
      <c r="T148" t="str">
        <f t="array" ref="T148">iferror(index('Copie de Feuille tri Amandine'!B:C,MATCH(S148,'Copie de Feuille tri Amandine'!B:B,0),2),"")</f>
        <v/>
      </c>
    </row>
    <row r="149">
      <c r="A149" s="1" t="s">
        <v>465</v>
      </c>
      <c r="B149" s="1" t="s">
        <v>466</v>
      </c>
      <c r="C149" s="1" t="s">
        <v>22</v>
      </c>
      <c r="D149" s="2">
        <v>21897.0</v>
      </c>
      <c r="E149" s="1">
        <v>148.0</v>
      </c>
      <c r="F149" s="1" t="s">
        <v>105</v>
      </c>
      <c r="G149" s="2">
        <v>41721.0</v>
      </c>
      <c r="H149" s="1" t="s">
        <v>24</v>
      </c>
      <c r="I149" s="2">
        <v>41721.0</v>
      </c>
      <c r="J149" s="1" t="s">
        <v>25</v>
      </c>
      <c r="K149" s="1" t="s">
        <v>26</v>
      </c>
      <c r="L149" s="1">
        <v>120.0</v>
      </c>
      <c r="M149" s="1" t="s">
        <v>467</v>
      </c>
      <c r="N149" s="1">
        <v>33.0</v>
      </c>
      <c r="O149" s="1" t="s">
        <v>28</v>
      </c>
      <c r="P149" s="1">
        <v>2.00069581E8</v>
      </c>
      <c r="Q149" s="1" t="s">
        <v>82</v>
      </c>
      <c r="R149" s="1" t="s">
        <v>30</v>
      </c>
      <c r="S149">
        <f t="shared" si="1"/>
        <v>33120</v>
      </c>
      <c r="T149" t="str">
        <f t="array" ref="T149">iferror(index('Copie de Feuille tri Amandine'!B:C,MATCH(S149,'Copie de Feuille tri Amandine'!B:B,0),2),"")</f>
        <v/>
      </c>
    </row>
    <row r="150">
      <c r="A150" s="1" t="s">
        <v>468</v>
      </c>
      <c r="B150" s="1" t="s">
        <v>100</v>
      </c>
      <c r="C150" s="1" t="s">
        <v>22</v>
      </c>
      <c r="D150" s="2">
        <v>22214.0</v>
      </c>
      <c r="E150" s="1">
        <v>157.0</v>
      </c>
      <c r="F150" s="1" t="s">
        <v>97</v>
      </c>
      <c r="G150" s="2">
        <v>41721.0</v>
      </c>
      <c r="H150" s="1" t="s">
        <v>24</v>
      </c>
      <c r="I150" s="2">
        <v>41721.0</v>
      </c>
      <c r="J150" s="1" t="s">
        <v>25</v>
      </c>
      <c r="K150" s="1" t="s">
        <v>26</v>
      </c>
      <c r="L150" s="1">
        <v>127.0</v>
      </c>
      <c r="M150" s="1" t="s">
        <v>469</v>
      </c>
      <c r="N150" s="1">
        <v>33.0</v>
      </c>
      <c r="O150" s="1" t="s">
        <v>28</v>
      </c>
      <c r="P150" s="1">
        <v>2.43301454E8</v>
      </c>
      <c r="Q150" s="1" t="s">
        <v>94</v>
      </c>
      <c r="R150" s="1" t="s">
        <v>30</v>
      </c>
      <c r="S150">
        <f t="shared" si="1"/>
        <v>33127</v>
      </c>
      <c r="T150" t="str">
        <f t="array" ref="T150">iferror(index('Copie de Feuille tri Amandine'!B:C,MATCH(S150,'Copie de Feuille tri Amandine'!B:B,0),2),"")</f>
        <v/>
      </c>
    </row>
    <row r="151">
      <c r="A151" s="1" t="s">
        <v>470</v>
      </c>
      <c r="B151" s="1" t="s">
        <v>104</v>
      </c>
      <c r="C151" s="1" t="s">
        <v>22</v>
      </c>
      <c r="D151" s="2">
        <v>22043.0</v>
      </c>
      <c r="E151" s="1">
        <v>101.0</v>
      </c>
      <c r="F151" s="1" t="s">
        <v>33</v>
      </c>
      <c r="G151" s="2">
        <v>41721.0</v>
      </c>
      <c r="H151" s="1" t="s">
        <v>24</v>
      </c>
      <c r="I151" s="2">
        <v>41721.0</v>
      </c>
      <c r="J151" s="1" t="s">
        <v>25</v>
      </c>
      <c r="K151" s="1" t="s">
        <v>26</v>
      </c>
      <c r="L151" s="1">
        <v>160.0</v>
      </c>
      <c r="M151" s="1" t="s">
        <v>471</v>
      </c>
      <c r="N151" s="1">
        <v>33.0</v>
      </c>
      <c r="O151" s="1" t="s">
        <v>28</v>
      </c>
      <c r="P151" s="1">
        <v>2.43301371E8</v>
      </c>
      <c r="Q151" s="1" t="s">
        <v>271</v>
      </c>
      <c r="R151" s="1" t="s">
        <v>30</v>
      </c>
      <c r="S151">
        <f t="shared" si="1"/>
        <v>33160</v>
      </c>
      <c r="T151" t="str">
        <f t="array" ref="T151">iferror(index('Copie de Feuille tri Amandine'!B:C,MATCH(S151,'Copie de Feuille tri Amandine'!B:B,0),2),"")</f>
        <v/>
      </c>
    </row>
    <row r="152">
      <c r="A152" s="1" t="s">
        <v>472</v>
      </c>
      <c r="B152" s="1" t="s">
        <v>473</v>
      </c>
      <c r="C152" s="1" t="s">
        <v>22</v>
      </c>
      <c r="D152" s="2">
        <v>24190.0</v>
      </c>
      <c r="E152" s="1">
        <v>143.0</v>
      </c>
      <c r="F152" s="1" t="s">
        <v>194</v>
      </c>
      <c r="G152" s="2">
        <v>41721.0</v>
      </c>
      <c r="H152" s="1" t="s">
        <v>24</v>
      </c>
      <c r="I152" s="2">
        <v>41721.0</v>
      </c>
      <c r="J152" s="1" t="s">
        <v>25</v>
      </c>
      <c r="K152" s="1" t="s">
        <v>26</v>
      </c>
      <c r="L152" s="1">
        <v>253.0</v>
      </c>
      <c r="M152" s="1" t="s">
        <v>474</v>
      </c>
      <c r="N152" s="1">
        <v>33.0</v>
      </c>
      <c r="O152" s="1" t="s">
        <v>28</v>
      </c>
      <c r="P152" s="1">
        <v>2.00069581E8</v>
      </c>
      <c r="Q152" s="1" t="s">
        <v>82</v>
      </c>
      <c r="R152" s="1" t="s">
        <v>30</v>
      </c>
      <c r="S152">
        <f t="shared" si="1"/>
        <v>33253</v>
      </c>
      <c r="T152" t="str">
        <f t="array" ref="T152">iferror(index('Copie de Feuille tri Amandine'!B:C,MATCH(S152,'Copie de Feuille tri Amandine'!B:B,0),2),"")</f>
        <v/>
      </c>
    </row>
    <row r="153">
      <c r="A153" s="1" t="s">
        <v>475</v>
      </c>
      <c r="B153" s="1" t="s">
        <v>175</v>
      </c>
      <c r="C153" s="1" t="s">
        <v>22</v>
      </c>
      <c r="D153" s="2">
        <v>21884.0</v>
      </c>
      <c r="E153" s="1">
        <v>101.0</v>
      </c>
      <c r="F153" s="1" t="s">
        <v>33</v>
      </c>
      <c r="G153" s="2">
        <v>41721.0</v>
      </c>
      <c r="H153" s="1" t="s">
        <v>24</v>
      </c>
      <c r="I153" s="2">
        <v>41721.0</v>
      </c>
      <c r="J153" s="1" t="s">
        <v>25</v>
      </c>
      <c r="K153" s="1" t="s">
        <v>26</v>
      </c>
      <c r="L153" s="1">
        <v>258.0</v>
      </c>
      <c r="M153" s="1" t="s">
        <v>476</v>
      </c>
      <c r="N153" s="1">
        <v>33.0</v>
      </c>
      <c r="O153" s="1" t="s">
        <v>28</v>
      </c>
      <c r="P153" s="1">
        <v>2.00069599E8</v>
      </c>
      <c r="Q153" s="1" t="s">
        <v>60</v>
      </c>
      <c r="R153" s="1" t="s">
        <v>30</v>
      </c>
      <c r="S153">
        <f t="shared" si="1"/>
        <v>33258</v>
      </c>
      <c r="T153" t="str">
        <f t="array" ref="T153">iferror(index('Copie de Feuille tri Amandine'!B:C,MATCH(S153,'Copie de Feuille tri Amandine'!B:B,0),2),"")</f>
        <v/>
      </c>
    </row>
    <row r="154">
      <c r="A154" s="1" t="s">
        <v>477</v>
      </c>
      <c r="B154" s="1" t="s">
        <v>478</v>
      </c>
      <c r="C154" s="1" t="s">
        <v>22</v>
      </c>
      <c r="D154" s="2">
        <v>20953.0</v>
      </c>
      <c r="E154" s="1">
        <v>143.0</v>
      </c>
      <c r="F154" s="1" t="s">
        <v>194</v>
      </c>
      <c r="G154" s="2">
        <v>41721.0</v>
      </c>
      <c r="H154" s="1" t="s">
        <v>24</v>
      </c>
      <c r="I154" s="2">
        <v>41721.0</v>
      </c>
      <c r="J154" s="1" t="s">
        <v>25</v>
      </c>
      <c r="K154" s="1" t="s">
        <v>26</v>
      </c>
      <c r="L154" s="1">
        <v>291.0</v>
      </c>
      <c r="M154" s="1" t="s">
        <v>479</v>
      </c>
      <c r="N154" s="1">
        <v>33.0</v>
      </c>
      <c r="O154" s="1" t="s">
        <v>28</v>
      </c>
      <c r="P154" s="1">
        <v>2.00044394E8</v>
      </c>
      <c r="Q154" s="1" t="s">
        <v>35</v>
      </c>
      <c r="R154" s="1" t="s">
        <v>30</v>
      </c>
      <c r="S154">
        <f t="shared" si="1"/>
        <v>33291</v>
      </c>
      <c r="T154">
        <f t="array" ref="T154">iferror(index('Copie de Feuille tri Amandine'!B:C,MATCH(S154,'Copie de Feuille tri Amandine'!B:B,0),2),"")</f>
        <v>181</v>
      </c>
    </row>
    <row r="155">
      <c r="A155" s="1" t="s">
        <v>480</v>
      </c>
      <c r="B155" s="1" t="s">
        <v>481</v>
      </c>
      <c r="C155" s="1" t="s">
        <v>53</v>
      </c>
      <c r="D155" s="2">
        <v>22331.0</v>
      </c>
      <c r="E155" s="1">
        <v>120.0</v>
      </c>
      <c r="F155" s="1" t="s">
        <v>241</v>
      </c>
      <c r="G155" s="2">
        <v>41721.0</v>
      </c>
      <c r="H155" s="1" t="s">
        <v>24</v>
      </c>
      <c r="I155" s="2">
        <v>41721.0</v>
      </c>
      <c r="J155" s="1" t="s">
        <v>25</v>
      </c>
      <c r="K155" s="1" t="s">
        <v>26</v>
      </c>
      <c r="L155" s="1">
        <v>326.0</v>
      </c>
      <c r="M155" s="1" t="s">
        <v>482</v>
      </c>
      <c r="N155" s="1">
        <v>33.0</v>
      </c>
      <c r="O155" s="1" t="s">
        <v>28</v>
      </c>
      <c r="P155" s="1">
        <v>2.43300811E8</v>
      </c>
      <c r="Q155" s="1" t="s">
        <v>201</v>
      </c>
      <c r="R155" s="1" t="s">
        <v>30</v>
      </c>
      <c r="S155">
        <f t="shared" si="1"/>
        <v>33326</v>
      </c>
      <c r="T155">
        <f t="array" ref="T155">iferror(index('Copie de Feuille tri Amandine'!B:C,MATCH(S155,'Copie de Feuille tri Amandine'!B:B,0),2),"")</f>
        <v>219</v>
      </c>
    </row>
    <row r="156">
      <c r="A156" s="1" t="s">
        <v>483</v>
      </c>
      <c r="B156" s="1" t="s">
        <v>484</v>
      </c>
      <c r="C156" s="1" t="s">
        <v>22</v>
      </c>
      <c r="D156" s="2">
        <v>25407.0</v>
      </c>
      <c r="E156" s="1">
        <v>105.0</v>
      </c>
      <c r="F156" s="1" t="s">
        <v>23</v>
      </c>
      <c r="G156" s="2">
        <v>41728.0</v>
      </c>
      <c r="H156" s="1" t="s">
        <v>24</v>
      </c>
      <c r="I156" s="2">
        <v>41728.0</v>
      </c>
      <c r="J156" s="1" t="s">
        <v>25</v>
      </c>
      <c r="K156" s="1" t="s">
        <v>26</v>
      </c>
      <c r="L156" s="1">
        <v>402.0</v>
      </c>
      <c r="M156" s="1" t="s">
        <v>485</v>
      </c>
      <c r="N156" s="1">
        <v>33.0</v>
      </c>
      <c r="O156" s="1" t="s">
        <v>28</v>
      </c>
      <c r="P156" s="1">
        <v>2.43301371E8</v>
      </c>
      <c r="Q156" s="1" t="s">
        <v>271</v>
      </c>
      <c r="R156" s="1" t="s">
        <v>30</v>
      </c>
      <c r="S156">
        <f t="shared" si="1"/>
        <v>33402</v>
      </c>
      <c r="T156">
        <f t="array" ref="T156">iferror(index('Copie de Feuille tri Amandine'!B:C,MATCH(S156,'Copie de Feuille tri Amandine'!B:B,0),2),"")</f>
        <v>2554</v>
      </c>
    </row>
    <row r="157">
      <c r="A157" s="1" t="s">
        <v>486</v>
      </c>
      <c r="B157" s="1" t="s">
        <v>96</v>
      </c>
      <c r="C157" s="1" t="s">
        <v>22</v>
      </c>
      <c r="D157" s="2">
        <v>18812.0</v>
      </c>
      <c r="E157" s="1">
        <v>159.0</v>
      </c>
      <c r="F157" s="1" t="s">
        <v>130</v>
      </c>
      <c r="G157" s="2">
        <v>41721.0</v>
      </c>
      <c r="H157" s="1" t="s">
        <v>24</v>
      </c>
      <c r="I157" s="2">
        <v>41721.0</v>
      </c>
      <c r="J157" s="1" t="s">
        <v>25</v>
      </c>
      <c r="K157" s="1" t="s">
        <v>26</v>
      </c>
      <c r="L157" s="1">
        <v>406.0</v>
      </c>
      <c r="M157" s="1" t="s">
        <v>487</v>
      </c>
      <c r="N157" s="1">
        <v>33.0</v>
      </c>
      <c r="O157" s="1" t="s">
        <v>28</v>
      </c>
      <c r="P157" s="1">
        <v>2.00035533E8</v>
      </c>
      <c r="Q157" s="1" t="s">
        <v>146</v>
      </c>
      <c r="R157" s="1" t="s">
        <v>30</v>
      </c>
      <c r="S157">
        <f t="shared" si="1"/>
        <v>33406</v>
      </c>
      <c r="T157">
        <f t="array" ref="T157">iferror(index('Copie de Feuille tri Amandine'!B:C,MATCH(S157,'Copie de Feuille tri Amandine'!B:B,0),2),"")</f>
        <v>393</v>
      </c>
    </row>
    <row r="158">
      <c r="A158" s="1" t="s">
        <v>488</v>
      </c>
      <c r="B158" s="1" t="s">
        <v>305</v>
      </c>
      <c r="C158" s="1" t="s">
        <v>53</v>
      </c>
      <c r="D158" s="2">
        <v>21177.0</v>
      </c>
      <c r="E158" s="1">
        <v>148.0</v>
      </c>
      <c r="F158" s="1" t="s">
        <v>105</v>
      </c>
      <c r="G158" s="2">
        <v>41721.0</v>
      </c>
      <c r="H158" s="1" t="s">
        <v>24</v>
      </c>
      <c r="I158" s="2">
        <v>41721.0</v>
      </c>
      <c r="J158" s="1" t="s">
        <v>25</v>
      </c>
      <c r="K158" s="1" t="s">
        <v>26</v>
      </c>
      <c r="L158" s="1">
        <v>436.0</v>
      </c>
      <c r="M158" s="1" t="s">
        <v>489</v>
      </c>
      <c r="N158" s="1">
        <v>33.0</v>
      </c>
      <c r="O158" s="1" t="s">
        <v>28</v>
      </c>
      <c r="P158" s="1">
        <v>2.43301405E8</v>
      </c>
      <c r="Q158" s="1" t="s">
        <v>300</v>
      </c>
      <c r="R158" s="1" t="s">
        <v>30</v>
      </c>
      <c r="S158">
        <f t="shared" si="1"/>
        <v>33436</v>
      </c>
      <c r="T158">
        <f t="array" ref="T158">iferror(index('Copie de Feuille tri Amandine'!B:C,MATCH(S158,'Copie de Feuille tri Amandine'!B:B,0),2),"")</f>
        <v>967</v>
      </c>
    </row>
    <row r="159">
      <c r="A159" s="1" t="s">
        <v>490</v>
      </c>
      <c r="B159" s="1" t="s">
        <v>484</v>
      </c>
      <c r="C159" s="1" t="s">
        <v>22</v>
      </c>
      <c r="D159" s="2">
        <v>25074.0</v>
      </c>
      <c r="E159" s="1">
        <v>142.0</v>
      </c>
      <c r="F159" s="1" t="s">
        <v>141</v>
      </c>
      <c r="G159" s="2">
        <v>41721.0</v>
      </c>
      <c r="H159" s="1" t="s">
        <v>24</v>
      </c>
      <c r="I159" s="2">
        <v>43791.0</v>
      </c>
      <c r="J159" s="1" t="s">
        <v>25</v>
      </c>
      <c r="K159" s="1" t="s">
        <v>26</v>
      </c>
      <c r="L159" s="1">
        <v>442.0</v>
      </c>
      <c r="M159" s="1" t="s">
        <v>491</v>
      </c>
      <c r="N159" s="1">
        <v>33.0</v>
      </c>
      <c r="O159" s="1" t="s">
        <v>28</v>
      </c>
      <c r="P159" s="1">
        <v>2.00070092E8</v>
      </c>
      <c r="Q159" s="1" t="s">
        <v>50</v>
      </c>
      <c r="R159" s="1" t="s">
        <v>30</v>
      </c>
      <c r="S159">
        <f t="shared" si="1"/>
        <v>33442</v>
      </c>
      <c r="T159">
        <f t="array" ref="T159">iferror(index('Copie de Feuille tri Amandine'!B:C,MATCH(S159,'Copie de Feuille tri Amandine'!B:B,0),2),"")</f>
        <v>544</v>
      </c>
    </row>
    <row r="160">
      <c r="A160" s="1" t="s">
        <v>492</v>
      </c>
      <c r="B160" s="1" t="s">
        <v>493</v>
      </c>
      <c r="C160" s="1" t="s">
        <v>53</v>
      </c>
      <c r="D160" s="2">
        <v>19850.0</v>
      </c>
      <c r="E160" s="1">
        <v>163.0</v>
      </c>
      <c r="F160" s="1" t="s">
        <v>58</v>
      </c>
      <c r="G160" s="2">
        <v>41721.0</v>
      </c>
      <c r="H160" s="1" t="s">
        <v>24</v>
      </c>
      <c r="I160" s="2">
        <v>41721.0</v>
      </c>
      <c r="J160" s="1" t="s">
        <v>25</v>
      </c>
      <c r="K160" s="1" t="s">
        <v>26</v>
      </c>
      <c r="L160" s="1">
        <v>509.0</v>
      </c>
      <c r="M160" s="1" t="s">
        <v>494</v>
      </c>
      <c r="N160" s="1">
        <v>33.0</v>
      </c>
      <c r="O160" s="1" t="s">
        <v>28</v>
      </c>
      <c r="P160" s="1">
        <v>2.00070092E8</v>
      </c>
      <c r="Q160" s="1" t="s">
        <v>50</v>
      </c>
      <c r="R160" s="1" t="s">
        <v>30</v>
      </c>
      <c r="S160">
        <f t="shared" si="1"/>
        <v>33509</v>
      </c>
      <c r="T160">
        <f t="array" ref="T160">iferror(index('Copie de Feuille tri Amandine'!B:C,MATCH(S160,'Copie de Feuille tri Amandine'!B:B,0),2),"")</f>
        <v>504</v>
      </c>
    </row>
    <row r="161">
      <c r="A161" s="1" t="s">
        <v>495</v>
      </c>
      <c r="B161" s="1" t="s">
        <v>496</v>
      </c>
      <c r="C161" s="1" t="s">
        <v>22</v>
      </c>
      <c r="D161" s="2">
        <v>17242.0</v>
      </c>
      <c r="E161" s="1">
        <v>159.0</v>
      </c>
      <c r="F161" s="1" t="s">
        <v>130</v>
      </c>
      <c r="G161" s="2">
        <v>41721.0</v>
      </c>
      <c r="H161" s="1" t="s">
        <v>24</v>
      </c>
      <c r="I161" s="2">
        <v>41721.0</v>
      </c>
      <c r="J161" s="1" t="s">
        <v>25</v>
      </c>
      <c r="K161" s="1" t="s">
        <v>26</v>
      </c>
      <c r="L161" s="1">
        <v>523.0</v>
      </c>
      <c r="M161" s="1" t="s">
        <v>497</v>
      </c>
      <c r="N161" s="1">
        <v>33.0</v>
      </c>
      <c r="O161" s="1" t="s">
        <v>28</v>
      </c>
      <c r="P161" s="1">
        <v>2.00069599E8</v>
      </c>
      <c r="Q161" s="1" t="s">
        <v>60</v>
      </c>
      <c r="R161" s="1" t="s">
        <v>30</v>
      </c>
      <c r="S161">
        <f t="shared" si="1"/>
        <v>33523</v>
      </c>
      <c r="T161">
        <f t="array" ref="T161">iferror(index('Copie de Feuille tri Amandine'!B:C,MATCH(S161,'Copie de Feuille tri Amandine'!B:B,0),2),"")</f>
        <v>2077</v>
      </c>
    </row>
    <row r="162">
      <c r="A162" s="1" t="s">
        <v>498</v>
      </c>
      <c r="B162" s="1" t="s">
        <v>165</v>
      </c>
      <c r="C162" s="1" t="s">
        <v>22</v>
      </c>
      <c r="D162" s="2">
        <v>17851.0</v>
      </c>
      <c r="E162" s="1">
        <v>158.0</v>
      </c>
      <c r="F162" s="1" t="s">
        <v>274</v>
      </c>
      <c r="G162" s="2">
        <v>41721.0</v>
      </c>
      <c r="H162" s="1" t="s">
        <v>24</v>
      </c>
      <c r="I162" s="2">
        <v>41721.0</v>
      </c>
      <c r="J162" s="1" t="s">
        <v>25</v>
      </c>
      <c r="K162" s="1" t="s">
        <v>26</v>
      </c>
      <c r="L162" s="1">
        <v>43.0</v>
      </c>
      <c r="M162" s="1" t="s">
        <v>499</v>
      </c>
      <c r="N162" s="1">
        <v>33.0</v>
      </c>
      <c r="O162" s="1" t="s">
        <v>28</v>
      </c>
      <c r="P162" s="1">
        <v>2.00069599E8</v>
      </c>
      <c r="Q162" s="1" t="s">
        <v>60</v>
      </c>
      <c r="R162" s="1" t="s">
        <v>30</v>
      </c>
      <c r="S162">
        <f t="shared" si="1"/>
        <v>33043</v>
      </c>
      <c r="T162" t="str">
        <f t="array" ref="T162">iferror(index('Copie de Feuille tri Amandine'!B:C,MATCH(S162,'Copie de Feuille tri Amandine'!B:B,0),2),"")</f>
        <v/>
      </c>
    </row>
    <row r="163">
      <c r="A163" s="1" t="s">
        <v>500</v>
      </c>
      <c r="B163" s="1" t="s">
        <v>113</v>
      </c>
      <c r="C163" s="1" t="s">
        <v>22</v>
      </c>
      <c r="D163" s="2">
        <v>18965.0</v>
      </c>
      <c r="E163" s="1">
        <v>113.0</v>
      </c>
      <c r="F163" s="1" t="s">
        <v>246</v>
      </c>
      <c r="G163" s="2">
        <v>41721.0</v>
      </c>
      <c r="H163" s="1" t="s">
        <v>24</v>
      </c>
      <c r="I163" s="2">
        <v>41721.0</v>
      </c>
      <c r="J163" s="1" t="s">
        <v>25</v>
      </c>
      <c r="K163" s="1" t="s">
        <v>26</v>
      </c>
      <c r="L163" s="1">
        <v>59.0</v>
      </c>
      <c r="M163" s="1" t="s">
        <v>501</v>
      </c>
      <c r="N163" s="1">
        <v>33.0</v>
      </c>
      <c r="O163" s="1" t="s">
        <v>28</v>
      </c>
      <c r="P163" s="1">
        <v>2.43301215E8</v>
      </c>
      <c r="Q163" s="1" t="s">
        <v>136</v>
      </c>
      <c r="R163" s="1" t="s">
        <v>30</v>
      </c>
      <c r="S163">
        <f t="shared" si="1"/>
        <v>33059</v>
      </c>
      <c r="T163" t="str">
        <f t="array" ref="T163">iferror(index('Copie de Feuille tri Amandine'!B:C,MATCH(S163,'Copie de Feuille tri Amandine'!B:B,0),2),"")</f>
        <v/>
      </c>
    </row>
    <row r="164">
      <c r="A164" s="1" t="s">
        <v>502</v>
      </c>
      <c r="B164" s="1" t="s">
        <v>503</v>
      </c>
      <c r="C164" s="1" t="s">
        <v>53</v>
      </c>
      <c r="D164" s="2">
        <v>21959.0</v>
      </c>
      <c r="E164" s="1">
        <v>147.0</v>
      </c>
      <c r="F164" s="1" t="s">
        <v>38</v>
      </c>
      <c r="G164" s="2">
        <v>41721.0</v>
      </c>
      <c r="H164" s="1" t="s">
        <v>24</v>
      </c>
      <c r="I164" s="2">
        <v>41721.0</v>
      </c>
      <c r="J164" s="1" t="s">
        <v>25</v>
      </c>
      <c r="K164" s="1" t="s">
        <v>26</v>
      </c>
      <c r="L164" s="1">
        <v>118.0</v>
      </c>
      <c r="M164" s="1" t="s">
        <v>504</v>
      </c>
      <c r="N164" s="1">
        <v>33.0</v>
      </c>
      <c r="O164" s="1" t="s">
        <v>28</v>
      </c>
      <c r="P164" s="1">
        <v>2.43301439E8</v>
      </c>
      <c r="Q164" s="1" t="s">
        <v>115</v>
      </c>
      <c r="R164" s="1" t="s">
        <v>30</v>
      </c>
      <c r="S164">
        <f t="shared" si="1"/>
        <v>33118</v>
      </c>
      <c r="T164" t="str">
        <f t="array" ref="T164">iferror(index('Copie de Feuille tri Amandine'!B:C,MATCH(S164,'Copie de Feuille tri Amandine'!B:B,0),2),"")</f>
        <v/>
      </c>
    </row>
    <row r="165">
      <c r="A165" s="1" t="s">
        <v>505</v>
      </c>
      <c r="B165" s="1" t="s">
        <v>80</v>
      </c>
      <c r="C165" s="1" t="s">
        <v>22</v>
      </c>
      <c r="D165" s="2">
        <v>20732.0</v>
      </c>
      <c r="E165" s="1">
        <v>142.0</v>
      </c>
      <c r="F165" s="1" t="s">
        <v>141</v>
      </c>
      <c r="G165" s="2">
        <v>41721.0</v>
      </c>
      <c r="H165" s="1" t="s">
        <v>24</v>
      </c>
      <c r="I165" s="2">
        <v>41721.0</v>
      </c>
      <c r="J165" s="1" t="s">
        <v>25</v>
      </c>
      <c r="K165" s="1" t="s">
        <v>26</v>
      </c>
      <c r="L165" s="1">
        <v>139.0</v>
      </c>
      <c r="M165" s="1" t="s">
        <v>506</v>
      </c>
      <c r="N165" s="1">
        <v>33.0</v>
      </c>
      <c r="O165" s="1" t="s">
        <v>28</v>
      </c>
      <c r="P165" s="1">
        <v>2.00069599E8</v>
      </c>
      <c r="Q165" s="1" t="s">
        <v>60</v>
      </c>
      <c r="R165" s="1" t="s">
        <v>30</v>
      </c>
      <c r="S165">
        <f t="shared" si="1"/>
        <v>33139</v>
      </c>
      <c r="T165" t="str">
        <f t="array" ref="T165">iferror(index('Copie de Feuille tri Amandine'!B:C,MATCH(S165,'Copie de Feuille tri Amandine'!B:B,0),2),"")</f>
        <v/>
      </c>
    </row>
    <row r="166">
      <c r="A166" s="1" t="s">
        <v>507</v>
      </c>
      <c r="B166" s="1" t="s">
        <v>168</v>
      </c>
      <c r="C166" s="1" t="s">
        <v>22</v>
      </c>
      <c r="D166" s="2">
        <v>18129.0</v>
      </c>
      <c r="E166" s="1">
        <v>159.0</v>
      </c>
      <c r="F166" s="1" t="s">
        <v>130</v>
      </c>
      <c r="G166" s="2">
        <v>41721.0</v>
      </c>
      <c r="H166" s="1" t="s">
        <v>24</v>
      </c>
      <c r="I166" s="2">
        <v>41728.0</v>
      </c>
      <c r="J166" s="1" t="s">
        <v>25</v>
      </c>
      <c r="K166" s="1" t="s">
        <v>26</v>
      </c>
      <c r="L166" s="1">
        <v>193.0</v>
      </c>
      <c r="M166" s="1" t="s">
        <v>508</v>
      </c>
      <c r="N166" s="1">
        <v>33.0</v>
      </c>
      <c r="O166" s="1" t="s">
        <v>28</v>
      </c>
      <c r="P166" s="1">
        <v>2.0007072E8</v>
      </c>
      <c r="Q166" s="1" t="s">
        <v>111</v>
      </c>
      <c r="R166" s="1" t="s">
        <v>30</v>
      </c>
      <c r="S166">
        <f t="shared" si="1"/>
        <v>33193</v>
      </c>
      <c r="T166" t="str">
        <f t="array" ref="T166">iferror(index('Copie de Feuille tri Amandine'!B:C,MATCH(S166,'Copie de Feuille tri Amandine'!B:B,0),2),"")</f>
        <v/>
      </c>
    </row>
    <row r="167">
      <c r="A167" s="1" t="s">
        <v>509</v>
      </c>
      <c r="B167" s="1" t="s">
        <v>510</v>
      </c>
      <c r="C167" s="1" t="s">
        <v>53</v>
      </c>
      <c r="D167" s="2">
        <v>21266.0</v>
      </c>
      <c r="E167" s="1">
        <v>151.0</v>
      </c>
      <c r="F167" s="1" t="s">
        <v>161</v>
      </c>
      <c r="G167" s="2">
        <v>41721.0</v>
      </c>
      <c r="H167" s="1" t="s">
        <v>24</v>
      </c>
      <c r="I167" s="2">
        <v>41721.0</v>
      </c>
      <c r="J167" s="1" t="s">
        <v>25</v>
      </c>
      <c r="K167" s="1" t="s">
        <v>26</v>
      </c>
      <c r="L167" s="1">
        <v>13.0</v>
      </c>
      <c r="M167" s="1" t="s">
        <v>511</v>
      </c>
      <c r="N167" s="1">
        <v>33.0</v>
      </c>
      <c r="O167" s="1" t="s">
        <v>28</v>
      </c>
      <c r="P167" s="1">
        <v>2.43300316E8</v>
      </c>
      <c r="Q167" s="1" t="s">
        <v>40</v>
      </c>
      <c r="R167" s="1" t="s">
        <v>30</v>
      </c>
      <c r="S167">
        <f t="shared" si="1"/>
        <v>33013</v>
      </c>
      <c r="T167" t="str">
        <f t="array" ref="T167">iferror(index('Copie de Feuille tri Amandine'!B:C,MATCH(S167,'Copie de Feuille tri Amandine'!B:B,0),2),"")</f>
        <v/>
      </c>
    </row>
    <row r="168">
      <c r="A168" s="1" t="s">
        <v>512</v>
      </c>
      <c r="B168" s="1" t="s">
        <v>165</v>
      </c>
      <c r="C168" s="1" t="s">
        <v>22</v>
      </c>
      <c r="D168" s="2">
        <v>21743.0</v>
      </c>
      <c r="E168" s="1">
        <v>142.0</v>
      </c>
      <c r="F168" s="1" t="s">
        <v>141</v>
      </c>
      <c r="G168" s="2">
        <v>41721.0</v>
      </c>
      <c r="H168" s="1" t="s">
        <v>24</v>
      </c>
      <c r="I168" s="2">
        <v>41721.0</v>
      </c>
      <c r="J168" s="1" t="s">
        <v>25</v>
      </c>
      <c r="K168" s="1" t="s">
        <v>26</v>
      </c>
      <c r="L168" s="1">
        <v>152.0</v>
      </c>
      <c r="M168" s="1" t="s">
        <v>513</v>
      </c>
      <c r="N168" s="1">
        <v>33.0</v>
      </c>
      <c r="O168" s="1" t="s">
        <v>28</v>
      </c>
      <c r="P168" s="1">
        <v>2.00069581E8</v>
      </c>
      <c r="Q168" s="1" t="s">
        <v>82</v>
      </c>
      <c r="R168" s="1" t="s">
        <v>30</v>
      </c>
      <c r="S168">
        <f t="shared" si="1"/>
        <v>33152</v>
      </c>
      <c r="T168" t="str">
        <f t="array" ref="T168">iferror(index('Copie de Feuille tri Amandine'!B:C,MATCH(S168,'Copie de Feuille tri Amandine'!B:B,0),2),"")</f>
        <v/>
      </c>
    </row>
    <row r="169">
      <c r="A169" s="1" t="s">
        <v>514</v>
      </c>
      <c r="B169" s="1" t="s">
        <v>515</v>
      </c>
      <c r="C169" s="1" t="s">
        <v>53</v>
      </c>
      <c r="D169" s="2">
        <v>14536.0</v>
      </c>
      <c r="E169" s="1">
        <v>158.0</v>
      </c>
      <c r="F169" s="1" t="s">
        <v>274</v>
      </c>
      <c r="G169" s="2">
        <v>41721.0</v>
      </c>
      <c r="H169" s="1" t="s">
        <v>24</v>
      </c>
      <c r="I169" s="2">
        <v>41721.0</v>
      </c>
      <c r="J169" s="1" t="s">
        <v>25</v>
      </c>
      <c r="K169" s="1" t="s">
        <v>26</v>
      </c>
      <c r="L169" s="1">
        <v>173.0</v>
      </c>
      <c r="M169" s="1" t="s">
        <v>516</v>
      </c>
      <c r="N169" s="1">
        <v>33.0</v>
      </c>
      <c r="O169" s="1" t="s">
        <v>28</v>
      </c>
      <c r="P169" s="1">
        <v>2.00035533E8</v>
      </c>
      <c r="Q169" s="1" t="s">
        <v>146</v>
      </c>
      <c r="R169" s="1" t="s">
        <v>30</v>
      </c>
      <c r="S169">
        <f t="shared" si="1"/>
        <v>33173</v>
      </c>
      <c r="T169" t="str">
        <f t="array" ref="T169">iferror(index('Copie de Feuille tri Amandine'!B:C,MATCH(S169,'Copie de Feuille tri Amandine'!B:B,0),2),"")</f>
        <v/>
      </c>
    </row>
    <row r="170">
      <c r="A170" s="1" t="s">
        <v>517</v>
      </c>
      <c r="B170" s="1" t="s">
        <v>165</v>
      </c>
      <c r="C170" s="1" t="s">
        <v>22</v>
      </c>
      <c r="D170" s="2">
        <v>19067.0</v>
      </c>
      <c r="E170" s="1">
        <v>163.0</v>
      </c>
      <c r="F170" s="1" t="s">
        <v>58</v>
      </c>
      <c r="G170" s="2">
        <v>41721.0</v>
      </c>
      <c r="H170" s="1" t="s">
        <v>24</v>
      </c>
      <c r="I170" s="2">
        <v>41721.0</v>
      </c>
      <c r="J170" s="1" t="s">
        <v>25</v>
      </c>
      <c r="K170" s="1" t="s">
        <v>26</v>
      </c>
      <c r="L170" s="1">
        <v>191.0</v>
      </c>
      <c r="M170" s="1" t="s">
        <v>518</v>
      </c>
      <c r="N170" s="1">
        <v>33.0</v>
      </c>
      <c r="O170" s="1" t="s">
        <v>28</v>
      </c>
      <c r="P170" s="1">
        <v>2.00070092E8</v>
      </c>
      <c r="Q170" s="1" t="s">
        <v>50</v>
      </c>
      <c r="R170" s="1" t="s">
        <v>30</v>
      </c>
      <c r="S170">
        <f t="shared" si="1"/>
        <v>33191</v>
      </c>
      <c r="T170" t="str">
        <f t="array" ref="T170">iferror(index('Copie de Feuille tri Amandine'!B:C,MATCH(S170,'Copie de Feuille tri Amandine'!B:B,0),2),"")</f>
        <v/>
      </c>
    </row>
    <row r="171">
      <c r="A171" s="1" t="s">
        <v>519</v>
      </c>
      <c r="B171" s="1" t="s">
        <v>520</v>
      </c>
      <c r="C171" s="1" t="s">
        <v>22</v>
      </c>
      <c r="D171" s="2">
        <v>15349.0</v>
      </c>
      <c r="E171" s="1">
        <v>159.0</v>
      </c>
      <c r="F171" s="1" t="s">
        <v>130</v>
      </c>
      <c r="G171" s="2">
        <v>41721.0</v>
      </c>
      <c r="H171" s="1" t="s">
        <v>24</v>
      </c>
      <c r="I171" s="2">
        <v>41721.0</v>
      </c>
      <c r="J171" s="1" t="s">
        <v>25</v>
      </c>
      <c r="K171" s="1" t="s">
        <v>26</v>
      </c>
      <c r="L171" s="1">
        <v>194.0</v>
      </c>
      <c r="M171" s="1" t="s">
        <v>521</v>
      </c>
      <c r="N171" s="1">
        <v>33.0</v>
      </c>
      <c r="O171" s="1" t="s">
        <v>28</v>
      </c>
      <c r="P171" s="1">
        <v>2.43301454E8</v>
      </c>
      <c r="Q171" s="1" t="s">
        <v>94</v>
      </c>
      <c r="R171" s="1" t="s">
        <v>30</v>
      </c>
      <c r="S171">
        <f t="shared" si="1"/>
        <v>33194</v>
      </c>
      <c r="T171" t="str">
        <f t="array" ref="T171">iferror(index('Copie de Feuille tri Amandine'!B:C,MATCH(S171,'Copie de Feuille tri Amandine'!B:B,0),2),"")</f>
        <v/>
      </c>
    </row>
    <row r="172">
      <c r="A172" s="1" t="s">
        <v>522</v>
      </c>
      <c r="B172" s="1" t="s">
        <v>523</v>
      </c>
      <c r="C172" s="1" t="s">
        <v>22</v>
      </c>
      <c r="D172" s="2">
        <v>19636.0</v>
      </c>
      <c r="E172" s="1">
        <v>119.0</v>
      </c>
      <c r="F172" s="1" t="s">
        <v>109</v>
      </c>
      <c r="G172" s="2">
        <v>41721.0</v>
      </c>
      <c r="H172" s="1" t="s">
        <v>24</v>
      </c>
      <c r="I172" s="2">
        <v>41721.0</v>
      </c>
      <c r="J172" s="1" t="s">
        <v>25</v>
      </c>
      <c r="K172" s="1" t="s">
        <v>26</v>
      </c>
      <c r="L172" s="1">
        <v>233.0</v>
      </c>
      <c r="M172" s="1" t="s">
        <v>524</v>
      </c>
      <c r="N172" s="1">
        <v>33.0</v>
      </c>
      <c r="O172" s="1" t="s">
        <v>28</v>
      </c>
      <c r="P172" s="1">
        <v>2.43301181E8</v>
      </c>
      <c r="Q172" s="1" t="s">
        <v>316</v>
      </c>
      <c r="R172" s="1" t="s">
        <v>30</v>
      </c>
      <c r="S172">
        <f t="shared" si="1"/>
        <v>33233</v>
      </c>
      <c r="T172" t="str">
        <f t="array" ref="T172">iferror(index('Copie de Feuille tri Amandine'!B:C,MATCH(S172,'Copie de Feuille tri Amandine'!B:B,0),2),"")</f>
        <v/>
      </c>
    </row>
    <row r="173">
      <c r="A173" s="1" t="s">
        <v>525</v>
      </c>
      <c r="B173" s="1" t="s">
        <v>108</v>
      </c>
      <c r="C173" s="1" t="s">
        <v>22</v>
      </c>
      <c r="D173" s="2">
        <v>28410.0</v>
      </c>
      <c r="E173" s="1">
        <v>136.0</v>
      </c>
      <c r="F173" s="1" t="s">
        <v>405</v>
      </c>
      <c r="G173" s="2">
        <v>41721.0</v>
      </c>
      <c r="H173" s="1" t="s">
        <v>24</v>
      </c>
      <c r="I173" s="2">
        <v>42523.0</v>
      </c>
      <c r="J173" s="1" t="s">
        <v>25</v>
      </c>
      <c r="K173" s="1" t="s">
        <v>26</v>
      </c>
      <c r="L173" s="1">
        <v>238.0</v>
      </c>
      <c r="M173" s="1" t="s">
        <v>526</v>
      </c>
      <c r="N173" s="1">
        <v>33.0</v>
      </c>
      <c r="O173" s="1" t="s">
        <v>28</v>
      </c>
      <c r="P173" s="1">
        <v>2.43301264E8</v>
      </c>
      <c r="Q173" s="1" t="s">
        <v>55</v>
      </c>
      <c r="R173" s="1" t="s">
        <v>30</v>
      </c>
      <c r="S173">
        <f t="shared" si="1"/>
        <v>33238</v>
      </c>
      <c r="T173" t="str">
        <f t="array" ref="T173">iferror(index('Copie de Feuille tri Amandine'!B:C,MATCH(S173,'Copie de Feuille tri Amandine'!B:B,0),2),"")</f>
        <v/>
      </c>
    </row>
    <row r="174">
      <c r="A174" s="1" t="s">
        <v>527</v>
      </c>
      <c r="B174" s="1" t="s">
        <v>121</v>
      </c>
      <c r="C174" s="1" t="s">
        <v>53</v>
      </c>
      <c r="D174" s="2">
        <v>25066.0</v>
      </c>
      <c r="E174" s="1">
        <v>119.0</v>
      </c>
      <c r="F174" s="1" t="s">
        <v>109</v>
      </c>
      <c r="G174" s="2">
        <v>41721.0</v>
      </c>
      <c r="H174" s="1" t="s">
        <v>24</v>
      </c>
      <c r="I174" s="2">
        <v>43468.0</v>
      </c>
      <c r="J174" s="1" t="s">
        <v>25</v>
      </c>
      <c r="K174" s="1" t="s">
        <v>26</v>
      </c>
      <c r="L174" s="1">
        <v>17.0</v>
      </c>
      <c r="M174" s="1" t="s">
        <v>528</v>
      </c>
      <c r="N174" s="1">
        <v>33.0</v>
      </c>
      <c r="O174" s="1" t="s">
        <v>28</v>
      </c>
      <c r="P174" s="1">
        <v>2.00043982E8</v>
      </c>
      <c r="Q174" s="1" t="s">
        <v>124</v>
      </c>
      <c r="R174" s="1" t="s">
        <v>30</v>
      </c>
      <c r="S174">
        <f t="shared" si="1"/>
        <v>33017</v>
      </c>
      <c r="T174" t="str">
        <f t="array" ref="T174">iferror(index('Copie de Feuille tri Amandine'!B:C,MATCH(S174,'Copie de Feuille tri Amandine'!B:B,0),2),"")</f>
        <v/>
      </c>
    </row>
    <row r="175">
      <c r="A175" s="1" t="s">
        <v>529</v>
      </c>
      <c r="B175" s="1" t="s">
        <v>437</v>
      </c>
      <c r="C175" s="1" t="s">
        <v>22</v>
      </c>
      <c r="D175" s="2">
        <v>20444.0</v>
      </c>
      <c r="E175" s="1">
        <v>120.0</v>
      </c>
      <c r="F175" s="1" t="s">
        <v>241</v>
      </c>
      <c r="G175" s="2">
        <v>41721.0</v>
      </c>
      <c r="H175" s="1" t="s">
        <v>24</v>
      </c>
      <c r="I175" s="2">
        <v>42045.0</v>
      </c>
      <c r="J175" s="1" t="s">
        <v>25</v>
      </c>
      <c r="K175" s="1" t="s">
        <v>26</v>
      </c>
      <c r="L175" s="1">
        <v>156.0</v>
      </c>
      <c r="M175" s="1" t="s">
        <v>530</v>
      </c>
      <c r="N175" s="1">
        <v>33.0</v>
      </c>
      <c r="O175" s="1" t="s">
        <v>28</v>
      </c>
      <c r="P175" s="1">
        <v>2.00069581E8</v>
      </c>
      <c r="Q175" s="1" t="s">
        <v>82</v>
      </c>
      <c r="R175" s="1" t="s">
        <v>30</v>
      </c>
      <c r="S175">
        <f t="shared" si="1"/>
        <v>33156</v>
      </c>
      <c r="T175" t="str">
        <f t="array" ref="T175">iferror(index('Copie de Feuille tri Amandine'!B:C,MATCH(S175,'Copie de Feuille tri Amandine'!B:B,0),2),"")</f>
        <v/>
      </c>
    </row>
    <row r="176">
      <c r="A176" s="1" t="s">
        <v>531</v>
      </c>
      <c r="B176" s="1" t="s">
        <v>532</v>
      </c>
      <c r="C176" s="1" t="s">
        <v>53</v>
      </c>
      <c r="D176" s="2">
        <v>20954.0</v>
      </c>
      <c r="E176" s="1">
        <v>139.0</v>
      </c>
      <c r="F176" s="1" t="s">
        <v>122</v>
      </c>
      <c r="G176" s="2">
        <v>41721.0</v>
      </c>
      <c r="H176" s="1" t="s">
        <v>24</v>
      </c>
      <c r="I176" s="2">
        <v>41721.0</v>
      </c>
      <c r="J176" s="1" t="s">
        <v>25</v>
      </c>
      <c r="K176" s="1" t="s">
        <v>26</v>
      </c>
      <c r="L176" s="1">
        <v>163.0</v>
      </c>
      <c r="M176" s="1" t="s">
        <v>533</v>
      </c>
      <c r="N176" s="1">
        <v>33.0</v>
      </c>
      <c r="O176" s="1" t="s">
        <v>28</v>
      </c>
      <c r="P176" s="1">
        <v>2.00069599E8</v>
      </c>
      <c r="Q176" s="1" t="s">
        <v>60</v>
      </c>
      <c r="R176" s="1" t="s">
        <v>30</v>
      </c>
      <c r="S176">
        <f t="shared" si="1"/>
        <v>33163</v>
      </c>
      <c r="T176" t="str">
        <f t="array" ref="T176">iferror(index('Copie de Feuille tri Amandine'!B:C,MATCH(S176,'Copie de Feuille tri Amandine'!B:B,0),2),"")</f>
        <v/>
      </c>
    </row>
    <row r="177">
      <c r="A177" s="1" t="s">
        <v>534</v>
      </c>
      <c r="B177" s="1" t="s">
        <v>460</v>
      </c>
      <c r="C177" s="1" t="s">
        <v>22</v>
      </c>
      <c r="D177" s="2">
        <v>18538.0</v>
      </c>
      <c r="E177" s="1">
        <v>110.0</v>
      </c>
      <c r="F177" s="1" t="s">
        <v>48</v>
      </c>
      <c r="G177" s="2">
        <v>41721.0</v>
      </c>
      <c r="H177" s="1" t="s">
        <v>24</v>
      </c>
      <c r="I177" s="2">
        <v>41721.0</v>
      </c>
      <c r="J177" s="1" t="s">
        <v>25</v>
      </c>
      <c r="K177" s="1" t="s">
        <v>26</v>
      </c>
      <c r="L177" s="1">
        <v>257.0</v>
      </c>
      <c r="M177" s="1" t="s">
        <v>535</v>
      </c>
      <c r="N177" s="1">
        <v>33.0</v>
      </c>
      <c r="O177" s="1" t="s">
        <v>28</v>
      </c>
      <c r="P177" s="1">
        <v>2.43301454E8</v>
      </c>
      <c r="Q177" s="1" t="s">
        <v>94</v>
      </c>
      <c r="R177" s="1" t="s">
        <v>30</v>
      </c>
      <c r="S177">
        <f t="shared" si="1"/>
        <v>33257</v>
      </c>
      <c r="T177" t="str">
        <f t="array" ref="T177">iferror(index('Copie de Feuille tri Amandine'!B:C,MATCH(S177,'Copie de Feuille tri Amandine'!B:B,0),2),"")</f>
        <v/>
      </c>
    </row>
    <row r="178">
      <c r="A178" s="1" t="s">
        <v>536</v>
      </c>
      <c r="B178" s="1" t="s">
        <v>229</v>
      </c>
      <c r="C178" s="1" t="s">
        <v>22</v>
      </c>
      <c r="D178" s="2">
        <v>13926.0</v>
      </c>
      <c r="E178" s="1">
        <v>158.0</v>
      </c>
      <c r="F178" s="1" t="s">
        <v>274</v>
      </c>
      <c r="G178" s="2">
        <v>41721.0</v>
      </c>
      <c r="H178" s="1" t="s">
        <v>24</v>
      </c>
      <c r="I178" s="2">
        <v>41721.0</v>
      </c>
      <c r="J178" s="1" t="s">
        <v>25</v>
      </c>
      <c r="K178" s="1" t="s">
        <v>26</v>
      </c>
      <c r="L178" s="1">
        <v>321.0</v>
      </c>
      <c r="M178" s="1" t="s">
        <v>537</v>
      </c>
      <c r="N178" s="1">
        <v>33.0</v>
      </c>
      <c r="O178" s="1" t="s">
        <v>28</v>
      </c>
      <c r="P178" s="1">
        <v>2.43301223E8</v>
      </c>
      <c r="Q178" s="1" t="s">
        <v>163</v>
      </c>
      <c r="R178" s="1" t="s">
        <v>30</v>
      </c>
      <c r="S178">
        <f t="shared" si="1"/>
        <v>33321</v>
      </c>
      <c r="T178">
        <f t="array" ref="T178">iferror(index('Copie de Feuille tri Amandine'!B:C,MATCH(S178,'Copie de Feuille tri Amandine'!B:B,0),2),"")</f>
        <v>2173</v>
      </c>
    </row>
    <row r="179">
      <c r="A179" s="1" t="s">
        <v>538</v>
      </c>
      <c r="B179" s="1" t="s">
        <v>460</v>
      </c>
      <c r="C179" s="1" t="s">
        <v>22</v>
      </c>
      <c r="D179" s="2">
        <v>18785.0</v>
      </c>
      <c r="E179" s="1">
        <v>163.0</v>
      </c>
      <c r="F179" s="1" t="s">
        <v>58</v>
      </c>
      <c r="G179" s="2">
        <v>41728.0</v>
      </c>
      <c r="H179" s="1" t="s">
        <v>24</v>
      </c>
      <c r="I179" s="2">
        <v>41728.0</v>
      </c>
      <c r="J179" s="1" t="s">
        <v>25</v>
      </c>
      <c r="K179" s="1" t="s">
        <v>26</v>
      </c>
      <c r="L179" s="1">
        <v>355.0</v>
      </c>
      <c r="M179" s="1" t="s">
        <v>539</v>
      </c>
      <c r="N179" s="1">
        <v>33.0</v>
      </c>
      <c r="O179" s="1" t="s">
        <v>28</v>
      </c>
      <c r="P179" s="1">
        <v>2.00069581E8</v>
      </c>
      <c r="Q179" s="1" t="s">
        <v>82</v>
      </c>
      <c r="R179" s="1" t="s">
        <v>30</v>
      </c>
      <c r="S179">
        <f t="shared" si="1"/>
        <v>33355</v>
      </c>
      <c r="T179">
        <f t="array" ref="T179">iferror(index('Copie de Feuille tri Amandine'!B:C,MATCH(S179,'Copie de Feuille tri Amandine'!B:B,0),2),"")</f>
        <v>1556</v>
      </c>
    </row>
    <row r="180">
      <c r="A180" s="1" t="s">
        <v>354</v>
      </c>
      <c r="B180" s="1" t="s">
        <v>460</v>
      </c>
      <c r="C180" s="1" t="s">
        <v>22</v>
      </c>
      <c r="D180" s="2">
        <v>21300.0</v>
      </c>
      <c r="E180" s="1">
        <v>101.0</v>
      </c>
      <c r="F180" s="1" t="s">
        <v>33</v>
      </c>
      <c r="G180" s="2">
        <v>41721.0</v>
      </c>
      <c r="H180" s="1" t="s">
        <v>24</v>
      </c>
      <c r="I180" s="2">
        <v>41721.0</v>
      </c>
      <c r="J180" s="1" t="s">
        <v>25</v>
      </c>
      <c r="K180" s="1" t="s">
        <v>26</v>
      </c>
      <c r="L180" s="1">
        <v>361.0</v>
      </c>
      <c r="M180" s="1" t="s">
        <v>540</v>
      </c>
      <c r="N180" s="1">
        <v>33.0</v>
      </c>
      <c r="O180" s="1" t="s">
        <v>28</v>
      </c>
      <c r="P180" s="1">
        <v>2.43301454E8</v>
      </c>
      <c r="Q180" s="1" t="s">
        <v>94</v>
      </c>
      <c r="R180" s="1" t="s">
        <v>30</v>
      </c>
      <c r="S180">
        <f t="shared" si="1"/>
        <v>33361</v>
      </c>
      <c r="T180">
        <f t="array" ref="T180">iferror(index('Copie de Feuille tri Amandine'!B:C,MATCH(S180,'Copie de Feuille tri Amandine'!B:B,0),2),"")</f>
        <v>600</v>
      </c>
    </row>
    <row r="181">
      <c r="A181" s="1" t="s">
        <v>541</v>
      </c>
      <c r="B181" s="1" t="s">
        <v>542</v>
      </c>
      <c r="C181" s="1" t="s">
        <v>22</v>
      </c>
      <c r="D181" s="2">
        <v>18762.0</v>
      </c>
      <c r="E181" s="1">
        <v>162.0</v>
      </c>
      <c r="F181" s="1" t="s">
        <v>76</v>
      </c>
      <c r="G181" s="2">
        <v>41721.0</v>
      </c>
      <c r="H181" s="1" t="s">
        <v>24</v>
      </c>
      <c r="I181" s="2">
        <v>41721.0</v>
      </c>
      <c r="J181" s="1" t="s">
        <v>25</v>
      </c>
      <c r="K181" s="1" t="s">
        <v>26</v>
      </c>
      <c r="L181" s="1">
        <v>417.0</v>
      </c>
      <c r="M181" s="1" t="s">
        <v>543</v>
      </c>
      <c r="N181" s="1">
        <v>33.0</v>
      </c>
      <c r="O181" s="1" t="s">
        <v>28</v>
      </c>
      <c r="P181" s="1">
        <v>2.43301389E8</v>
      </c>
      <c r="Q181" s="1" t="s">
        <v>220</v>
      </c>
      <c r="R181" s="1" t="s">
        <v>30</v>
      </c>
      <c r="S181">
        <f t="shared" si="1"/>
        <v>33417</v>
      </c>
      <c r="T181">
        <f t="array" ref="T181">iferror(index('Copie de Feuille tri Amandine'!B:C,MATCH(S181,'Copie de Feuille tri Amandine'!B:B,0),2),"")</f>
        <v>2797</v>
      </c>
    </row>
    <row r="182">
      <c r="A182" s="1" t="s">
        <v>544</v>
      </c>
      <c r="B182" s="1" t="s">
        <v>42</v>
      </c>
      <c r="C182" s="1" t="s">
        <v>22</v>
      </c>
      <c r="D182" s="2">
        <v>20866.0</v>
      </c>
      <c r="E182" s="1">
        <v>115.0</v>
      </c>
      <c r="F182" s="1" t="s">
        <v>63</v>
      </c>
      <c r="G182" s="2">
        <v>41721.0</v>
      </c>
      <c r="H182" s="1" t="s">
        <v>24</v>
      </c>
      <c r="I182" s="2">
        <v>41721.0</v>
      </c>
      <c r="J182" s="1" t="s">
        <v>25</v>
      </c>
      <c r="K182" s="1" t="s">
        <v>26</v>
      </c>
      <c r="L182" s="1">
        <v>418.0</v>
      </c>
      <c r="M182" s="1" t="s">
        <v>545</v>
      </c>
      <c r="N182" s="1">
        <v>33.0</v>
      </c>
      <c r="O182" s="1" t="s">
        <v>28</v>
      </c>
      <c r="P182" s="1">
        <v>2.00044394E8</v>
      </c>
      <c r="Q182" s="1" t="s">
        <v>35</v>
      </c>
      <c r="R182" s="1" t="s">
        <v>30</v>
      </c>
      <c r="S182">
        <f t="shared" si="1"/>
        <v>33418</v>
      </c>
      <c r="T182">
        <f t="array" ref="T182">iferror(index('Copie de Feuille tri Amandine'!B:C,MATCH(S182,'Copie de Feuille tri Amandine'!B:B,0),2),"")</f>
        <v>381</v>
      </c>
    </row>
    <row r="183">
      <c r="A183" s="1" t="s">
        <v>546</v>
      </c>
      <c r="B183" s="1" t="s">
        <v>104</v>
      </c>
      <c r="C183" s="1" t="s">
        <v>22</v>
      </c>
      <c r="D183" s="2">
        <v>18538.0</v>
      </c>
      <c r="E183" s="1">
        <v>163.0</v>
      </c>
      <c r="F183" s="1" t="s">
        <v>58</v>
      </c>
      <c r="G183" s="2">
        <v>41721.0</v>
      </c>
      <c r="H183" s="1" t="s">
        <v>24</v>
      </c>
      <c r="I183" s="2">
        <v>41721.0</v>
      </c>
      <c r="J183" s="1" t="s">
        <v>25</v>
      </c>
      <c r="K183" s="1" t="s">
        <v>26</v>
      </c>
      <c r="L183" s="1">
        <v>472.0</v>
      </c>
      <c r="M183" s="1" t="s">
        <v>547</v>
      </c>
      <c r="N183" s="1">
        <v>33.0</v>
      </c>
      <c r="O183" s="1" t="s">
        <v>28</v>
      </c>
      <c r="P183" s="1">
        <v>2.00070092E8</v>
      </c>
      <c r="Q183" s="1" t="s">
        <v>50</v>
      </c>
      <c r="R183" s="1" t="s">
        <v>30</v>
      </c>
      <c r="S183">
        <f t="shared" si="1"/>
        <v>33472</v>
      </c>
      <c r="T183">
        <f t="array" ref="T183">iferror(index('Copie de Feuille tri Amandine'!B:C,MATCH(S183,'Copie de Feuille tri Amandine'!B:B,0),2),"")</f>
        <v>348</v>
      </c>
    </row>
    <row r="184">
      <c r="A184" s="1" t="s">
        <v>548</v>
      </c>
      <c r="B184" s="1" t="s">
        <v>549</v>
      </c>
      <c r="C184" s="1" t="s">
        <v>22</v>
      </c>
      <c r="D184" s="2">
        <v>17102.0</v>
      </c>
      <c r="E184" s="1">
        <v>162.0</v>
      </c>
      <c r="F184" s="1" t="s">
        <v>76</v>
      </c>
      <c r="G184" s="2">
        <v>41721.0</v>
      </c>
      <c r="H184" s="1" t="s">
        <v>24</v>
      </c>
      <c r="I184" s="2">
        <v>41721.0</v>
      </c>
      <c r="J184" s="1" t="s">
        <v>25</v>
      </c>
      <c r="K184" s="1" t="s">
        <v>26</v>
      </c>
      <c r="L184" s="1">
        <v>485.0</v>
      </c>
      <c r="M184" s="1" t="s">
        <v>550</v>
      </c>
      <c r="N184" s="1">
        <v>33.0</v>
      </c>
      <c r="O184" s="1" t="s">
        <v>28</v>
      </c>
      <c r="P184" s="1">
        <v>2.00035533E8</v>
      </c>
      <c r="Q184" s="1" t="s">
        <v>146</v>
      </c>
      <c r="R184" s="1" t="s">
        <v>30</v>
      </c>
      <c r="S184">
        <f t="shared" si="1"/>
        <v>33485</v>
      </c>
      <c r="T184">
        <f t="array" ref="T184">iferror(index('Copie de Feuille tri Amandine'!B:C,MATCH(S184,'Copie de Feuille tri Amandine'!B:B,0),2),"")</f>
        <v>1883</v>
      </c>
    </row>
    <row r="185">
      <c r="A185" s="1" t="s">
        <v>551</v>
      </c>
      <c r="B185" s="1" t="s">
        <v>165</v>
      </c>
      <c r="C185" s="1" t="s">
        <v>22</v>
      </c>
      <c r="D185" s="2">
        <v>23372.0</v>
      </c>
      <c r="E185" s="1">
        <v>118.0</v>
      </c>
      <c r="F185" s="1" t="s">
        <v>101</v>
      </c>
      <c r="G185" s="2">
        <v>41721.0</v>
      </c>
      <c r="H185" s="1" t="s">
        <v>24</v>
      </c>
      <c r="I185" s="2">
        <v>43030.0</v>
      </c>
      <c r="J185" s="1" t="s">
        <v>25</v>
      </c>
      <c r="K185" s="1" t="s">
        <v>26</v>
      </c>
      <c r="L185" s="1">
        <v>512.0</v>
      </c>
      <c r="M185" s="1" t="s">
        <v>552</v>
      </c>
      <c r="N185" s="1">
        <v>33.0</v>
      </c>
      <c r="O185" s="1" t="s">
        <v>28</v>
      </c>
      <c r="P185" s="1">
        <v>2.00043982E8</v>
      </c>
      <c r="Q185" s="1" t="s">
        <v>124</v>
      </c>
      <c r="R185" s="1" t="s">
        <v>30</v>
      </c>
      <c r="S185">
        <f t="shared" si="1"/>
        <v>33512</v>
      </c>
      <c r="T185">
        <f t="array" ref="T185">iferror(index('Copie de Feuille tri Amandine'!B:C,MATCH(S185,'Copie de Feuille tri Amandine'!B:B,0),2),"")</f>
        <v>381</v>
      </c>
    </row>
    <row r="186">
      <c r="A186" s="1" t="s">
        <v>553</v>
      </c>
      <c r="B186" s="1" t="s">
        <v>503</v>
      </c>
      <c r="C186" s="1" t="s">
        <v>53</v>
      </c>
      <c r="D186" s="2">
        <v>19590.0</v>
      </c>
      <c r="E186" s="1">
        <v>157.0</v>
      </c>
      <c r="F186" s="1" t="s">
        <v>97</v>
      </c>
      <c r="G186" s="2">
        <v>41721.0</v>
      </c>
      <c r="H186" s="1" t="s">
        <v>24</v>
      </c>
      <c r="I186" s="2">
        <v>41721.0</v>
      </c>
      <c r="J186" s="1" t="s">
        <v>25</v>
      </c>
      <c r="K186" s="1" t="s">
        <v>26</v>
      </c>
      <c r="L186" s="1">
        <v>526.0</v>
      </c>
      <c r="M186" s="1" t="s">
        <v>554</v>
      </c>
      <c r="N186" s="1">
        <v>33.0</v>
      </c>
      <c r="O186" s="1" t="s">
        <v>28</v>
      </c>
      <c r="P186" s="1">
        <v>2.00035533E8</v>
      </c>
      <c r="Q186" s="1" t="s">
        <v>146</v>
      </c>
      <c r="R186" s="1" t="s">
        <v>30</v>
      </c>
      <c r="S186">
        <f t="shared" si="1"/>
        <v>33526</v>
      </c>
      <c r="T186">
        <f t="array" ref="T186">iferror(index('Copie de Feuille tri Amandine'!B:C,MATCH(S186,'Copie de Feuille tri Amandine'!B:B,0),2),"")</f>
        <v>133</v>
      </c>
    </row>
    <row r="187">
      <c r="A187" s="1" t="s">
        <v>555</v>
      </c>
      <c r="B187" s="1" t="s">
        <v>503</v>
      </c>
      <c r="C187" s="1" t="s">
        <v>53</v>
      </c>
      <c r="D187" s="2">
        <v>20864.0</v>
      </c>
      <c r="E187" s="1">
        <v>101.0</v>
      </c>
      <c r="F187" s="1" t="s">
        <v>33</v>
      </c>
      <c r="G187" s="2">
        <v>41721.0</v>
      </c>
      <c r="H187" s="1" t="s">
        <v>24</v>
      </c>
      <c r="I187" s="2">
        <v>41721.0</v>
      </c>
      <c r="J187" s="1" t="s">
        <v>25</v>
      </c>
      <c r="K187" s="1" t="s">
        <v>26</v>
      </c>
      <c r="L187" s="1">
        <v>551.0</v>
      </c>
      <c r="M187" s="1" t="s">
        <v>556</v>
      </c>
      <c r="N187" s="1">
        <v>33.0</v>
      </c>
      <c r="O187" s="1" t="s">
        <v>28</v>
      </c>
      <c r="P187" s="1">
        <v>2.00023794E8</v>
      </c>
      <c r="Q187" s="1" t="s">
        <v>243</v>
      </c>
      <c r="R187" s="1" t="s">
        <v>30</v>
      </c>
      <c r="S187">
        <f t="shared" si="1"/>
        <v>33551</v>
      </c>
      <c r="T187">
        <f t="array" ref="T187">iferror(index('Copie de Feuille tri Amandine'!B:C,MATCH(S187,'Copie de Feuille tri Amandine'!B:B,0),2),"")</f>
        <v>395</v>
      </c>
    </row>
    <row r="188">
      <c r="A188" s="1" t="s">
        <v>557</v>
      </c>
      <c r="B188" s="1" t="s">
        <v>175</v>
      </c>
      <c r="C188" s="1" t="s">
        <v>22</v>
      </c>
      <c r="D188" s="2">
        <v>15479.0</v>
      </c>
      <c r="E188" s="1">
        <v>162.0</v>
      </c>
      <c r="F188" s="1" t="s">
        <v>76</v>
      </c>
      <c r="G188" s="2">
        <v>41721.0</v>
      </c>
      <c r="H188" s="1" t="s">
        <v>24</v>
      </c>
      <c r="I188" s="2">
        <v>41721.0</v>
      </c>
      <c r="J188" s="1" t="s">
        <v>25</v>
      </c>
      <c r="K188" s="1" t="s">
        <v>26</v>
      </c>
      <c r="L188" s="1">
        <v>26.0</v>
      </c>
      <c r="M188" s="1" t="s">
        <v>558</v>
      </c>
      <c r="N188" s="1">
        <v>33.0</v>
      </c>
      <c r="O188" s="1" t="s">
        <v>28</v>
      </c>
      <c r="P188" s="1">
        <v>2.00043974E8</v>
      </c>
      <c r="Q188" s="1" t="s">
        <v>78</v>
      </c>
      <c r="R188" s="1" t="s">
        <v>30</v>
      </c>
      <c r="S188">
        <f t="shared" si="1"/>
        <v>33026</v>
      </c>
      <c r="T188" t="str">
        <f t="array" ref="T188">iferror(index('Copie de Feuille tri Amandine'!B:C,MATCH(S188,'Copie de Feuille tri Amandine'!B:B,0),2),"")</f>
        <v/>
      </c>
    </row>
    <row r="189">
      <c r="A189" s="1" t="s">
        <v>559</v>
      </c>
      <c r="B189" s="1" t="s">
        <v>560</v>
      </c>
      <c r="C189" s="1" t="s">
        <v>53</v>
      </c>
      <c r="D189" s="2">
        <v>26902.0</v>
      </c>
      <c r="E189" s="1">
        <v>156.0</v>
      </c>
      <c r="F189" s="1" t="s">
        <v>293</v>
      </c>
      <c r="G189" s="2">
        <v>41721.0</v>
      </c>
      <c r="H189" s="1" t="s">
        <v>24</v>
      </c>
      <c r="I189" s="2">
        <v>41721.0</v>
      </c>
      <c r="J189" s="1" t="s">
        <v>25</v>
      </c>
      <c r="K189" s="1" t="s">
        <v>26</v>
      </c>
      <c r="L189" s="1">
        <v>103.0</v>
      </c>
      <c r="M189" s="1" t="s">
        <v>561</v>
      </c>
      <c r="N189" s="1">
        <v>33.0</v>
      </c>
      <c r="O189" s="1" t="s">
        <v>28</v>
      </c>
      <c r="P189" s="1">
        <v>2.00069599E8</v>
      </c>
      <c r="Q189" s="1" t="s">
        <v>60</v>
      </c>
      <c r="R189" s="1" t="s">
        <v>30</v>
      </c>
      <c r="S189">
        <f t="shared" si="1"/>
        <v>33103</v>
      </c>
      <c r="T189" t="str">
        <f t="array" ref="T189">iferror(index('Copie de Feuille tri Amandine'!B:C,MATCH(S189,'Copie de Feuille tri Amandine'!B:B,0),2),"")</f>
        <v/>
      </c>
    </row>
    <row r="190">
      <c r="A190" s="1" t="s">
        <v>562</v>
      </c>
      <c r="B190" s="1" t="s">
        <v>563</v>
      </c>
      <c r="C190" s="1" t="s">
        <v>53</v>
      </c>
      <c r="D190" s="2">
        <v>25639.0</v>
      </c>
      <c r="E190" s="1">
        <v>157.0</v>
      </c>
      <c r="F190" s="1" t="s">
        <v>97</v>
      </c>
      <c r="G190" s="2">
        <v>41721.0</v>
      </c>
      <c r="H190" s="1" t="s">
        <v>24</v>
      </c>
      <c r="I190" s="2">
        <v>41721.0</v>
      </c>
      <c r="J190" s="1" t="s">
        <v>25</v>
      </c>
      <c r="K190" s="1" t="s">
        <v>26</v>
      </c>
      <c r="L190" s="1">
        <v>124.0</v>
      </c>
      <c r="M190" s="1" t="s">
        <v>564</v>
      </c>
      <c r="N190" s="1">
        <v>33.0</v>
      </c>
      <c r="O190" s="1" t="s">
        <v>28</v>
      </c>
      <c r="P190" s="1">
        <v>2.00070092E8</v>
      </c>
      <c r="Q190" s="1" t="s">
        <v>50</v>
      </c>
      <c r="R190" s="1" t="s">
        <v>30</v>
      </c>
      <c r="S190">
        <f t="shared" si="1"/>
        <v>33124</v>
      </c>
      <c r="T190" t="str">
        <f t="array" ref="T190">iferror(index('Copie de Feuille tri Amandine'!B:C,MATCH(S190,'Copie de Feuille tri Amandine'!B:B,0),2),"")</f>
        <v/>
      </c>
    </row>
    <row r="191">
      <c r="A191" s="1" t="s">
        <v>565</v>
      </c>
      <c r="B191" s="1" t="s">
        <v>460</v>
      </c>
      <c r="C191" s="1" t="s">
        <v>22</v>
      </c>
      <c r="D191" s="2">
        <v>18288.0</v>
      </c>
      <c r="E191" s="1">
        <v>161.0</v>
      </c>
      <c r="F191" s="1" t="s">
        <v>72</v>
      </c>
      <c r="G191" s="2">
        <v>41721.0</v>
      </c>
      <c r="H191" s="1" t="s">
        <v>24</v>
      </c>
      <c r="I191" s="2">
        <v>41721.0</v>
      </c>
      <c r="J191" s="1" t="s">
        <v>25</v>
      </c>
      <c r="K191" s="1" t="s">
        <v>26</v>
      </c>
      <c r="L191" s="1">
        <v>130.0</v>
      </c>
      <c r="M191" s="1" t="s">
        <v>566</v>
      </c>
      <c r="N191" s="1">
        <v>33.0</v>
      </c>
      <c r="O191" s="1" t="s">
        <v>28</v>
      </c>
      <c r="P191" s="1">
        <v>2.00043974E8</v>
      </c>
      <c r="Q191" s="1" t="s">
        <v>78</v>
      </c>
      <c r="R191" s="1" t="s">
        <v>30</v>
      </c>
      <c r="S191">
        <f t="shared" si="1"/>
        <v>33130</v>
      </c>
      <c r="T191" t="str">
        <f t="array" ref="T191">iferror(index('Copie de Feuille tri Amandine'!B:C,MATCH(S191,'Copie de Feuille tri Amandine'!B:B,0),2),"")</f>
        <v/>
      </c>
    </row>
    <row r="192">
      <c r="A192" s="1" t="s">
        <v>567</v>
      </c>
      <c r="B192" s="1" t="s">
        <v>175</v>
      </c>
      <c r="C192" s="1" t="s">
        <v>22</v>
      </c>
      <c r="D192" s="2">
        <v>18446.0</v>
      </c>
      <c r="E192" s="1">
        <v>158.0</v>
      </c>
      <c r="F192" s="1" t="s">
        <v>274</v>
      </c>
      <c r="G192" s="2">
        <v>41721.0</v>
      </c>
      <c r="H192" s="1" t="s">
        <v>24</v>
      </c>
      <c r="I192" s="2">
        <v>41721.0</v>
      </c>
      <c r="J192" s="1" t="s">
        <v>25</v>
      </c>
      <c r="K192" s="1" t="s">
        <v>26</v>
      </c>
      <c r="L192" s="1">
        <v>133.0</v>
      </c>
      <c r="M192" s="1" t="s">
        <v>568</v>
      </c>
      <c r="N192" s="1">
        <v>33.0</v>
      </c>
      <c r="O192" s="1" t="s">
        <v>28</v>
      </c>
      <c r="P192" s="1">
        <v>2.43301454E8</v>
      </c>
      <c r="Q192" s="1" t="s">
        <v>94</v>
      </c>
      <c r="R192" s="1" t="s">
        <v>30</v>
      </c>
      <c r="S192">
        <f t="shared" si="1"/>
        <v>33133</v>
      </c>
      <c r="T192" t="str">
        <f t="array" ref="T192">iferror(index('Copie de Feuille tri Amandine'!B:C,MATCH(S192,'Copie de Feuille tri Amandine'!B:B,0),2),"")</f>
        <v/>
      </c>
    </row>
    <row r="193">
      <c r="A193" s="1" t="s">
        <v>569</v>
      </c>
      <c r="B193" s="1" t="s">
        <v>570</v>
      </c>
      <c r="C193" s="1" t="s">
        <v>53</v>
      </c>
      <c r="D193" s="2">
        <v>22092.0</v>
      </c>
      <c r="E193" s="1">
        <v>148.0</v>
      </c>
      <c r="F193" s="1" t="s">
        <v>105</v>
      </c>
      <c r="G193" s="2">
        <v>41721.0</v>
      </c>
      <c r="H193" s="1" t="s">
        <v>24</v>
      </c>
      <c r="I193" s="2">
        <v>41728.0</v>
      </c>
      <c r="J193" s="1" t="s">
        <v>25</v>
      </c>
      <c r="K193" s="1" t="s">
        <v>26</v>
      </c>
      <c r="L193" s="1">
        <v>197.0</v>
      </c>
      <c r="M193" s="1" t="s">
        <v>571</v>
      </c>
      <c r="N193" s="1">
        <v>33.0</v>
      </c>
      <c r="O193" s="1" t="s">
        <v>28</v>
      </c>
      <c r="P193" s="1">
        <v>2.00069581E8</v>
      </c>
      <c r="Q193" s="1" t="s">
        <v>82</v>
      </c>
      <c r="R193" s="1" t="s">
        <v>30</v>
      </c>
      <c r="S193">
        <f t="shared" si="1"/>
        <v>33197</v>
      </c>
      <c r="T193" t="str">
        <f t="array" ref="T193">iferror(index('Copie de Feuille tri Amandine'!B:C,MATCH(S193,'Copie de Feuille tri Amandine'!B:B,0),2),"")</f>
        <v/>
      </c>
    </row>
    <row r="194">
      <c r="A194" s="1" t="s">
        <v>572</v>
      </c>
      <c r="B194" s="1" t="s">
        <v>84</v>
      </c>
      <c r="C194" s="1" t="s">
        <v>22</v>
      </c>
      <c r="D194" s="2">
        <v>14130.0</v>
      </c>
      <c r="E194" s="1">
        <v>160.0</v>
      </c>
      <c r="F194" s="1" t="s">
        <v>253</v>
      </c>
      <c r="G194" s="2">
        <v>41721.0</v>
      </c>
      <c r="H194" s="1" t="s">
        <v>24</v>
      </c>
      <c r="I194" s="2">
        <v>41721.0</v>
      </c>
      <c r="J194" s="1" t="s">
        <v>25</v>
      </c>
      <c r="K194" s="1" t="s">
        <v>26</v>
      </c>
      <c r="L194" s="1">
        <v>205.0</v>
      </c>
      <c r="M194" s="1" t="s">
        <v>573</v>
      </c>
      <c r="N194" s="1">
        <v>33.0</v>
      </c>
      <c r="O194" s="1" t="s">
        <v>28</v>
      </c>
      <c r="P194" s="1">
        <v>2.00069581E8</v>
      </c>
      <c r="Q194" s="1" t="s">
        <v>82</v>
      </c>
      <c r="R194" s="1" t="s">
        <v>30</v>
      </c>
      <c r="S194">
        <f t="shared" si="1"/>
        <v>33205</v>
      </c>
      <c r="T194" t="str">
        <f t="array" ref="T194">iferror(index('Copie de Feuille tri Amandine'!B:C,MATCH(S194,'Copie de Feuille tri Amandine'!B:B,0),2),"")</f>
        <v/>
      </c>
    </row>
    <row r="195">
      <c r="A195" s="1" t="s">
        <v>574</v>
      </c>
      <c r="B195" s="1" t="s">
        <v>205</v>
      </c>
      <c r="C195" s="1" t="s">
        <v>22</v>
      </c>
      <c r="D195" s="2">
        <v>16729.0</v>
      </c>
      <c r="E195" s="1">
        <v>163.0</v>
      </c>
      <c r="F195" s="1" t="s">
        <v>58</v>
      </c>
      <c r="G195" s="2">
        <v>41721.0</v>
      </c>
      <c r="H195" s="1" t="s">
        <v>24</v>
      </c>
      <c r="I195" s="2">
        <v>41727.0</v>
      </c>
      <c r="J195" s="1" t="s">
        <v>25</v>
      </c>
      <c r="K195" s="1" t="s">
        <v>26</v>
      </c>
      <c r="L195" s="1">
        <v>225.0</v>
      </c>
      <c r="M195" s="1" t="s">
        <v>575</v>
      </c>
      <c r="N195" s="1">
        <v>33.0</v>
      </c>
      <c r="O195" s="1" t="s">
        <v>28</v>
      </c>
      <c r="P195" s="1">
        <v>2.00069581E8</v>
      </c>
      <c r="Q195" s="1" t="s">
        <v>82</v>
      </c>
      <c r="R195" s="1" t="s">
        <v>30</v>
      </c>
      <c r="S195">
        <f t="shared" si="1"/>
        <v>33225</v>
      </c>
      <c r="T195" t="str">
        <f t="array" ref="T195">iferror(index('Copie de Feuille tri Amandine'!B:C,MATCH(S195,'Copie de Feuille tri Amandine'!B:B,0),2),"")</f>
        <v/>
      </c>
    </row>
    <row r="196">
      <c r="A196" s="1" t="s">
        <v>576</v>
      </c>
      <c r="B196" s="1" t="s">
        <v>577</v>
      </c>
      <c r="C196" s="1" t="s">
        <v>53</v>
      </c>
      <c r="D196" s="2">
        <v>21448.0</v>
      </c>
      <c r="E196" s="1">
        <v>132.0</v>
      </c>
      <c r="F196" s="1" t="s">
        <v>578</v>
      </c>
      <c r="G196" s="2">
        <v>41721.0</v>
      </c>
      <c r="H196" s="1" t="s">
        <v>24</v>
      </c>
      <c r="I196" s="2">
        <v>41727.0</v>
      </c>
      <c r="J196" s="1" t="s">
        <v>25</v>
      </c>
      <c r="K196" s="1" t="s">
        <v>26</v>
      </c>
      <c r="L196" s="1">
        <v>229.0</v>
      </c>
      <c r="M196" s="1" t="s">
        <v>579</v>
      </c>
      <c r="N196" s="1">
        <v>33.0</v>
      </c>
      <c r="O196" s="1" t="s">
        <v>28</v>
      </c>
      <c r="P196" s="1">
        <v>2.43301504E8</v>
      </c>
      <c r="Q196" s="1" t="s">
        <v>29</v>
      </c>
      <c r="R196" s="1" t="s">
        <v>30</v>
      </c>
      <c r="S196">
        <f t="shared" si="1"/>
        <v>33229</v>
      </c>
      <c r="T196" t="str">
        <f t="array" ref="T196">iferror(index('Copie de Feuille tri Amandine'!B:C,MATCH(S196,'Copie de Feuille tri Amandine'!B:B,0),2),"")</f>
        <v/>
      </c>
    </row>
    <row r="197">
      <c r="A197" s="1" t="s">
        <v>580</v>
      </c>
      <c r="B197" s="1" t="s">
        <v>581</v>
      </c>
      <c r="C197" s="1" t="s">
        <v>22</v>
      </c>
      <c r="D197" s="2">
        <v>30622.0</v>
      </c>
      <c r="E197" s="1">
        <v>149.0</v>
      </c>
      <c r="F197" s="1" t="s">
        <v>257</v>
      </c>
      <c r="G197" s="2">
        <v>41721.0</v>
      </c>
      <c r="H197" s="1" t="s">
        <v>24</v>
      </c>
      <c r="I197" s="2">
        <v>41721.0</v>
      </c>
      <c r="J197" s="1" t="s">
        <v>25</v>
      </c>
      <c r="K197" s="1" t="s">
        <v>26</v>
      </c>
      <c r="L197" s="1">
        <v>4.0</v>
      </c>
      <c r="M197" s="1" t="s">
        <v>582</v>
      </c>
      <c r="N197" s="1">
        <v>33.0</v>
      </c>
      <c r="O197" s="1" t="s">
        <v>28</v>
      </c>
      <c r="P197" s="1">
        <v>2.43300316E8</v>
      </c>
      <c r="Q197" s="1" t="s">
        <v>40</v>
      </c>
      <c r="R197" s="1" t="s">
        <v>30</v>
      </c>
      <c r="S197">
        <f t="shared" si="1"/>
        <v>33004</v>
      </c>
      <c r="T197" t="str">
        <f t="array" ref="T197">iferror(index('Copie de Feuille tri Amandine'!B:C,MATCH(S197,'Copie de Feuille tri Amandine'!B:B,0),2),"")</f>
        <v/>
      </c>
    </row>
    <row r="198">
      <c r="A198" s="1" t="s">
        <v>583</v>
      </c>
      <c r="B198" s="1" t="s">
        <v>437</v>
      </c>
      <c r="C198" s="1" t="s">
        <v>22</v>
      </c>
      <c r="D198" s="2">
        <v>20860.0</v>
      </c>
      <c r="E198" s="1">
        <v>119.0</v>
      </c>
      <c r="F198" s="1" t="s">
        <v>109</v>
      </c>
      <c r="G198" s="2">
        <v>41728.0</v>
      </c>
      <c r="H198" s="1" t="s">
        <v>24</v>
      </c>
      <c r="I198" s="2">
        <v>41728.0</v>
      </c>
      <c r="J198" s="1" t="s">
        <v>25</v>
      </c>
      <c r="K198" s="1" t="s">
        <v>26</v>
      </c>
      <c r="L198" s="1">
        <v>167.0</v>
      </c>
      <c r="M198" s="1" t="s">
        <v>584</v>
      </c>
      <c r="N198" s="1">
        <v>33.0</v>
      </c>
      <c r="O198" s="1" t="s">
        <v>28</v>
      </c>
      <c r="P198" s="1">
        <v>2.43300316E8</v>
      </c>
      <c r="Q198" s="1" t="s">
        <v>40</v>
      </c>
      <c r="R198" s="1" t="s">
        <v>30</v>
      </c>
      <c r="S198">
        <f t="shared" si="1"/>
        <v>33167</v>
      </c>
      <c r="T198" t="str">
        <f t="array" ref="T198">iferror(index('Copie de Feuille tri Amandine'!B:C,MATCH(S198,'Copie de Feuille tri Amandine'!B:B,0),2),"")</f>
        <v/>
      </c>
    </row>
    <row r="199">
      <c r="A199" s="1" t="s">
        <v>585</v>
      </c>
      <c r="B199" s="1" t="s">
        <v>108</v>
      </c>
      <c r="C199" s="1" t="s">
        <v>22</v>
      </c>
      <c r="D199" s="2">
        <v>24036.0</v>
      </c>
      <c r="E199" s="1">
        <v>148.0</v>
      </c>
      <c r="F199" s="1" t="s">
        <v>105</v>
      </c>
      <c r="G199" s="2">
        <v>41721.0</v>
      </c>
      <c r="H199" s="1" t="s">
        <v>24</v>
      </c>
      <c r="I199" s="2">
        <v>41721.0</v>
      </c>
      <c r="J199" s="1" t="s">
        <v>25</v>
      </c>
      <c r="K199" s="1" t="s">
        <v>26</v>
      </c>
      <c r="L199" s="1">
        <v>180.0</v>
      </c>
      <c r="M199" s="1" t="s">
        <v>586</v>
      </c>
      <c r="N199" s="1">
        <v>33.0</v>
      </c>
      <c r="O199" s="1" t="s">
        <v>28</v>
      </c>
      <c r="P199" s="1">
        <v>2.00043982E8</v>
      </c>
      <c r="Q199" s="1" t="s">
        <v>124</v>
      </c>
      <c r="R199" s="1" t="s">
        <v>30</v>
      </c>
      <c r="S199">
        <f t="shared" si="1"/>
        <v>33180</v>
      </c>
      <c r="T199" t="str">
        <f t="array" ref="T199">iferror(index('Copie de Feuille tri Amandine'!B:C,MATCH(S199,'Copie de Feuille tri Amandine'!B:B,0),2),"")</f>
        <v/>
      </c>
    </row>
    <row r="200">
      <c r="A200" s="1" t="s">
        <v>587</v>
      </c>
      <c r="B200" s="1" t="s">
        <v>189</v>
      </c>
      <c r="C200" s="1" t="s">
        <v>22</v>
      </c>
      <c r="D200" s="2">
        <v>16722.0</v>
      </c>
      <c r="E200" s="1">
        <v>161.0</v>
      </c>
      <c r="F200" s="1" t="s">
        <v>72</v>
      </c>
      <c r="G200" s="2">
        <v>41721.0</v>
      </c>
      <c r="H200" s="1" t="s">
        <v>24</v>
      </c>
      <c r="I200" s="2">
        <v>41721.0</v>
      </c>
      <c r="J200" s="1" t="s">
        <v>25</v>
      </c>
      <c r="K200" s="1" t="s">
        <v>26</v>
      </c>
      <c r="L200" s="1">
        <v>83.0</v>
      </c>
      <c r="M200" s="1" t="s">
        <v>588</v>
      </c>
      <c r="N200" s="1">
        <v>33.0</v>
      </c>
      <c r="O200" s="1" t="s">
        <v>28</v>
      </c>
      <c r="P200" s="1">
        <v>2.43301355E8</v>
      </c>
      <c r="Q200" s="1" t="s">
        <v>132</v>
      </c>
      <c r="R200" s="1" t="s">
        <v>30</v>
      </c>
      <c r="S200">
        <f t="shared" si="1"/>
        <v>33083</v>
      </c>
      <c r="T200" t="str">
        <f t="array" ref="T200">iferror(index('Copie de Feuille tri Amandine'!B:C,MATCH(S200,'Copie de Feuille tri Amandine'!B:B,0),2),"")</f>
        <v/>
      </c>
    </row>
    <row r="201">
      <c r="A201" s="1" t="s">
        <v>589</v>
      </c>
      <c r="B201" s="1" t="s">
        <v>182</v>
      </c>
      <c r="C201" s="1" t="s">
        <v>22</v>
      </c>
      <c r="D201" s="2">
        <v>16329.0</v>
      </c>
      <c r="E201" s="1">
        <v>162.0</v>
      </c>
      <c r="F201" s="1" t="s">
        <v>76</v>
      </c>
      <c r="G201" s="2">
        <v>41721.0</v>
      </c>
      <c r="H201" s="1" t="s">
        <v>24</v>
      </c>
      <c r="I201" s="2">
        <v>41721.0</v>
      </c>
      <c r="J201" s="1" t="s">
        <v>25</v>
      </c>
      <c r="K201" s="1" t="s">
        <v>26</v>
      </c>
      <c r="L201" s="1">
        <v>101.0</v>
      </c>
      <c r="M201" s="1" t="s">
        <v>590</v>
      </c>
      <c r="N201" s="1">
        <v>33.0</v>
      </c>
      <c r="O201" s="1" t="s">
        <v>28</v>
      </c>
      <c r="P201" s="1">
        <v>2.43300811E8</v>
      </c>
      <c r="Q201" s="1" t="s">
        <v>201</v>
      </c>
      <c r="R201" s="1" t="s">
        <v>30</v>
      </c>
      <c r="S201">
        <f t="shared" si="1"/>
        <v>33101</v>
      </c>
      <c r="T201" t="str">
        <f t="array" ref="T201">iferror(index('Copie de Feuille tri Amandine'!B:C,MATCH(S201,'Copie de Feuille tri Amandine'!B:B,0),2),"")</f>
        <v/>
      </c>
    </row>
    <row r="202">
      <c r="A202" s="1" t="s">
        <v>591</v>
      </c>
      <c r="B202" s="1" t="s">
        <v>418</v>
      </c>
      <c r="C202" s="1" t="s">
        <v>22</v>
      </c>
      <c r="D202" s="2">
        <v>19495.0</v>
      </c>
      <c r="E202" s="1">
        <v>101.0</v>
      </c>
      <c r="F202" s="1" t="s">
        <v>33</v>
      </c>
      <c r="G202" s="2">
        <v>41721.0</v>
      </c>
      <c r="H202" s="1" t="s">
        <v>24</v>
      </c>
      <c r="I202" s="2">
        <v>41721.0</v>
      </c>
      <c r="J202" s="1" t="s">
        <v>25</v>
      </c>
      <c r="K202" s="1" t="s">
        <v>26</v>
      </c>
      <c r="L202" s="1">
        <v>137.0</v>
      </c>
      <c r="M202" s="1" t="s">
        <v>592</v>
      </c>
      <c r="N202" s="1">
        <v>33.0</v>
      </c>
      <c r="O202" s="1" t="s">
        <v>28</v>
      </c>
      <c r="P202" s="1">
        <v>2.00043982E8</v>
      </c>
      <c r="Q202" s="1" t="s">
        <v>124</v>
      </c>
      <c r="R202" s="1" t="s">
        <v>30</v>
      </c>
      <c r="S202">
        <f t="shared" si="1"/>
        <v>33137</v>
      </c>
      <c r="T202" t="str">
        <f t="array" ref="T202">iferror(index('Copie de Feuille tri Amandine'!B:C,MATCH(S202,'Copie de Feuille tri Amandine'!B:B,0),2),"")</f>
        <v/>
      </c>
    </row>
    <row r="203">
      <c r="A203" s="1" t="s">
        <v>593</v>
      </c>
      <c r="B203" s="1" t="s">
        <v>47</v>
      </c>
      <c r="C203" s="1" t="s">
        <v>22</v>
      </c>
      <c r="D203" s="2">
        <v>18528.0</v>
      </c>
      <c r="E203" s="1">
        <v>161.0</v>
      </c>
      <c r="F203" s="1" t="s">
        <v>72</v>
      </c>
      <c r="G203" s="2">
        <v>41721.0</v>
      </c>
      <c r="H203" s="1" t="s">
        <v>24</v>
      </c>
      <c r="I203" s="2">
        <v>41721.0</v>
      </c>
      <c r="J203" s="1" t="s">
        <v>25</v>
      </c>
      <c r="K203" s="1" t="s">
        <v>26</v>
      </c>
      <c r="L203" s="1">
        <v>142.0</v>
      </c>
      <c r="M203" s="1" t="s">
        <v>594</v>
      </c>
      <c r="N203" s="1">
        <v>33.0</v>
      </c>
      <c r="O203" s="1" t="s">
        <v>28</v>
      </c>
      <c r="P203" s="1">
        <v>2.43301181E8</v>
      </c>
      <c r="Q203" s="1" t="s">
        <v>316</v>
      </c>
      <c r="R203" s="1" t="s">
        <v>30</v>
      </c>
      <c r="S203">
        <f t="shared" si="1"/>
        <v>33142</v>
      </c>
      <c r="T203" t="str">
        <f t="array" ref="T203">iferror(index('Copie de Feuille tri Amandine'!B:C,MATCH(S203,'Copie de Feuille tri Amandine'!B:B,0),2),"")</f>
        <v/>
      </c>
    </row>
    <row r="204">
      <c r="A204" s="1" t="s">
        <v>595</v>
      </c>
      <c r="B204" s="1" t="s">
        <v>175</v>
      </c>
      <c r="C204" s="1" t="s">
        <v>22</v>
      </c>
      <c r="D204" s="2">
        <v>14067.0</v>
      </c>
      <c r="E204" s="1">
        <v>163.0</v>
      </c>
      <c r="F204" s="1" t="s">
        <v>58</v>
      </c>
      <c r="G204" s="2">
        <v>41721.0</v>
      </c>
      <c r="H204" s="1" t="s">
        <v>24</v>
      </c>
      <c r="I204" s="2">
        <v>41721.0</v>
      </c>
      <c r="J204" s="1" t="s">
        <v>25</v>
      </c>
      <c r="K204" s="1" t="s">
        <v>26</v>
      </c>
      <c r="L204" s="1">
        <v>259.0</v>
      </c>
      <c r="M204" s="1" t="s">
        <v>596</v>
      </c>
      <c r="N204" s="1">
        <v>33.0</v>
      </c>
      <c r="O204" s="1" t="s">
        <v>28</v>
      </c>
      <c r="P204" s="1">
        <v>2.43301397E8</v>
      </c>
      <c r="Q204" s="1" t="s">
        <v>158</v>
      </c>
      <c r="R204" s="1" t="s">
        <v>30</v>
      </c>
      <c r="S204">
        <f t="shared" si="1"/>
        <v>33259</v>
      </c>
      <c r="T204" t="str">
        <f t="array" ref="T204">iferror(index('Copie de Feuille tri Amandine'!B:C,MATCH(S204,'Copie de Feuille tri Amandine'!B:B,0),2),"")</f>
        <v/>
      </c>
    </row>
    <row r="205">
      <c r="A205" s="1" t="s">
        <v>597</v>
      </c>
      <c r="B205" s="1" t="s">
        <v>523</v>
      </c>
      <c r="C205" s="1" t="s">
        <v>22</v>
      </c>
      <c r="D205" s="2">
        <v>21695.0</v>
      </c>
      <c r="E205" s="1">
        <v>120.0</v>
      </c>
      <c r="F205" s="1" t="s">
        <v>241</v>
      </c>
      <c r="G205" s="2">
        <v>41721.0</v>
      </c>
      <c r="H205" s="1" t="s">
        <v>24</v>
      </c>
      <c r="I205" s="2">
        <v>41721.0</v>
      </c>
      <c r="J205" s="1" t="s">
        <v>25</v>
      </c>
      <c r="K205" s="1" t="s">
        <v>26</v>
      </c>
      <c r="L205" s="1">
        <v>377.0</v>
      </c>
      <c r="M205" s="1" t="s">
        <v>598</v>
      </c>
      <c r="N205" s="1">
        <v>33.0</v>
      </c>
      <c r="O205" s="1" t="s">
        <v>28</v>
      </c>
      <c r="P205" s="1">
        <v>2.43301371E8</v>
      </c>
      <c r="Q205" s="1" t="s">
        <v>271</v>
      </c>
      <c r="R205" s="1" t="s">
        <v>30</v>
      </c>
      <c r="S205">
        <f t="shared" si="1"/>
        <v>33377</v>
      </c>
      <c r="T205">
        <f t="array" ref="T205">iferror(index('Copie de Feuille tri Amandine'!B:C,MATCH(S205,'Copie de Feuille tri Amandine'!B:B,0),2),"")</f>
        <v>78</v>
      </c>
    </row>
    <row r="206">
      <c r="A206" s="1" t="s">
        <v>599</v>
      </c>
      <c r="B206" s="1" t="s">
        <v>600</v>
      </c>
      <c r="C206" s="1" t="s">
        <v>53</v>
      </c>
      <c r="D206" s="2">
        <v>15964.0</v>
      </c>
      <c r="E206" s="1">
        <v>158.0</v>
      </c>
      <c r="F206" s="1" t="s">
        <v>274</v>
      </c>
      <c r="G206" s="2">
        <v>41721.0</v>
      </c>
      <c r="H206" s="1" t="s">
        <v>24</v>
      </c>
      <c r="I206" s="2">
        <v>41721.0</v>
      </c>
      <c r="J206" s="1" t="s">
        <v>25</v>
      </c>
      <c r="K206" s="1" t="s">
        <v>26</v>
      </c>
      <c r="L206" s="1">
        <v>396.0</v>
      </c>
      <c r="M206" s="1" t="s">
        <v>601</v>
      </c>
      <c r="N206" s="1">
        <v>33.0</v>
      </c>
      <c r="O206" s="1" t="s">
        <v>28</v>
      </c>
      <c r="P206" s="1">
        <v>2.00035533E8</v>
      </c>
      <c r="Q206" s="1" t="s">
        <v>146</v>
      </c>
      <c r="R206" s="1" t="s">
        <v>30</v>
      </c>
      <c r="S206">
        <f t="shared" si="1"/>
        <v>33396</v>
      </c>
      <c r="T206">
        <f t="array" ref="T206">iferror(index('Copie de Feuille tri Amandine'!B:C,MATCH(S206,'Copie de Feuille tri Amandine'!B:B,0),2),"")</f>
        <v>231</v>
      </c>
    </row>
    <row r="207">
      <c r="A207" s="1" t="s">
        <v>602</v>
      </c>
      <c r="B207" s="1" t="s">
        <v>84</v>
      </c>
      <c r="C207" s="1" t="s">
        <v>22</v>
      </c>
      <c r="D207" s="2">
        <v>22491.0</v>
      </c>
      <c r="E207" s="1">
        <v>142.0</v>
      </c>
      <c r="F207" s="1" t="s">
        <v>141</v>
      </c>
      <c r="G207" s="2">
        <v>41721.0</v>
      </c>
      <c r="H207" s="1" t="s">
        <v>24</v>
      </c>
      <c r="I207" s="2">
        <v>41721.0</v>
      </c>
      <c r="J207" s="1" t="s">
        <v>25</v>
      </c>
      <c r="K207" s="1" t="s">
        <v>26</v>
      </c>
      <c r="L207" s="1">
        <v>435.0</v>
      </c>
      <c r="M207" s="1" t="s">
        <v>603</v>
      </c>
      <c r="N207" s="1">
        <v>33.0</v>
      </c>
      <c r="O207" s="1" t="s">
        <v>28</v>
      </c>
      <c r="P207" s="1">
        <v>2.00043974E8</v>
      </c>
      <c r="Q207" s="1" t="s">
        <v>78</v>
      </c>
      <c r="R207" s="1" t="s">
        <v>30</v>
      </c>
      <c r="S207">
        <f t="shared" si="1"/>
        <v>33435</v>
      </c>
      <c r="T207">
        <f t="array" ref="T207">iferror(index('Copie de Feuille tri Amandine'!B:C,MATCH(S207,'Copie de Feuille tri Amandine'!B:B,0),2),"")</f>
        <v>2076</v>
      </c>
    </row>
    <row r="208">
      <c r="A208" s="1" t="s">
        <v>604</v>
      </c>
      <c r="B208" s="1" t="s">
        <v>523</v>
      </c>
      <c r="C208" s="1" t="s">
        <v>22</v>
      </c>
      <c r="D208" s="2">
        <v>19532.0</v>
      </c>
      <c r="E208" s="1">
        <v>101.0</v>
      </c>
      <c r="F208" s="1" t="s">
        <v>33</v>
      </c>
      <c r="G208" s="2">
        <v>41721.0</v>
      </c>
      <c r="H208" s="1" t="s">
        <v>24</v>
      </c>
      <c r="I208" s="2">
        <v>41728.0</v>
      </c>
      <c r="J208" s="1" t="s">
        <v>25</v>
      </c>
      <c r="K208" s="1" t="s">
        <v>26</v>
      </c>
      <c r="L208" s="1">
        <v>443.0</v>
      </c>
      <c r="M208" s="1" t="s">
        <v>605</v>
      </c>
      <c r="N208" s="1">
        <v>33.0</v>
      </c>
      <c r="O208" s="1" t="s">
        <v>28</v>
      </c>
      <c r="P208" s="1">
        <v>2.00069599E8</v>
      </c>
      <c r="Q208" s="1" t="s">
        <v>60</v>
      </c>
      <c r="R208" s="1" t="s">
        <v>30</v>
      </c>
      <c r="S208">
        <f t="shared" si="1"/>
        <v>33443</v>
      </c>
      <c r="T208">
        <f t="array" ref="T208">iferror(index('Copie de Feuille tri Amandine'!B:C,MATCH(S208,'Copie de Feuille tri Amandine'!B:B,0),2),"")</f>
        <v>143</v>
      </c>
    </row>
    <row r="209">
      <c r="A209" s="1" t="s">
        <v>606</v>
      </c>
      <c r="B209" s="1" t="s">
        <v>100</v>
      </c>
      <c r="C209" s="1" t="s">
        <v>22</v>
      </c>
      <c r="D209" s="2">
        <v>22212.0</v>
      </c>
      <c r="E209" s="1">
        <v>128.0</v>
      </c>
      <c r="F209" s="1" t="s">
        <v>380</v>
      </c>
      <c r="G209" s="2">
        <v>41728.0</v>
      </c>
      <c r="H209" s="1" t="s">
        <v>24</v>
      </c>
      <c r="I209" s="2">
        <v>41763.0</v>
      </c>
      <c r="J209" s="1" t="s">
        <v>25</v>
      </c>
      <c r="K209" s="1" t="s">
        <v>26</v>
      </c>
      <c r="L209" s="1">
        <v>449.0</v>
      </c>
      <c r="M209" s="1" t="s">
        <v>607</v>
      </c>
      <c r="N209" s="1">
        <v>33.0</v>
      </c>
      <c r="O209" s="1" t="s">
        <v>28</v>
      </c>
      <c r="P209" s="1">
        <v>2.43300316E8</v>
      </c>
      <c r="Q209" s="1" t="s">
        <v>40</v>
      </c>
      <c r="R209" s="1" t="s">
        <v>30</v>
      </c>
      <c r="S209">
        <f t="shared" si="1"/>
        <v>33449</v>
      </c>
      <c r="T209">
        <f t="array" ref="T209">iferror(index('Copie de Feuille tri Amandine'!B:C,MATCH(S209,'Copie de Feuille tri Amandine'!B:B,0),2),"")</f>
        <v>31145</v>
      </c>
    </row>
    <row r="210">
      <c r="A210" s="1" t="s">
        <v>608</v>
      </c>
      <c r="B210" s="1" t="s">
        <v>168</v>
      </c>
      <c r="C210" s="1" t="s">
        <v>22</v>
      </c>
      <c r="D210" s="2">
        <v>19363.0</v>
      </c>
      <c r="E210" s="1">
        <v>110.0</v>
      </c>
      <c r="F210" s="1" t="s">
        <v>48</v>
      </c>
      <c r="G210" s="2">
        <v>41721.0</v>
      </c>
      <c r="H210" s="1" t="s">
        <v>24</v>
      </c>
      <c r="I210" s="2">
        <v>41721.0</v>
      </c>
      <c r="J210" s="1" t="s">
        <v>25</v>
      </c>
      <c r="K210" s="1" t="s">
        <v>26</v>
      </c>
      <c r="L210" s="1">
        <v>475.0</v>
      </c>
      <c r="M210" s="1" t="s">
        <v>609</v>
      </c>
      <c r="N210" s="1">
        <v>33.0</v>
      </c>
      <c r="O210" s="1" t="s">
        <v>28</v>
      </c>
      <c r="P210" s="1">
        <v>2.00023794E8</v>
      </c>
      <c r="Q210" s="1" t="s">
        <v>243</v>
      </c>
      <c r="R210" s="1" t="s">
        <v>30</v>
      </c>
      <c r="S210">
        <f t="shared" si="1"/>
        <v>33475</v>
      </c>
      <c r="T210">
        <f t="array" ref="T210">iferror(index('Copie de Feuille tri Amandine'!B:C,MATCH(S210,'Copie de Feuille tri Amandine'!B:B,0),2),"")</f>
        <v>404</v>
      </c>
    </row>
    <row r="211">
      <c r="A211" s="1" t="s">
        <v>610</v>
      </c>
      <c r="B211" s="1" t="s">
        <v>611</v>
      </c>
      <c r="C211" s="1" t="s">
        <v>22</v>
      </c>
      <c r="D211" s="2">
        <v>16868.0</v>
      </c>
      <c r="E211" s="1">
        <v>158.0</v>
      </c>
      <c r="F211" s="1" t="s">
        <v>274</v>
      </c>
      <c r="G211" s="2">
        <v>41721.0</v>
      </c>
      <c r="H211" s="1" t="s">
        <v>24</v>
      </c>
      <c r="I211" s="2">
        <v>41721.0</v>
      </c>
      <c r="J211" s="1" t="s">
        <v>25</v>
      </c>
      <c r="K211" s="1" t="s">
        <v>26</v>
      </c>
      <c r="L211" s="1">
        <v>487.0</v>
      </c>
      <c r="M211" s="1" t="s">
        <v>612</v>
      </c>
      <c r="N211" s="1">
        <v>33.0</v>
      </c>
      <c r="O211" s="1" t="s">
        <v>28</v>
      </c>
      <c r="P211" s="1">
        <v>2.43300316E8</v>
      </c>
      <c r="Q211" s="1" t="s">
        <v>40</v>
      </c>
      <c r="R211" s="1" t="s">
        <v>30</v>
      </c>
      <c r="S211">
        <f t="shared" si="1"/>
        <v>33487</v>
      </c>
      <c r="T211">
        <f t="array" ref="T211">iferror(index('Copie de Feuille tri Amandine'!B:C,MATCH(S211,'Copie de Feuille tri Amandine'!B:B,0),2),"")</f>
        <v>1007</v>
      </c>
    </row>
    <row r="212">
      <c r="A212" s="1" t="s">
        <v>613</v>
      </c>
      <c r="B212" s="1" t="s">
        <v>113</v>
      </c>
      <c r="C212" s="1" t="s">
        <v>22</v>
      </c>
      <c r="D212" s="2">
        <v>18264.0</v>
      </c>
      <c r="E212" s="1">
        <v>163.0</v>
      </c>
      <c r="F212" s="1" t="s">
        <v>58</v>
      </c>
      <c r="G212" s="2">
        <v>41721.0</v>
      </c>
      <c r="H212" s="1" t="s">
        <v>24</v>
      </c>
      <c r="I212" s="2">
        <v>41721.0</v>
      </c>
      <c r="J212" s="1" t="s">
        <v>25</v>
      </c>
      <c r="K212" s="1" t="s">
        <v>26</v>
      </c>
      <c r="L212" s="1">
        <v>518.0</v>
      </c>
      <c r="M212" s="1" t="s">
        <v>614</v>
      </c>
      <c r="N212" s="1">
        <v>33.0</v>
      </c>
      <c r="O212" s="1" t="s">
        <v>28</v>
      </c>
      <c r="P212" s="1">
        <v>2.43301439E8</v>
      </c>
      <c r="Q212" s="1" t="s">
        <v>115</v>
      </c>
      <c r="R212" s="1" t="s">
        <v>30</v>
      </c>
      <c r="S212">
        <f t="shared" si="1"/>
        <v>33518</v>
      </c>
      <c r="T212">
        <f t="array" ref="T212">iferror(index('Copie de Feuille tri Amandine'!B:C,MATCH(S212,'Copie de Feuille tri Amandine'!B:B,0),2),"")</f>
        <v>1082</v>
      </c>
    </row>
    <row r="213">
      <c r="A213" s="1" t="s">
        <v>615</v>
      </c>
      <c r="B213" s="1" t="s">
        <v>182</v>
      </c>
      <c r="C213" s="1" t="s">
        <v>22</v>
      </c>
      <c r="D213" s="2">
        <v>16077.0</v>
      </c>
      <c r="E213" s="1">
        <v>159.0</v>
      </c>
      <c r="F213" s="1" t="s">
        <v>130</v>
      </c>
      <c r="G213" s="2">
        <v>41728.0</v>
      </c>
      <c r="H213" s="1" t="s">
        <v>24</v>
      </c>
      <c r="I213" s="2">
        <v>41794.0</v>
      </c>
      <c r="J213" s="1" t="s">
        <v>25</v>
      </c>
      <c r="K213" s="1" t="s">
        <v>26</v>
      </c>
      <c r="L213" s="1">
        <v>540.0</v>
      </c>
      <c r="M213" s="1" t="s">
        <v>616</v>
      </c>
      <c r="N213" s="1">
        <v>33.0</v>
      </c>
      <c r="O213" s="1" t="s">
        <v>28</v>
      </c>
      <c r="P213" s="1">
        <v>2.0007072E8</v>
      </c>
      <c r="Q213" s="1" t="s">
        <v>111</v>
      </c>
      <c r="R213" s="1" t="s">
        <v>30</v>
      </c>
      <c r="S213">
        <f t="shared" si="1"/>
        <v>33540</v>
      </c>
      <c r="T213">
        <f t="array" ref="T213">iferror(index('Copie de Feuille tri Amandine'!B:C,MATCH(S213,'Copie de Feuille tri Amandine'!B:B,0),2),"")</f>
        <v>2445</v>
      </c>
    </row>
    <row r="214">
      <c r="A214" s="1" t="s">
        <v>617</v>
      </c>
      <c r="B214" s="1" t="s">
        <v>286</v>
      </c>
      <c r="C214" s="1" t="s">
        <v>22</v>
      </c>
      <c r="D214" s="2">
        <v>20708.0</v>
      </c>
      <c r="E214" s="1">
        <v>163.0</v>
      </c>
      <c r="F214" s="1" t="s">
        <v>58</v>
      </c>
      <c r="G214" s="2">
        <v>41721.0</v>
      </c>
      <c r="H214" s="1" t="s">
        <v>24</v>
      </c>
      <c r="I214" s="2">
        <v>41721.0</v>
      </c>
      <c r="J214" s="1" t="s">
        <v>25</v>
      </c>
      <c r="K214" s="1" t="s">
        <v>26</v>
      </c>
      <c r="L214" s="1">
        <v>266.0</v>
      </c>
      <c r="M214" s="1" t="s">
        <v>618</v>
      </c>
      <c r="N214" s="1">
        <v>33.0</v>
      </c>
      <c r="O214" s="1" t="s">
        <v>28</v>
      </c>
      <c r="P214" s="1">
        <v>2.43301181E8</v>
      </c>
      <c r="Q214" s="1" t="s">
        <v>316</v>
      </c>
      <c r="R214" s="1" t="s">
        <v>30</v>
      </c>
      <c r="S214">
        <f t="shared" si="1"/>
        <v>33266</v>
      </c>
      <c r="T214">
        <f t="array" ref="T214">iferror(index('Copie de Feuille tri Amandine'!B:C,MATCH(S214,'Copie de Feuille tri Amandine'!B:B,0),2),"")</f>
        <v>772</v>
      </c>
    </row>
    <row r="215">
      <c r="A215" s="1" t="s">
        <v>619</v>
      </c>
      <c r="B215" s="1" t="s">
        <v>620</v>
      </c>
      <c r="C215" s="1" t="s">
        <v>53</v>
      </c>
      <c r="D215" s="2">
        <v>20689.0</v>
      </c>
      <c r="E215" s="1">
        <v>105.0</v>
      </c>
      <c r="F215" s="1" t="s">
        <v>23</v>
      </c>
      <c r="G215" s="2">
        <v>41721.0</v>
      </c>
      <c r="H215" s="1" t="s">
        <v>24</v>
      </c>
      <c r="I215" s="2">
        <v>41721.0</v>
      </c>
      <c r="J215" s="1" t="s">
        <v>25</v>
      </c>
      <c r="K215" s="1" t="s">
        <v>26</v>
      </c>
      <c r="L215" s="1">
        <v>271.0</v>
      </c>
      <c r="M215" s="1" t="s">
        <v>621</v>
      </c>
      <c r="N215" s="1">
        <v>33.0</v>
      </c>
      <c r="O215" s="1" t="s">
        <v>28</v>
      </c>
      <c r="P215" s="1">
        <v>2.00043982E8</v>
      </c>
      <c r="Q215" s="1" t="s">
        <v>124</v>
      </c>
      <c r="R215" s="1" t="s">
        <v>30</v>
      </c>
      <c r="S215">
        <f t="shared" si="1"/>
        <v>33271</v>
      </c>
      <c r="T215">
        <f t="array" ref="T215">iferror(index('Copie de Feuille tri Amandine'!B:C,MATCH(S215,'Copie de Feuille tri Amandine'!B:B,0),2),"")</f>
        <v>208</v>
      </c>
    </row>
    <row r="216">
      <c r="A216" s="1" t="s">
        <v>622</v>
      </c>
      <c r="B216" s="1" t="s">
        <v>229</v>
      </c>
      <c r="C216" s="1" t="s">
        <v>22</v>
      </c>
      <c r="D216" s="2">
        <v>20916.0</v>
      </c>
      <c r="E216" s="1">
        <v>149.0</v>
      </c>
      <c r="F216" s="1" t="s">
        <v>257</v>
      </c>
      <c r="G216" s="2">
        <v>41721.0</v>
      </c>
      <c r="H216" s="1" t="s">
        <v>24</v>
      </c>
      <c r="I216" s="2">
        <v>41721.0</v>
      </c>
      <c r="J216" s="1" t="s">
        <v>25</v>
      </c>
      <c r="K216" s="1" t="s">
        <v>26</v>
      </c>
      <c r="L216" s="1">
        <v>297.0</v>
      </c>
      <c r="M216" s="1" t="s">
        <v>623</v>
      </c>
      <c r="N216" s="1">
        <v>33.0</v>
      </c>
      <c r="O216" s="1" t="s">
        <v>28</v>
      </c>
      <c r="P216" s="1">
        <v>2.43301389E8</v>
      </c>
      <c r="Q216" s="1" t="s">
        <v>220</v>
      </c>
      <c r="R216" s="1" t="s">
        <v>30</v>
      </c>
      <c r="S216">
        <f t="shared" si="1"/>
        <v>33297</v>
      </c>
      <c r="T216">
        <f t="array" ref="T216">iferror(index('Copie de Feuille tri Amandine'!B:C,MATCH(S216,'Copie de Feuille tri Amandine'!B:B,0),2),"")</f>
        <v>1830</v>
      </c>
    </row>
    <row r="217">
      <c r="A217" s="1" t="s">
        <v>624</v>
      </c>
      <c r="B217" s="1" t="s">
        <v>100</v>
      </c>
      <c r="C217" s="1" t="s">
        <v>22</v>
      </c>
      <c r="D217" s="2">
        <v>21037.0</v>
      </c>
      <c r="E217" s="1">
        <v>120.0</v>
      </c>
      <c r="F217" s="1" t="s">
        <v>241</v>
      </c>
      <c r="G217" s="2">
        <v>41721.0</v>
      </c>
      <c r="H217" s="1" t="s">
        <v>24</v>
      </c>
      <c r="I217" s="2">
        <v>41721.0</v>
      </c>
      <c r="J217" s="1" t="s">
        <v>25</v>
      </c>
      <c r="K217" s="1" t="s">
        <v>26</v>
      </c>
      <c r="L217" s="1">
        <v>315.0</v>
      </c>
      <c r="M217" s="1" t="s">
        <v>625</v>
      </c>
      <c r="N217" s="1">
        <v>33.0</v>
      </c>
      <c r="O217" s="1" t="s">
        <v>28</v>
      </c>
      <c r="P217" s="1">
        <v>2.00070092E8</v>
      </c>
      <c r="Q217" s="1" t="s">
        <v>50</v>
      </c>
      <c r="R217" s="1" t="s">
        <v>30</v>
      </c>
      <c r="S217">
        <f t="shared" si="1"/>
        <v>33315</v>
      </c>
      <c r="T217" t="str">
        <f t="array" ref="T217">iferror(index('Copie de Feuille tri Amandine'!B:C,MATCH(S217,'Copie de Feuille tri Amandine'!B:B,0),2),"")</f>
        <v/>
      </c>
    </row>
    <row r="218">
      <c r="A218" s="1" t="s">
        <v>626</v>
      </c>
      <c r="B218" s="1" t="s">
        <v>134</v>
      </c>
      <c r="C218" s="1" t="s">
        <v>22</v>
      </c>
      <c r="D218" s="2">
        <v>13714.0</v>
      </c>
      <c r="E218" s="1">
        <v>161.0</v>
      </c>
      <c r="F218" s="1" t="s">
        <v>72</v>
      </c>
      <c r="G218" s="2">
        <v>41721.0</v>
      </c>
      <c r="H218" s="1" t="s">
        <v>24</v>
      </c>
      <c r="I218" s="2">
        <v>41721.0</v>
      </c>
      <c r="J218" s="1" t="s">
        <v>25</v>
      </c>
      <c r="K218" s="1" t="s">
        <v>26</v>
      </c>
      <c r="L218" s="1">
        <v>317.0</v>
      </c>
      <c r="M218" s="1" t="s">
        <v>627</v>
      </c>
      <c r="N218" s="1">
        <v>33.0</v>
      </c>
      <c r="O218" s="1" t="s">
        <v>28</v>
      </c>
      <c r="P218" s="1">
        <v>2.43301397E8</v>
      </c>
      <c r="Q218" s="1" t="s">
        <v>158</v>
      </c>
      <c r="R218" s="1" t="s">
        <v>30</v>
      </c>
      <c r="S218">
        <f t="shared" si="1"/>
        <v>33317</v>
      </c>
      <c r="T218">
        <f t="array" ref="T218">iferror(index('Copie de Feuille tri Amandine'!B:C,MATCH(S218,'Copie de Feuille tri Amandine'!B:B,0),2),"")</f>
        <v>1198</v>
      </c>
    </row>
    <row r="219">
      <c r="A219" s="1" t="s">
        <v>628</v>
      </c>
      <c r="B219" s="1" t="s">
        <v>175</v>
      </c>
      <c r="C219" s="1" t="s">
        <v>22</v>
      </c>
      <c r="D219" s="2">
        <v>21456.0</v>
      </c>
      <c r="E219" s="1">
        <v>113.0</v>
      </c>
      <c r="F219" s="1" t="s">
        <v>246</v>
      </c>
      <c r="G219" s="2">
        <v>41721.0</v>
      </c>
      <c r="H219" s="1" t="s">
        <v>24</v>
      </c>
      <c r="I219" s="2">
        <v>43370.0</v>
      </c>
      <c r="J219" s="1" t="s">
        <v>25</v>
      </c>
      <c r="K219" s="1" t="s">
        <v>26</v>
      </c>
      <c r="L219" s="1">
        <v>336.0</v>
      </c>
      <c r="M219" s="1" t="s">
        <v>629</v>
      </c>
      <c r="N219" s="1">
        <v>33.0</v>
      </c>
      <c r="O219" s="1" t="s">
        <v>28</v>
      </c>
      <c r="P219" s="1">
        <v>2.00043974E8</v>
      </c>
      <c r="Q219" s="1" t="s">
        <v>78</v>
      </c>
      <c r="R219" s="1" t="s">
        <v>30</v>
      </c>
      <c r="S219">
        <f t="shared" si="1"/>
        <v>33336</v>
      </c>
      <c r="T219">
        <f t="array" ref="T219">iferror(index('Copie de Feuille tri Amandine'!B:C,MATCH(S219,'Copie de Feuille tri Amandine'!B:B,0),2),"")</f>
        <v>1010</v>
      </c>
    </row>
    <row r="220">
      <c r="A220" s="1" t="s">
        <v>507</v>
      </c>
      <c r="B220" s="1" t="s">
        <v>630</v>
      </c>
      <c r="C220" s="1" t="s">
        <v>22</v>
      </c>
      <c r="D220" s="2">
        <v>25963.0</v>
      </c>
      <c r="E220" s="1">
        <v>113.0</v>
      </c>
      <c r="F220" s="1" t="s">
        <v>246</v>
      </c>
      <c r="G220" s="2">
        <v>41721.0</v>
      </c>
      <c r="H220" s="1" t="s">
        <v>24</v>
      </c>
      <c r="I220" s="2">
        <v>41721.0</v>
      </c>
      <c r="J220" s="1" t="s">
        <v>25</v>
      </c>
      <c r="K220" s="1" t="s">
        <v>26</v>
      </c>
      <c r="L220" s="1">
        <v>397.0</v>
      </c>
      <c r="M220" s="1" t="s">
        <v>631</v>
      </c>
      <c r="N220" s="1">
        <v>33.0</v>
      </c>
      <c r="O220" s="1" t="s">
        <v>28</v>
      </c>
      <c r="P220" s="1">
        <v>2.43301249E8</v>
      </c>
      <c r="Q220" s="1" t="s">
        <v>86</v>
      </c>
      <c r="R220" s="1" t="s">
        <v>30</v>
      </c>
      <c r="S220">
        <f t="shared" si="1"/>
        <v>33397</v>
      </c>
      <c r="T220">
        <f t="array" ref="T220">iferror(index('Copie de Feuille tri Amandine'!B:C,MATCH(S220,'Copie de Feuille tri Amandine'!B:B,0),2),"")</f>
        <v>4631</v>
      </c>
    </row>
    <row r="221">
      <c r="A221" s="1" t="s">
        <v>632</v>
      </c>
      <c r="B221" s="1" t="s">
        <v>633</v>
      </c>
      <c r="C221" s="1" t="s">
        <v>22</v>
      </c>
      <c r="D221" s="2">
        <v>22879.0</v>
      </c>
      <c r="E221" s="1">
        <v>101.0</v>
      </c>
      <c r="F221" s="1" t="s">
        <v>33</v>
      </c>
      <c r="G221" s="2">
        <v>41721.0</v>
      </c>
      <c r="H221" s="1" t="s">
        <v>24</v>
      </c>
      <c r="I221" s="2">
        <v>41721.0</v>
      </c>
      <c r="J221" s="1" t="s">
        <v>25</v>
      </c>
      <c r="K221" s="1" t="s">
        <v>26</v>
      </c>
      <c r="L221" s="1">
        <v>403.0</v>
      </c>
      <c r="M221" s="1" t="s">
        <v>634</v>
      </c>
      <c r="N221" s="1">
        <v>33.0</v>
      </c>
      <c r="O221" s="1" t="s">
        <v>28</v>
      </c>
      <c r="P221" s="1">
        <v>2.00044394E8</v>
      </c>
      <c r="Q221" s="1" t="s">
        <v>35</v>
      </c>
      <c r="R221" s="1" t="s">
        <v>30</v>
      </c>
      <c r="S221">
        <f t="shared" si="1"/>
        <v>33403</v>
      </c>
      <c r="T221">
        <f t="array" ref="T221">iferror(index('Copie de Feuille tri Amandine'!B:C,MATCH(S221,'Copie de Feuille tri Amandine'!B:B,0),2),"")</f>
        <v>122</v>
      </c>
    </row>
    <row r="222">
      <c r="A222" s="1" t="s">
        <v>635</v>
      </c>
      <c r="B222" s="1" t="s">
        <v>305</v>
      </c>
      <c r="C222" s="1" t="s">
        <v>53</v>
      </c>
      <c r="D222" s="2">
        <v>20326.0</v>
      </c>
      <c r="E222" s="1">
        <v>120.0</v>
      </c>
      <c r="F222" s="1" t="s">
        <v>241</v>
      </c>
      <c r="G222" s="2">
        <v>41721.0</v>
      </c>
      <c r="H222" s="1" t="s">
        <v>24</v>
      </c>
      <c r="I222" s="2">
        <v>41721.0</v>
      </c>
      <c r="J222" s="1" t="s">
        <v>25</v>
      </c>
      <c r="K222" s="1" t="s">
        <v>26</v>
      </c>
      <c r="L222" s="1">
        <v>407.0</v>
      </c>
      <c r="M222" s="1" t="s">
        <v>636</v>
      </c>
      <c r="N222" s="1">
        <v>33.0</v>
      </c>
      <c r="O222" s="1" t="s">
        <v>28</v>
      </c>
      <c r="P222" s="1">
        <v>2.43301397E8</v>
      </c>
      <c r="Q222" s="1" t="s">
        <v>158</v>
      </c>
      <c r="R222" s="1" t="s">
        <v>30</v>
      </c>
      <c r="S222">
        <f t="shared" si="1"/>
        <v>33407</v>
      </c>
      <c r="T222">
        <f t="array" ref="T222">iferror(index('Copie de Feuille tri Amandine'!B:C,MATCH(S222,'Copie de Feuille tri Amandine'!B:B,0),2),"")</f>
        <v>794</v>
      </c>
    </row>
    <row r="223">
      <c r="A223" s="1" t="s">
        <v>637</v>
      </c>
      <c r="B223" s="1" t="s">
        <v>638</v>
      </c>
      <c r="C223" s="1" t="s">
        <v>22</v>
      </c>
      <c r="D223" s="2">
        <v>22476.0</v>
      </c>
      <c r="E223" s="1">
        <v>152.0</v>
      </c>
      <c r="F223" s="1" t="s">
        <v>176</v>
      </c>
      <c r="G223" s="2">
        <v>41721.0</v>
      </c>
      <c r="H223" s="1" t="s">
        <v>24</v>
      </c>
      <c r="I223" s="2">
        <v>41721.0</v>
      </c>
      <c r="J223" s="1" t="s">
        <v>25</v>
      </c>
      <c r="K223" s="1" t="s">
        <v>26</v>
      </c>
      <c r="L223" s="1">
        <v>416.0</v>
      </c>
      <c r="M223" s="1" t="s">
        <v>639</v>
      </c>
      <c r="N223" s="1">
        <v>33.0</v>
      </c>
      <c r="O223" s="1" t="s">
        <v>28</v>
      </c>
      <c r="P223" s="1">
        <v>2.00023794E8</v>
      </c>
      <c r="Q223" s="1" t="s">
        <v>243</v>
      </c>
      <c r="R223" s="1" t="s">
        <v>30</v>
      </c>
      <c r="S223">
        <f t="shared" si="1"/>
        <v>33416</v>
      </c>
      <c r="T223">
        <f t="array" ref="T223">iferror(index('Copie de Feuille tri Amandine'!B:C,MATCH(S223,'Copie de Feuille tri Amandine'!B:B,0),2),"")</f>
        <v>950</v>
      </c>
    </row>
    <row r="224">
      <c r="A224" s="1" t="s">
        <v>640</v>
      </c>
      <c r="B224" s="1" t="s">
        <v>189</v>
      </c>
      <c r="C224" s="1" t="s">
        <v>22</v>
      </c>
      <c r="D224" s="2">
        <v>18436.0</v>
      </c>
      <c r="E224" s="1">
        <v>159.0</v>
      </c>
      <c r="F224" s="1" t="s">
        <v>130</v>
      </c>
      <c r="G224" s="2">
        <v>41721.0</v>
      </c>
      <c r="H224" s="1" t="s">
        <v>24</v>
      </c>
      <c r="I224" s="2">
        <v>41727.0</v>
      </c>
      <c r="J224" s="1" t="s">
        <v>25</v>
      </c>
      <c r="K224" s="1" t="s">
        <v>26</v>
      </c>
      <c r="L224" s="1">
        <v>441.0</v>
      </c>
      <c r="M224" s="1" t="s">
        <v>641</v>
      </c>
      <c r="N224" s="1">
        <v>33.0</v>
      </c>
      <c r="O224" s="1" t="s">
        <v>28</v>
      </c>
      <c r="P224" s="1">
        <v>2.00023794E8</v>
      </c>
      <c r="Q224" s="1" t="s">
        <v>243</v>
      </c>
      <c r="R224" s="1" t="s">
        <v>30</v>
      </c>
      <c r="S224">
        <f t="shared" si="1"/>
        <v>33441</v>
      </c>
      <c r="T224">
        <f t="array" ref="T224">iferror(index('Copie de Feuille tri Amandine'!B:C,MATCH(S224,'Copie de Feuille tri Amandine'!B:B,0),2),"")</f>
        <v>1118</v>
      </c>
    </row>
    <row r="225">
      <c r="A225" s="1" t="s">
        <v>642</v>
      </c>
      <c r="B225" s="1" t="s">
        <v>229</v>
      </c>
      <c r="C225" s="1" t="s">
        <v>22</v>
      </c>
      <c r="D225" s="2">
        <v>17825.0</v>
      </c>
      <c r="E225" s="1">
        <v>163.0</v>
      </c>
      <c r="F225" s="1" t="s">
        <v>58</v>
      </c>
      <c r="G225" s="2">
        <v>41721.0</v>
      </c>
      <c r="H225" s="1" t="s">
        <v>24</v>
      </c>
      <c r="I225" s="2">
        <v>41721.0</v>
      </c>
      <c r="J225" s="1" t="s">
        <v>25</v>
      </c>
      <c r="K225" s="1" t="s">
        <v>26</v>
      </c>
      <c r="L225" s="1">
        <v>453.0</v>
      </c>
      <c r="M225" s="1" t="s">
        <v>643</v>
      </c>
      <c r="N225" s="1">
        <v>33.0</v>
      </c>
      <c r="O225" s="1" t="s">
        <v>28</v>
      </c>
      <c r="P225" s="1">
        <v>2.00044394E8</v>
      </c>
      <c r="Q225" s="1" t="s">
        <v>35</v>
      </c>
      <c r="R225" s="1" t="s">
        <v>30</v>
      </c>
      <c r="S225">
        <f t="shared" si="1"/>
        <v>33453</v>
      </c>
      <c r="T225">
        <f t="array" ref="T225">iferror(index('Copie de Feuille tri Amandine'!B:C,MATCH(S225,'Copie de Feuille tri Amandine'!B:B,0),2),"")</f>
        <v>233</v>
      </c>
    </row>
    <row r="226">
      <c r="A226" s="1" t="s">
        <v>644</v>
      </c>
      <c r="B226" s="1" t="s">
        <v>154</v>
      </c>
      <c r="C226" s="1" t="s">
        <v>22</v>
      </c>
      <c r="D226" s="2">
        <v>17994.0</v>
      </c>
      <c r="E226" s="1">
        <v>164.0</v>
      </c>
      <c r="F226" s="1" t="s">
        <v>183</v>
      </c>
      <c r="G226" s="2">
        <v>41721.0</v>
      </c>
      <c r="H226" s="1" t="s">
        <v>24</v>
      </c>
      <c r="I226" s="2">
        <v>41721.0</v>
      </c>
      <c r="J226" s="1" t="s">
        <v>25</v>
      </c>
      <c r="K226" s="1" t="s">
        <v>26</v>
      </c>
      <c r="L226" s="1">
        <v>456.0</v>
      </c>
      <c r="M226" s="1" t="s">
        <v>645</v>
      </c>
      <c r="N226" s="1">
        <v>33.0</v>
      </c>
      <c r="O226" s="1" t="s">
        <v>28</v>
      </c>
      <c r="P226" s="1">
        <v>2.43300811E8</v>
      </c>
      <c r="Q226" s="1" t="s">
        <v>201</v>
      </c>
      <c r="R226" s="1" t="s">
        <v>30</v>
      </c>
      <c r="S226">
        <f t="shared" si="1"/>
        <v>33456</v>
      </c>
      <c r="T226">
        <f t="array" ref="T226">iferror(index('Copie de Feuille tri Amandine'!B:C,MATCH(S226,'Copie de Feuille tri Amandine'!B:B,0),2),"")</f>
        <v>505</v>
      </c>
    </row>
    <row r="227">
      <c r="A227" s="1" t="s">
        <v>646</v>
      </c>
      <c r="B227" s="1" t="s">
        <v>549</v>
      </c>
      <c r="C227" s="1" t="s">
        <v>22</v>
      </c>
      <c r="D227" s="2">
        <v>15166.0</v>
      </c>
      <c r="E227" s="1">
        <v>163.0</v>
      </c>
      <c r="F227" s="1" t="s">
        <v>58</v>
      </c>
      <c r="G227" s="2">
        <v>41721.0</v>
      </c>
      <c r="H227" s="1" t="s">
        <v>24</v>
      </c>
      <c r="I227" s="2">
        <v>41721.0</v>
      </c>
      <c r="J227" s="1" t="s">
        <v>25</v>
      </c>
      <c r="K227" s="1" t="s">
        <v>26</v>
      </c>
      <c r="L227" s="1">
        <v>484.0</v>
      </c>
      <c r="M227" s="1" t="s">
        <v>647</v>
      </c>
      <c r="N227" s="1">
        <v>33.0</v>
      </c>
      <c r="O227" s="1" t="s">
        <v>28</v>
      </c>
      <c r="P227" s="1">
        <v>2.00043974E8</v>
      </c>
      <c r="Q227" s="1" t="s">
        <v>78</v>
      </c>
      <c r="R227" s="1" t="s">
        <v>30</v>
      </c>
      <c r="S227">
        <f t="shared" si="1"/>
        <v>33484</v>
      </c>
      <c r="T227">
        <f t="array" ref="T227">iferror(index('Copie de Feuille tri Amandine'!B:C,MATCH(S227,'Copie de Feuille tri Amandine'!B:B,0),2),"")</f>
        <v>1837</v>
      </c>
    </row>
    <row r="228">
      <c r="A228" s="1" t="s">
        <v>648</v>
      </c>
      <c r="B228" s="1" t="s">
        <v>175</v>
      </c>
      <c r="C228" s="1" t="s">
        <v>22</v>
      </c>
      <c r="D228" s="2">
        <v>20718.0</v>
      </c>
      <c r="E228" s="1">
        <v>101.0</v>
      </c>
      <c r="F228" s="1" t="s">
        <v>33</v>
      </c>
      <c r="G228" s="2">
        <v>41721.0</v>
      </c>
      <c r="H228" s="1" t="s">
        <v>24</v>
      </c>
      <c r="I228" s="2">
        <v>41728.0</v>
      </c>
      <c r="J228" s="1" t="s">
        <v>25</v>
      </c>
      <c r="K228" s="1" t="s">
        <v>26</v>
      </c>
      <c r="L228" s="1">
        <v>515.0</v>
      </c>
      <c r="M228" s="1" t="s">
        <v>649</v>
      </c>
      <c r="N228" s="1">
        <v>33.0</v>
      </c>
      <c r="O228" s="1" t="s">
        <v>28</v>
      </c>
      <c r="P228" s="1">
        <v>2.00069599E8</v>
      </c>
      <c r="Q228" s="1" t="s">
        <v>60</v>
      </c>
      <c r="R228" s="1" t="s">
        <v>30</v>
      </c>
      <c r="S228">
        <f t="shared" si="1"/>
        <v>33515</v>
      </c>
      <c r="T228">
        <f t="array" ref="T228">iferror(index('Copie de Feuille tri Amandine'!B:C,MATCH(S228,'Copie de Feuille tri Amandine'!B:B,0),2),"")</f>
        <v>432</v>
      </c>
    </row>
    <row r="229">
      <c r="A229" s="1" t="s">
        <v>650</v>
      </c>
      <c r="B229" s="1" t="s">
        <v>302</v>
      </c>
      <c r="C229" s="1" t="s">
        <v>22</v>
      </c>
      <c r="D229" s="2">
        <v>17558.0</v>
      </c>
      <c r="E229" s="1">
        <v>163.0</v>
      </c>
      <c r="F229" s="1" t="s">
        <v>58</v>
      </c>
      <c r="G229" s="2">
        <v>41721.0</v>
      </c>
      <c r="H229" s="1" t="s">
        <v>24</v>
      </c>
      <c r="I229" s="2">
        <v>41728.0</v>
      </c>
      <c r="J229" s="1" t="s">
        <v>25</v>
      </c>
      <c r="K229" s="1" t="s">
        <v>26</v>
      </c>
      <c r="L229" s="1">
        <v>538.0</v>
      </c>
      <c r="M229" s="1" t="s">
        <v>651</v>
      </c>
      <c r="N229" s="1">
        <v>33.0</v>
      </c>
      <c r="O229" s="1" t="s">
        <v>28</v>
      </c>
      <c r="P229" s="1">
        <v>2.0007072E8</v>
      </c>
      <c r="Q229" s="1" t="s">
        <v>111</v>
      </c>
      <c r="R229" s="1" t="s">
        <v>30</v>
      </c>
      <c r="S229">
        <f t="shared" si="1"/>
        <v>33538</v>
      </c>
      <c r="T229">
        <f t="array" ref="T229">iferror(index('Copie de Feuille tri Amandine'!B:C,MATCH(S229,'Copie de Feuille tri Amandine'!B:B,0),2),"")</f>
        <v>548</v>
      </c>
    </row>
    <row r="230">
      <c r="A230" s="1" t="s">
        <v>652</v>
      </c>
      <c r="B230" s="1" t="s">
        <v>342</v>
      </c>
      <c r="C230" s="1" t="s">
        <v>22</v>
      </c>
      <c r="D230" s="2">
        <v>18562.0</v>
      </c>
      <c r="E230" s="1">
        <v>161.0</v>
      </c>
      <c r="F230" s="1" t="s">
        <v>72</v>
      </c>
      <c r="G230" s="2">
        <v>41721.0</v>
      </c>
      <c r="H230" s="1" t="s">
        <v>24</v>
      </c>
      <c r="I230" s="2">
        <v>41721.0</v>
      </c>
      <c r="J230" s="1" t="s">
        <v>25</v>
      </c>
      <c r="K230" s="1" t="s">
        <v>26</v>
      </c>
      <c r="L230" s="1">
        <v>554.0</v>
      </c>
      <c r="M230" s="1" t="s">
        <v>653</v>
      </c>
      <c r="N230" s="1">
        <v>33.0</v>
      </c>
      <c r="O230" s="1" t="s">
        <v>28</v>
      </c>
      <c r="P230" s="1">
        <v>2.43301249E8</v>
      </c>
      <c r="Q230" s="1" t="s">
        <v>86</v>
      </c>
      <c r="R230" s="1" t="s">
        <v>30</v>
      </c>
      <c r="S230">
        <f t="shared" si="1"/>
        <v>33554</v>
      </c>
      <c r="T230">
        <f t="array" ref="T230">iferror(index('Copie de Feuille tri Amandine'!B:C,MATCH(S230,'Copie de Feuille tri Amandine'!B:B,0),2),"")</f>
        <v>2812</v>
      </c>
    </row>
    <row r="231">
      <c r="A231" s="1" t="s">
        <v>654</v>
      </c>
      <c r="B231" s="1" t="s">
        <v>655</v>
      </c>
      <c r="C231" s="1" t="s">
        <v>22</v>
      </c>
      <c r="D231" s="2">
        <v>18301.0</v>
      </c>
      <c r="E231" s="1">
        <v>101.0</v>
      </c>
      <c r="F231" s="1" t="s">
        <v>33</v>
      </c>
      <c r="G231" s="2">
        <v>41721.0</v>
      </c>
      <c r="H231" s="1" t="s">
        <v>24</v>
      </c>
      <c r="I231" s="2">
        <v>41721.0</v>
      </c>
      <c r="J231" s="1" t="s">
        <v>25</v>
      </c>
      <c r="K231" s="1" t="s">
        <v>26</v>
      </c>
      <c r="L231" s="1">
        <v>33.0</v>
      </c>
      <c r="M231" s="1" t="s">
        <v>656</v>
      </c>
      <c r="N231" s="1">
        <v>33.0</v>
      </c>
      <c r="O231" s="1" t="s">
        <v>28</v>
      </c>
      <c r="P231" s="1">
        <v>2.43301439E8</v>
      </c>
      <c r="Q231" s="1" t="s">
        <v>115</v>
      </c>
      <c r="R231" s="1" t="s">
        <v>30</v>
      </c>
      <c r="S231">
        <f t="shared" si="1"/>
        <v>33033</v>
      </c>
      <c r="T231" t="str">
        <f t="array" ref="T231">iferror(index('Copie de Feuille tri Amandine'!B:C,MATCH(S231,'Copie de Feuille tri Amandine'!B:B,0),2),"")</f>
        <v/>
      </c>
    </row>
    <row r="232">
      <c r="A232" s="1" t="s">
        <v>657</v>
      </c>
      <c r="B232" s="1" t="s">
        <v>460</v>
      </c>
      <c r="C232" s="1" t="s">
        <v>22</v>
      </c>
      <c r="D232" s="2">
        <v>17105.0</v>
      </c>
      <c r="E232" s="1">
        <v>161.0</v>
      </c>
      <c r="F232" s="1" t="s">
        <v>72</v>
      </c>
      <c r="G232" s="2">
        <v>41721.0</v>
      </c>
      <c r="H232" s="1" t="s">
        <v>24</v>
      </c>
      <c r="I232" s="2">
        <v>41721.0</v>
      </c>
      <c r="J232" s="1" t="s">
        <v>25</v>
      </c>
      <c r="K232" s="1" t="s">
        <v>26</v>
      </c>
      <c r="L232" s="1">
        <v>50.0</v>
      </c>
      <c r="M232" s="1" t="s">
        <v>658</v>
      </c>
      <c r="N232" s="1">
        <v>33.0</v>
      </c>
      <c r="O232" s="1" t="s">
        <v>28</v>
      </c>
      <c r="P232" s="1">
        <v>2.00043974E8</v>
      </c>
      <c r="Q232" s="1" t="s">
        <v>78</v>
      </c>
      <c r="R232" s="1" t="s">
        <v>30</v>
      </c>
      <c r="S232">
        <f t="shared" si="1"/>
        <v>33050</v>
      </c>
      <c r="T232" t="str">
        <f t="array" ref="T232">iferror(index('Copie de Feuille tri Amandine'!B:C,MATCH(S232,'Copie de Feuille tri Amandine'!B:B,0),2),"")</f>
        <v/>
      </c>
    </row>
    <row r="233">
      <c r="A233" s="1" t="s">
        <v>659</v>
      </c>
      <c r="B233" s="1" t="s">
        <v>80</v>
      </c>
      <c r="C233" s="1" t="s">
        <v>22</v>
      </c>
      <c r="D233" s="2">
        <v>19060.0</v>
      </c>
      <c r="E233" s="1">
        <v>124.0</v>
      </c>
      <c r="F233" s="1" t="s">
        <v>660</v>
      </c>
      <c r="G233" s="2">
        <v>41721.0</v>
      </c>
      <c r="H233" s="1" t="s">
        <v>24</v>
      </c>
      <c r="I233" s="2">
        <v>41721.0</v>
      </c>
      <c r="J233" s="1" t="s">
        <v>25</v>
      </c>
      <c r="K233" s="1" t="s">
        <v>26</v>
      </c>
      <c r="L233" s="1">
        <v>65.0</v>
      </c>
      <c r="M233" s="1" t="s">
        <v>661</v>
      </c>
      <c r="N233" s="1">
        <v>33.0</v>
      </c>
      <c r="O233" s="1" t="s">
        <v>28</v>
      </c>
      <c r="P233" s="1">
        <v>2.43300316E8</v>
      </c>
      <c r="Q233" s="1" t="s">
        <v>40</v>
      </c>
      <c r="R233" s="1" t="s">
        <v>30</v>
      </c>
      <c r="S233">
        <f t="shared" si="1"/>
        <v>33065</v>
      </c>
      <c r="T233" t="str">
        <f t="array" ref="T233">iferror(index('Copie de Feuille tri Amandine'!B:C,MATCH(S233,'Copie de Feuille tri Amandine'!B:B,0),2),"")</f>
        <v/>
      </c>
    </row>
    <row r="234">
      <c r="A234" s="1" t="s">
        <v>662</v>
      </c>
      <c r="B234" s="1" t="s">
        <v>342</v>
      </c>
      <c r="C234" s="1" t="s">
        <v>22</v>
      </c>
      <c r="D234" s="2">
        <v>21821.0</v>
      </c>
      <c r="E234" s="1">
        <v>119.0</v>
      </c>
      <c r="F234" s="1" t="s">
        <v>109</v>
      </c>
      <c r="G234" s="2">
        <v>41721.0</v>
      </c>
      <c r="H234" s="1" t="s">
        <v>24</v>
      </c>
      <c r="I234" s="2">
        <v>41721.0</v>
      </c>
      <c r="J234" s="1" t="s">
        <v>25</v>
      </c>
      <c r="K234" s="1" t="s">
        <v>26</v>
      </c>
      <c r="L234" s="1">
        <v>80.0</v>
      </c>
      <c r="M234" s="1" t="s">
        <v>663</v>
      </c>
      <c r="N234" s="1">
        <v>33.0</v>
      </c>
      <c r="O234" s="1" t="s">
        <v>28</v>
      </c>
      <c r="P234" s="1">
        <v>2.43301264E8</v>
      </c>
      <c r="Q234" s="1" t="s">
        <v>55</v>
      </c>
      <c r="R234" s="1" t="s">
        <v>30</v>
      </c>
      <c r="S234">
        <f t="shared" si="1"/>
        <v>33080</v>
      </c>
      <c r="T234" t="str">
        <f t="array" ref="T234">iferror(index('Copie de Feuille tri Amandine'!B:C,MATCH(S234,'Copie de Feuille tri Amandine'!B:B,0),2),"")</f>
        <v/>
      </c>
    </row>
    <row r="235">
      <c r="A235" s="1" t="s">
        <v>664</v>
      </c>
      <c r="B235" s="1" t="s">
        <v>96</v>
      </c>
      <c r="C235" s="1" t="s">
        <v>22</v>
      </c>
      <c r="D235" s="2">
        <v>19106.0</v>
      </c>
      <c r="E235" s="1">
        <v>158.0</v>
      </c>
      <c r="F235" s="1" t="s">
        <v>274</v>
      </c>
      <c r="G235" s="2">
        <v>41721.0</v>
      </c>
      <c r="H235" s="1" t="s">
        <v>24</v>
      </c>
      <c r="I235" s="2">
        <v>41721.0</v>
      </c>
      <c r="J235" s="1" t="s">
        <v>25</v>
      </c>
      <c r="K235" s="1" t="s">
        <v>26</v>
      </c>
      <c r="L235" s="1">
        <v>136.0</v>
      </c>
      <c r="M235" s="1" t="s">
        <v>665</v>
      </c>
      <c r="N235" s="1">
        <v>33.0</v>
      </c>
      <c r="O235" s="1" t="s">
        <v>28</v>
      </c>
      <c r="P235" s="1">
        <v>2.00069599E8</v>
      </c>
      <c r="Q235" s="1" t="s">
        <v>60</v>
      </c>
      <c r="R235" s="1" t="s">
        <v>30</v>
      </c>
      <c r="S235">
        <f t="shared" si="1"/>
        <v>33136</v>
      </c>
      <c r="T235" t="str">
        <f t="array" ref="T235">iferror(index('Copie de Feuille tri Amandine'!B:C,MATCH(S235,'Copie de Feuille tri Amandine'!B:B,0),2),"")</f>
        <v/>
      </c>
    </row>
    <row r="236">
      <c r="A236" s="1" t="s">
        <v>666</v>
      </c>
      <c r="B236" s="1" t="s">
        <v>165</v>
      </c>
      <c r="C236" s="1" t="s">
        <v>22</v>
      </c>
      <c r="D236" s="2">
        <v>18298.0</v>
      </c>
      <c r="E236" s="1">
        <v>158.0</v>
      </c>
      <c r="F236" s="1" t="s">
        <v>274</v>
      </c>
      <c r="G236" s="2">
        <v>41721.0</v>
      </c>
      <c r="H236" s="1" t="s">
        <v>24</v>
      </c>
      <c r="I236" s="2">
        <v>41721.0</v>
      </c>
      <c r="J236" s="1" t="s">
        <v>25</v>
      </c>
      <c r="K236" s="1" t="s">
        <v>26</v>
      </c>
      <c r="L236" s="1">
        <v>183.0</v>
      </c>
      <c r="M236" s="1" t="s">
        <v>667</v>
      </c>
      <c r="N236" s="1">
        <v>33.0</v>
      </c>
      <c r="O236" s="1" t="s">
        <v>28</v>
      </c>
      <c r="P236" s="1">
        <v>2.43301223E8</v>
      </c>
      <c r="Q236" s="1" t="s">
        <v>163</v>
      </c>
      <c r="R236" s="1" t="s">
        <v>30</v>
      </c>
      <c r="S236">
        <f t="shared" si="1"/>
        <v>33183</v>
      </c>
      <c r="T236" t="str">
        <f t="array" ref="T236">iferror(index('Copie de Feuille tri Amandine'!B:C,MATCH(S236,'Copie de Feuille tri Amandine'!B:B,0),2),"")</f>
        <v/>
      </c>
    </row>
    <row r="237">
      <c r="A237" s="1" t="s">
        <v>668</v>
      </c>
      <c r="B237" s="1" t="s">
        <v>134</v>
      </c>
      <c r="C237" s="1" t="s">
        <v>22</v>
      </c>
      <c r="D237" s="2">
        <v>18506.0</v>
      </c>
      <c r="E237" s="1">
        <v>159.0</v>
      </c>
      <c r="F237" s="1" t="s">
        <v>130</v>
      </c>
      <c r="G237" s="2">
        <v>41721.0</v>
      </c>
      <c r="H237" s="1" t="s">
        <v>24</v>
      </c>
      <c r="I237" s="2">
        <v>41721.0</v>
      </c>
      <c r="J237" s="1" t="s">
        <v>25</v>
      </c>
      <c r="K237" s="1" t="s">
        <v>26</v>
      </c>
      <c r="L237" s="1">
        <v>188.0</v>
      </c>
      <c r="M237" s="1" t="s">
        <v>669</v>
      </c>
      <c r="N237" s="1">
        <v>33.0</v>
      </c>
      <c r="O237" s="1" t="s">
        <v>28</v>
      </c>
      <c r="P237" s="1">
        <v>2.00043982E8</v>
      </c>
      <c r="Q237" s="1" t="s">
        <v>124</v>
      </c>
      <c r="R237" s="1" t="s">
        <v>30</v>
      </c>
      <c r="S237">
        <f t="shared" si="1"/>
        <v>33188</v>
      </c>
      <c r="T237" t="str">
        <f t="array" ref="T237">iferror(index('Copie de Feuille tri Amandine'!B:C,MATCH(S237,'Copie de Feuille tri Amandine'!B:B,0),2),"")</f>
        <v/>
      </c>
    </row>
    <row r="238">
      <c r="A238" s="1" t="s">
        <v>670</v>
      </c>
      <c r="B238" s="1" t="s">
        <v>484</v>
      </c>
      <c r="C238" s="1" t="s">
        <v>22</v>
      </c>
      <c r="D238" s="2">
        <v>26130.0</v>
      </c>
      <c r="E238" s="1">
        <v>109.0</v>
      </c>
      <c r="F238" s="1" t="s">
        <v>671</v>
      </c>
      <c r="G238" s="2">
        <v>41721.0</v>
      </c>
      <c r="H238" s="1" t="s">
        <v>24</v>
      </c>
      <c r="I238" s="2">
        <v>41721.0</v>
      </c>
      <c r="J238" s="1" t="s">
        <v>25</v>
      </c>
      <c r="K238" s="1" t="s">
        <v>26</v>
      </c>
      <c r="L238" s="1">
        <v>215.0</v>
      </c>
      <c r="M238" s="1" t="s">
        <v>672</v>
      </c>
      <c r="N238" s="1">
        <v>33.0</v>
      </c>
      <c r="O238" s="1" t="s">
        <v>28</v>
      </c>
      <c r="P238" s="1">
        <v>2.00069599E8</v>
      </c>
      <c r="Q238" s="1" t="s">
        <v>60</v>
      </c>
      <c r="R238" s="1" t="s">
        <v>30</v>
      </c>
      <c r="S238">
        <f t="shared" si="1"/>
        <v>33215</v>
      </c>
      <c r="T238" t="str">
        <f t="array" ref="T238">iferror(index('Copie de Feuille tri Amandine'!B:C,MATCH(S238,'Copie de Feuille tri Amandine'!B:B,0),2),"")</f>
        <v/>
      </c>
    </row>
    <row r="239">
      <c r="A239" s="1" t="s">
        <v>673</v>
      </c>
      <c r="B239" s="1" t="s">
        <v>189</v>
      </c>
      <c r="C239" s="1" t="s">
        <v>22</v>
      </c>
      <c r="D239" s="2">
        <v>18267.0</v>
      </c>
      <c r="E239" s="1">
        <v>164.0</v>
      </c>
      <c r="F239" s="1" t="s">
        <v>183</v>
      </c>
      <c r="G239" s="2">
        <v>41721.0</v>
      </c>
      <c r="H239" s="1" t="s">
        <v>24</v>
      </c>
      <c r="I239" s="2">
        <v>41721.0</v>
      </c>
      <c r="J239" s="1" t="s">
        <v>25</v>
      </c>
      <c r="K239" s="1" t="s">
        <v>26</v>
      </c>
      <c r="L239" s="1">
        <v>161.0</v>
      </c>
      <c r="M239" s="1" t="s">
        <v>674</v>
      </c>
      <c r="N239" s="1">
        <v>33.0</v>
      </c>
      <c r="O239" s="1" t="s">
        <v>28</v>
      </c>
      <c r="P239" s="1">
        <v>2.43300811E8</v>
      </c>
      <c r="Q239" s="1" t="s">
        <v>201</v>
      </c>
      <c r="R239" s="1" t="s">
        <v>30</v>
      </c>
      <c r="S239">
        <f t="shared" si="1"/>
        <v>33161</v>
      </c>
      <c r="T239" t="str">
        <f t="array" ref="T239">iferror(index('Copie de Feuille tri Amandine'!B:C,MATCH(S239,'Copie de Feuille tri Amandine'!B:B,0),2),"")</f>
        <v/>
      </c>
    </row>
    <row r="240">
      <c r="A240" s="1" t="s">
        <v>675</v>
      </c>
      <c r="B240" s="1" t="s">
        <v>175</v>
      </c>
      <c r="C240" s="1" t="s">
        <v>22</v>
      </c>
      <c r="D240" s="2">
        <v>19005.0</v>
      </c>
      <c r="E240" s="1">
        <v>161.0</v>
      </c>
      <c r="F240" s="1" t="s">
        <v>72</v>
      </c>
      <c r="G240" s="2">
        <v>41721.0</v>
      </c>
      <c r="H240" s="1" t="s">
        <v>24</v>
      </c>
      <c r="I240" s="2">
        <v>41721.0</v>
      </c>
      <c r="J240" s="1" t="s">
        <v>25</v>
      </c>
      <c r="K240" s="1" t="s">
        <v>26</v>
      </c>
      <c r="L240" s="1">
        <v>254.0</v>
      </c>
      <c r="M240" s="1" t="s">
        <v>676</v>
      </c>
      <c r="N240" s="1">
        <v>33.0</v>
      </c>
      <c r="O240" s="1" t="s">
        <v>28</v>
      </c>
      <c r="P240" s="1">
        <v>2.00044394E8</v>
      </c>
      <c r="Q240" s="1" t="s">
        <v>35</v>
      </c>
      <c r="R240" s="1" t="s">
        <v>30</v>
      </c>
      <c r="S240">
        <f t="shared" si="1"/>
        <v>33254</v>
      </c>
      <c r="T240" t="str">
        <f t="array" ref="T240">iferror(index('Copie de Feuille tri Amandine'!B:C,MATCH(S240,'Copie de Feuille tri Amandine'!B:B,0),2),"")</f>
        <v/>
      </c>
    </row>
    <row r="241">
      <c r="A241" s="1" t="s">
        <v>677</v>
      </c>
      <c r="B241" s="1" t="s">
        <v>84</v>
      </c>
      <c r="C241" s="1" t="s">
        <v>22</v>
      </c>
      <c r="D241" s="2">
        <v>26182.0</v>
      </c>
      <c r="E241" s="1">
        <v>144.0</v>
      </c>
      <c r="F241" s="1" t="s">
        <v>678</v>
      </c>
      <c r="G241" s="2">
        <v>43291.0</v>
      </c>
      <c r="H241" s="1" t="s">
        <v>24</v>
      </c>
      <c r="I241" s="2">
        <v>43444.0</v>
      </c>
      <c r="J241" s="1" t="s">
        <v>25</v>
      </c>
      <c r="K241" s="1" t="s">
        <v>26</v>
      </c>
      <c r="L241" s="1">
        <v>256.0</v>
      </c>
      <c r="M241" s="1" t="s">
        <v>679</v>
      </c>
      <c r="N241" s="1">
        <v>33.0</v>
      </c>
      <c r="O241" s="1" t="s">
        <v>28</v>
      </c>
      <c r="P241" s="1">
        <v>2.43301447E8</v>
      </c>
      <c r="Q241" s="1" t="s">
        <v>45</v>
      </c>
      <c r="R241" s="1" t="s">
        <v>30</v>
      </c>
      <c r="S241">
        <f t="shared" si="1"/>
        <v>33256</v>
      </c>
      <c r="T241" t="str">
        <f t="array" ref="T241">iferror(index('Copie de Feuille tri Amandine'!B:C,MATCH(S241,'Copie de Feuille tri Amandine'!B:B,0),2),"")</f>
        <v/>
      </c>
    </row>
    <row r="242">
      <c r="A242" s="1" t="s">
        <v>680</v>
      </c>
      <c r="B242" s="1" t="s">
        <v>520</v>
      </c>
      <c r="C242" s="1" t="s">
        <v>22</v>
      </c>
      <c r="D242" s="2">
        <v>19895.0</v>
      </c>
      <c r="E242" s="1">
        <v>105.0</v>
      </c>
      <c r="F242" s="1" t="s">
        <v>23</v>
      </c>
      <c r="G242" s="2">
        <v>42736.0</v>
      </c>
      <c r="H242" s="1" t="s">
        <v>24</v>
      </c>
      <c r="I242" s="2">
        <v>42795.0</v>
      </c>
      <c r="J242" s="1" t="s">
        <v>25</v>
      </c>
      <c r="K242" s="1" t="s">
        <v>26</v>
      </c>
      <c r="L242" s="1">
        <v>268.0</v>
      </c>
      <c r="M242" s="1" t="s">
        <v>681</v>
      </c>
      <c r="N242" s="1">
        <v>33.0</v>
      </c>
      <c r="O242" s="1" t="s">
        <v>28</v>
      </c>
      <c r="P242" s="1">
        <v>2.43301447E8</v>
      </c>
      <c r="Q242" s="1" t="s">
        <v>45</v>
      </c>
      <c r="R242" s="1" t="s">
        <v>30</v>
      </c>
      <c r="S242">
        <f t="shared" si="1"/>
        <v>33268</v>
      </c>
      <c r="T242">
        <f t="array" ref="T242">iferror(index('Copie de Feuille tri Amandine'!B:C,MATCH(S242,'Copie de Feuille tri Amandine'!B:B,0),2),"")</f>
        <v>2965</v>
      </c>
    </row>
    <row r="243">
      <c r="A243" s="1" t="s">
        <v>682</v>
      </c>
      <c r="B243" s="1" t="s">
        <v>189</v>
      </c>
      <c r="C243" s="1" t="s">
        <v>22</v>
      </c>
      <c r="D243" s="2">
        <v>17521.0</v>
      </c>
      <c r="E243" s="1">
        <v>163.0</v>
      </c>
      <c r="F243" s="1" t="s">
        <v>58</v>
      </c>
      <c r="G243" s="2">
        <v>41721.0</v>
      </c>
      <c r="H243" s="1" t="s">
        <v>24</v>
      </c>
      <c r="I243" s="2">
        <v>41721.0</v>
      </c>
      <c r="J243" s="1" t="s">
        <v>25</v>
      </c>
      <c r="K243" s="1" t="s">
        <v>26</v>
      </c>
      <c r="L243" s="1">
        <v>319.0</v>
      </c>
      <c r="M243" s="1" t="s">
        <v>683</v>
      </c>
      <c r="N243" s="1">
        <v>33.0</v>
      </c>
      <c r="O243" s="1" t="s">
        <v>28</v>
      </c>
      <c r="P243" s="1">
        <v>2.43301454E8</v>
      </c>
      <c r="Q243" s="1" t="s">
        <v>94</v>
      </c>
      <c r="R243" s="1" t="s">
        <v>30</v>
      </c>
      <c r="S243">
        <f t="shared" si="1"/>
        <v>33319</v>
      </c>
      <c r="T243">
        <f t="array" ref="T243">iferror(index('Copie de Feuille tri Amandine'!B:C,MATCH(S243,'Copie de Feuille tri Amandine'!B:B,0),2),"")</f>
        <v>449</v>
      </c>
    </row>
    <row r="244">
      <c r="A244" s="1" t="s">
        <v>684</v>
      </c>
      <c r="B244" s="1" t="s">
        <v>232</v>
      </c>
      <c r="C244" s="1" t="s">
        <v>22</v>
      </c>
      <c r="D244" s="2">
        <v>15405.0</v>
      </c>
      <c r="E244" s="1">
        <v>158.0</v>
      </c>
      <c r="F244" s="1" t="s">
        <v>274</v>
      </c>
      <c r="G244" s="2">
        <v>41721.0</v>
      </c>
      <c r="H244" s="1" t="s">
        <v>24</v>
      </c>
      <c r="I244" s="2">
        <v>41721.0</v>
      </c>
      <c r="J244" s="1" t="s">
        <v>25</v>
      </c>
      <c r="K244" s="1" t="s">
        <v>26</v>
      </c>
      <c r="L244" s="1">
        <v>353.0</v>
      </c>
      <c r="M244" s="1" t="s">
        <v>685</v>
      </c>
      <c r="N244" s="1">
        <v>33.0</v>
      </c>
      <c r="O244" s="1" t="s">
        <v>28</v>
      </c>
      <c r="P244" s="1">
        <v>2.00069599E8</v>
      </c>
      <c r="Q244" s="1" t="s">
        <v>60</v>
      </c>
      <c r="R244" s="1" t="s">
        <v>30</v>
      </c>
      <c r="S244">
        <f t="shared" si="1"/>
        <v>33353</v>
      </c>
      <c r="T244">
        <f t="array" ref="T244">iferror(index('Copie de Feuille tri Amandine'!B:C,MATCH(S244,'Copie de Feuille tri Amandine'!B:B,0),2),"")</f>
        <v>192</v>
      </c>
    </row>
    <row r="245">
      <c r="A245" s="1" t="s">
        <v>686</v>
      </c>
      <c r="B245" s="1" t="s">
        <v>687</v>
      </c>
      <c r="C245" s="1" t="s">
        <v>22</v>
      </c>
      <c r="D245" s="2">
        <v>27326.0</v>
      </c>
      <c r="E245" s="1">
        <v>119.0</v>
      </c>
      <c r="F245" s="1" t="s">
        <v>109</v>
      </c>
      <c r="G245" s="2">
        <v>41721.0</v>
      </c>
      <c r="H245" s="1" t="s">
        <v>24</v>
      </c>
      <c r="I245" s="2">
        <v>41721.0</v>
      </c>
      <c r="J245" s="1" t="s">
        <v>25</v>
      </c>
      <c r="K245" s="1" t="s">
        <v>26</v>
      </c>
      <c r="L245" s="1">
        <v>360.0</v>
      </c>
      <c r="M245" s="1" t="s">
        <v>688</v>
      </c>
      <c r="N245" s="1">
        <v>33.0</v>
      </c>
      <c r="O245" s="1" t="s">
        <v>28</v>
      </c>
      <c r="P245" s="1">
        <v>2.43301371E8</v>
      </c>
      <c r="Q245" s="1" t="s">
        <v>271</v>
      </c>
      <c r="R245" s="1" t="s">
        <v>30</v>
      </c>
      <c r="S245">
        <f t="shared" si="1"/>
        <v>33360</v>
      </c>
      <c r="T245" t="str">
        <f t="array" ref="T245">iferror(index('Copie de Feuille tri Amandine'!B:C,MATCH(S245,'Copie de Feuille tri Amandine'!B:B,0),2),"")</f>
        <v/>
      </c>
    </row>
    <row r="246">
      <c r="A246" s="1" t="s">
        <v>689</v>
      </c>
      <c r="B246" s="1" t="s">
        <v>286</v>
      </c>
      <c r="C246" s="1" t="s">
        <v>22</v>
      </c>
      <c r="D246" s="2">
        <v>18631.0</v>
      </c>
      <c r="E246" s="1">
        <v>120.0</v>
      </c>
      <c r="F246" s="1" t="s">
        <v>241</v>
      </c>
      <c r="G246" s="2">
        <v>41721.0</v>
      </c>
      <c r="H246" s="1" t="s">
        <v>24</v>
      </c>
      <c r="I246" s="2">
        <v>41721.0</v>
      </c>
      <c r="J246" s="1" t="s">
        <v>25</v>
      </c>
      <c r="K246" s="1" t="s">
        <v>26</v>
      </c>
      <c r="L246" s="1">
        <v>384.0</v>
      </c>
      <c r="M246" s="1" t="s">
        <v>690</v>
      </c>
      <c r="N246" s="1">
        <v>33.0</v>
      </c>
      <c r="O246" s="1" t="s">
        <v>28</v>
      </c>
      <c r="P246" s="1">
        <v>2.00035533E8</v>
      </c>
      <c r="Q246" s="1" t="s">
        <v>146</v>
      </c>
      <c r="R246" s="1" t="s">
        <v>30</v>
      </c>
      <c r="S246">
        <f t="shared" si="1"/>
        <v>33384</v>
      </c>
      <c r="T246">
        <f t="array" ref="T246">iferror(index('Copie de Feuille tri Amandine'!B:C,MATCH(S246,'Copie de Feuille tri Amandine'!B:B,0),2),"")</f>
        <v>442</v>
      </c>
    </row>
    <row r="247">
      <c r="A247" s="1" t="s">
        <v>691</v>
      </c>
      <c r="B247" s="1" t="s">
        <v>692</v>
      </c>
      <c r="C247" s="1" t="s">
        <v>22</v>
      </c>
      <c r="D247" s="2">
        <v>15438.0</v>
      </c>
      <c r="E247" s="1">
        <v>158.0</v>
      </c>
      <c r="F247" s="1" t="s">
        <v>274</v>
      </c>
      <c r="G247" s="2">
        <v>41721.0</v>
      </c>
      <c r="H247" s="1" t="s">
        <v>24</v>
      </c>
      <c r="I247" s="2">
        <v>41721.0</v>
      </c>
      <c r="J247" s="1" t="s">
        <v>25</v>
      </c>
      <c r="K247" s="1" t="s">
        <v>26</v>
      </c>
      <c r="L247" s="1">
        <v>390.0</v>
      </c>
      <c r="M247" s="1" t="s">
        <v>693</v>
      </c>
      <c r="N247" s="1">
        <v>33.0</v>
      </c>
      <c r="O247" s="1" t="s">
        <v>28</v>
      </c>
      <c r="P247" s="1">
        <v>2.43301454E8</v>
      </c>
      <c r="Q247" s="1" t="s">
        <v>94</v>
      </c>
      <c r="R247" s="1" t="s">
        <v>30</v>
      </c>
      <c r="S247">
        <f t="shared" si="1"/>
        <v>33390</v>
      </c>
      <c r="T247">
        <f t="array" ref="T247">iferror(index('Copie de Feuille tri Amandine'!B:C,MATCH(S247,'Copie de Feuille tri Amandine'!B:B,0),2),"")</f>
        <v>422</v>
      </c>
    </row>
    <row r="248">
      <c r="A248" s="1" t="s">
        <v>694</v>
      </c>
      <c r="B248" s="1" t="s">
        <v>695</v>
      </c>
      <c r="C248" s="1" t="s">
        <v>22</v>
      </c>
      <c r="D248" s="2">
        <v>15295.0</v>
      </c>
      <c r="E248" s="1">
        <v>158.0</v>
      </c>
      <c r="F248" s="1" t="s">
        <v>274</v>
      </c>
      <c r="G248" s="2">
        <v>41721.0</v>
      </c>
      <c r="H248" s="1" t="s">
        <v>24</v>
      </c>
      <c r="I248" s="2">
        <v>41721.0</v>
      </c>
      <c r="J248" s="1" t="s">
        <v>25</v>
      </c>
      <c r="K248" s="1" t="s">
        <v>26</v>
      </c>
      <c r="L248" s="1">
        <v>404.0</v>
      </c>
      <c r="M248" s="1" t="s">
        <v>696</v>
      </c>
      <c r="N248" s="1">
        <v>33.0</v>
      </c>
      <c r="O248" s="1" t="s">
        <v>28</v>
      </c>
      <c r="P248" s="1">
        <v>2.00069599E8</v>
      </c>
      <c r="Q248" s="1" t="s">
        <v>60</v>
      </c>
      <c r="R248" s="1" t="s">
        <v>30</v>
      </c>
      <c r="S248">
        <f t="shared" si="1"/>
        <v>33404</v>
      </c>
      <c r="T248">
        <f t="array" ref="T248">iferror(index('Copie de Feuille tri Amandine'!B:C,MATCH(S248,'Copie de Feuille tri Amandine'!B:B,0),2),"")</f>
        <v>186</v>
      </c>
    </row>
    <row r="249">
      <c r="A249" s="1" t="s">
        <v>147</v>
      </c>
      <c r="B249" s="1" t="s">
        <v>697</v>
      </c>
      <c r="C249" s="1" t="s">
        <v>53</v>
      </c>
      <c r="D249" s="2">
        <v>21101.0</v>
      </c>
      <c r="E249" s="1">
        <v>101.0</v>
      </c>
      <c r="F249" s="1" t="s">
        <v>33</v>
      </c>
      <c r="G249" s="2">
        <v>41721.0</v>
      </c>
      <c r="H249" s="1" t="s">
        <v>24</v>
      </c>
      <c r="I249" s="2">
        <v>41721.0</v>
      </c>
      <c r="J249" s="1" t="s">
        <v>25</v>
      </c>
      <c r="K249" s="1" t="s">
        <v>26</v>
      </c>
      <c r="L249" s="1">
        <v>446.0</v>
      </c>
      <c r="M249" s="1" t="s">
        <v>698</v>
      </c>
      <c r="N249" s="1">
        <v>33.0</v>
      </c>
      <c r="O249" s="1" t="s">
        <v>28</v>
      </c>
      <c r="P249" s="1">
        <v>2.00069599E8</v>
      </c>
      <c r="Q249" s="1" t="s">
        <v>60</v>
      </c>
      <c r="R249" s="1" t="s">
        <v>30</v>
      </c>
      <c r="S249">
        <f t="shared" si="1"/>
        <v>33446</v>
      </c>
      <c r="T249">
        <f t="array" ref="T249">iferror(index('Copie de Feuille tri Amandine'!B:C,MATCH(S249,'Copie de Feuille tri Amandine'!B:B,0),2),"")</f>
        <v>183</v>
      </c>
    </row>
    <row r="250">
      <c r="A250" s="1" t="s">
        <v>699</v>
      </c>
      <c r="B250" s="1" t="s">
        <v>687</v>
      </c>
      <c r="C250" s="1" t="s">
        <v>22</v>
      </c>
      <c r="D250" s="2">
        <v>26265.0</v>
      </c>
      <c r="E250" s="1">
        <v>149.0</v>
      </c>
      <c r="F250" s="1" t="s">
        <v>257</v>
      </c>
      <c r="G250" s="2">
        <v>41721.0</v>
      </c>
      <c r="H250" s="1" t="s">
        <v>24</v>
      </c>
      <c r="I250" s="2">
        <v>41721.0</v>
      </c>
      <c r="J250" s="1" t="s">
        <v>25</v>
      </c>
      <c r="K250" s="1" t="s">
        <v>26</v>
      </c>
      <c r="L250" s="1">
        <v>510.0</v>
      </c>
      <c r="M250" s="1" t="s">
        <v>700</v>
      </c>
      <c r="N250" s="1">
        <v>33.0</v>
      </c>
      <c r="O250" s="1" t="s">
        <v>28</v>
      </c>
      <c r="P250" s="1">
        <v>2.00043974E8</v>
      </c>
      <c r="Q250" s="1" t="s">
        <v>78</v>
      </c>
      <c r="R250" s="1" t="s">
        <v>30</v>
      </c>
      <c r="S250">
        <f t="shared" si="1"/>
        <v>33510</v>
      </c>
      <c r="T250">
        <f t="array" ref="T250">iferror(index('Copie de Feuille tri Amandine'!B:C,MATCH(S250,'Copie de Feuille tri Amandine'!B:B,0),2),"")</f>
        <v>206</v>
      </c>
    </row>
    <row r="251">
      <c r="A251" s="1" t="s">
        <v>701</v>
      </c>
      <c r="B251" s="1" t="s">
        <v>702</v>
      </c>
      <c r="C251" s="1" t="s">
        <v>22</v>
      </c>
      <c r="D251" s="2">
        <v>16972.0</v>
      </c>
      <c r="E251" s="1">
        <v>124.0</v>
      </c>
      <c r="F251" s="1" t="s">
        <v>660</v>
      </c>
      <c r="G251" s="2">
        <v>41721.0</v>
      </c>
      <c r="H251" s="1" t="s">
        <v>24</v>
      </c>
      <c r="I251" s="2">
        <v>41728.0</v>
      </c>
      <c r="J251" s="1" t="s">
        <v>25</v>
      </c>
      <c r="K251" s="1" t="s">
        <v>26</v>
      </c>
      <c r="L251" s="1">
        <v>517.0</v>
      </c>
      <c r="M251" s="1" t="s">
        <v>703</v>
      </c>
      <c r="N251" s="1">
        <v>33.0</v>
      </c>
      <c r="O251" s="1" t="s">
        <v>28</v>
      </c>
      <c r="P251" s="1">
        <v>2.43301447E8</v>
      </c>
      <c r="Q251" s="1" t="s">
        <v>45</v>
      </c>
      <c r="R251" s="1" t="s">
        <v>30</v>
      </c>
      <c r="S251">
        <f t="shared" si="1"/>
        <v>33517</v>
      </c>
      <c r="T251">
        <f t="array" ref="T251">iferror(index('Copie de Feuille tri Amandine'!B:C,MATCH(S251,'Copie de Feuille tri Amandine'!B:B,0),2),"")</f>
        <v>1629</v>
      </c>
    </row>
    <row r="252">
      <c r="A252" s="1" t="s">
        <v>704</v>
      </c>
      <c r="B252" s="1" t="s">
        <v>705</v>
      </c>
      <c r="C252" s="1" t="s">
        <v>53</v>
      </c>
      <c r="D252" s="2">
        <v>21952.0</v>
      </c>
      <c r="E252" s="1">
        <v>147.0</v>
      </c>
      <c r="F252" s="1" t="s">
        <v>38</v>
      </c>
      <c r="G252" s="2">
        <v>41721.0</v>
      </c>
      <c r="H252" s="1" t="s">
        <v>24</v>
      </c>
      <c r="I252" s="2">
        <v>41721.0</v>
      </c>
      <c r="J252" s="1" t="s">
        <v>25</v>
      </c>
      <c r="K252" s="1" t="s">
        <v>26</v>
      </c>
      <c r="L252" s="1">
        <v>543.0</v>
      </c>
      <c r="M252" s="1" t="s">
        <v>706</v>
      </c>
      <c r="N252" s="1">
        <v>33.0</v>
      </c>
      <c r="O252" s="1" t="s">
        <v>28</v>
      </c>
      <c r="P252" s="1">
        <v>2.00043974E8</v>
      </c>
      <c r="Q252" s="1" t="s">
        <v>78</v>
      </c>
      <c r="R252" s="1" t="s">
        <v>30</v>
      </c>
      <c r="S252">
        <f t="shared" si="1"/>
        <v>33543</v>
      </c>
      <c r="T252">
        <f t="array" ref="T252">iferror(index('Copie de Feuille tri Amandine'!B:C,MATCH(S252,'Copie de Feuille tri Amandine'!B:B,0),2),"")</f>
        <v>1031</v>
      </c>
    </row>
    <row r="253">
      <c r="A253" s="1" t="s">
        <v>707</v>
      </c>
      <c r="B253" s="1" t="s">
        <v>42</v>
      </c>
      <c r="C253" s="1" t="s">
        <v>22</v>
      </c>
      <c r="D253" s="2">
        <v>21950.0</v>
      </c>
      <c r="E253" s="1">
        <v>107.0</v>
      </c>
      <c r="F253" s="1" t="s">
        <v>708</v>
      </c>
      <c r="G253" s="2">
        <v>41721.0</v>
      </c>
      <c r="H253" s="1" t="s">
        <v>24</v>
      </c>
      <c r="I253" s="2">
        <v>41721.0</v>
      </c>
      <c r="J253" s="1" t="s">
        <v>25</v>
      </c>
      <c r="K253" s="1" t="s">
        <v>26</v>
      </c>
      <c r="L253" s="1">
        <v>70.0</v>
      </c>
      <c r="M253" s="1" t="s">
        <v>709</v>
      </c>
      <c r="N253" s="1">
        <v>33.0</v>
      </c>
      <c r="O253" s="1" t="s">
        <v>28</v>
      </c>
      <c r="P253" s="1">
        <v>2.43301389E8</v>
      </c>
      <c r="Q253" s="1" t="s">
        <v>220</v>
      </c>
      <c r="R253" s="1" t="s">
        <v>30</v>
      </c>
      <c r="S253">
        <f t="shared" si="1"/>
        <v>33070</v>
      </c>
      <c r="T253" t="str">
        <f t="array" ref="T253">iferror(index('Copie de Feuille tri Amandine'!B:C,MATCH(S253,'Copie de Feuille tri Amandine'!B:B,0),2),"")</f>
        <v/>
      </c>
    </row>
    <row r="254">
      <c r="A254" s="1" t="s">
        <v>710</v>
      </c>
      <c r="B254" s="1" t="s">
        <v>711</v>
      </c>
      <c r="C254" s="1" t="s">
        <v>22</v>
      </c>
      <c r="D254" s="2">
        <v>22299.0</v>
      </c>
      <c r="E254" s="1">
        <v>117.0</v>
      </c>
      <c r="F254" s="1" t="s">
        <v>712</v>
      </c>
      <c r="G254" s="2">
        <v>41721.0</v>
      </c>
      <c r="H254" s="1" t="s">
        <v>24</v>
      </c>
      <c r="I254" s="2">
        <v>41721.0</v>
      </c>
      <c r="J254" s="1" t="s">
        <v>25</v>
      </c>
      <c r="K254" s="1" t="s">
        <v>26</v>
      </c>
      <c r="L254" s="1">
        <v>79.0</v>
      </c>
      <c r="M254" s="1" t="s">
        <v>713</v>
      </c>
      <c r="N254" s="1">
        <v>33.0</v>
      </c>
      <c r="O254" s="1" t="s">
        <v>28</v>
      </c>
      <c r="P254" s="1">
        <v>2.00070092E8</v>
      </c>
      <c r="Q254" s="1" t="s">
        <v>50</v>
      </c>
      <c r="R254" s="1" t="s">
        <v>30</v>
      </c>
      <c r="S254">
        <f t="shared" si="1"/>
        <v>33079</v>
      </c>
      <c r="T254" t="str">
        <f t="array" ref="T254">iferror(index('Copie de Feuille tri Amandine'!B:C,MATCH(S254,'Copie de Feuille tri Amandine'!B:B,0),2),"")</f>
        <v/>
      </c>
    </row>
    <row r="255">
      <c r="A255" s="1" t="s">
        <v>714</v>
      </c>
      <c r="B255" s="1" t="s">
        <v>100</v>
      </c>
      <c r="C255" s="1" t="s">
        <v>22</v>
      </c>
      <c r="D255" s="2">
        <v>15766.0</v>
      </c>
      <c r="E255" s="1">
        <v>158.0</v>
      </c>
      <c r="F255" s="1" t="s">
        <v>274</v>
      </c>
      <c r="G255" s="2">
        <v>41721.0</v>
      </c>
      <c r="H255" s="1" t="s">
        <v>24</v>
      </c>
      <c r="I255" s="2">
        <v>41721.0</v>
      </c>
      <c r="J255" s="1" t="s">
        <v>25</v>
      </c>
      <c r="K255" s="1" t="s">
        <v>26</v>
      </c>
      <c r="L255" s="1">
        <v>94.0</v>
      </c>
      <c r="M255" s="1" t="s">
        <v>715</v>
      </c>
      <c r="N255" s="1">
        <v>33.0</v>
      </c>
      <c r="O255" s="1" t="s">
        <v>28</v>
      </c>
      <c r="P255" s="1">
        <v>2.43301371E8</v>
      </c>
      <c r="Q255" s="1" t="s">
        <v>271</v>
      </c>
      <c r="R255" s="1" t="s">
        <v>30</v>
      </c>
      <c r="S255">
        <f t="shared" si="1"/>
        <v>33094</v>
      </c>
      <c r="T255" t="str">
        <f t="array" ref="T255">iferror(index('Copie de Feuille tri Amandine'!B:C,MATCH(S255,'Copie de Feuille tri Amandine'!B:B,0),2),"")</f>
        <v/>
      </c>
    </row>
    <row r="256">
      <c r="A256" s="1" t="s">
        <v>716</v>
      </c>
      <c r="B256" s="1" t="s">
        <v>443</v>
      </c>
      <c r="C256" s="1" t="s">
        <v>53</v>
      </c>
      <c r="D256" s="2">
        <v>16805.0</v>
      </c>
      <c r="E256" s="1">
        <v>163.0</v>
      </c>
      <c r="F256" s="1" t="s">
        <v>58</v>
      </c>
      <c r="G256" s="2">
        <v>41721.0</v>
      </c>
      <c r="H256" s="1" t="s">
        <v>24</v>
      </c>
      <c r="I256" s="2">
        <v>41929.0</v>
      </c>
      <c r="J256" s="1" t="s">
        <v>25</v>
      </c>
      <c r="K256" s="1" t="s">
        <v>26</v>
      </c>
      <c r="L256" s="1">
        <v>121.0</v>
      </c>
      <c r="M256" s="1" t="s">
        <v>717</v>
      </c>
      <c r="N256" s="1">
        <v>33.0</v>
      </c>
      <c r="O256" s="1" t="s">
        <v>28</v>
      </c>
      <c r="P256" s="1">
        <v>2.00069599E8</v>
      </c>
      <c r="Q256" s="1" t="s">
        <v>60</v>
      </c>
      <c r="R256" s="1" t="s">
        <v>30</v>
      </c>
      <c r="S256">
        <f t="shared" si="1"/>
        <v>33121</v>
      </c>
      <c r="T256" t="str">
        <f t="array" ref="T256">iferror(index('Copie de Feuille tri Amandine'!B:C,MATCH(S256,'Copie de Feuille tri Amandine'!B:B,0),2),"")</f>
        <v/>
      </c>
    </row>
    <row r="257">
      <c r="A257" s="1" t="s">
        <v>718</v>
      </c>
      <c r="B257" s="1" t="s">
        <v>182</v>
      </c>
      <c r="C257" s="1" t="s">
        <v>22</v>
      </c>
      <c r="D257" s="2">
        <v>19433.0</v>
      </c>
      <c r="E257" s="1">
        <v>163.0</v>
      </c>
      <c r="F257" s="1" t="s">
        <v>58</v>
      </c>
      <c r="G257" s="2">
        <v>41721.0</v>
      </c>
      <c r="H257" s="1" t="s">
        <v>24</v>
      </c>
      <c r="I257" s="2">
        <v>41721.0</v>
      </c>
      <c r="J257" s="1" t="s">
        <v>25</v>
      </c>
      <c r="K257" s="1" t="s">
        <v>26</v>
      </c>
      <c r="L257" s="1">
        <v>140.0</v>
      </c>
      <c r="M257" s="1" t="s">
        <v>719</v>
      </c>
      <c r="N257" s="1">
        <v>33.0</v>
      </c>
      <c r="O257" s="1" t="s">
        <v>28</v>
      </c>
      <c r="P257" s="1">
        <v>2.43301215E8</v>
      </c>
      <c r="Q257" s="1" t="s">
        <v>136</v>
      </c>
      <c r="R257" s="1" t="s">
        <v>30</v>
      </c>
      <c r="S257">
        <f t="shared" si="1"/>
        <v>33140</v>
      </c>
      <c r="T257" t="str">
        <f t="array" ref="T257">iferror(index('Copie de Feuille tri Amandine'!B:C,MATCH(S257,'Copie de Feuille tri Amandine'!B:B,0),2),"")</f>
        <v/>
      </c>
    </row>
    <row r="258">
      <c r="A258" s="1" t="s">
        <v>720</v>
      </c>
      <c r="B258" s="1" t="s">
        <v>302</v>
      </c>
      <c r="C258" s="1" t="s">
        <v>22</v>
      </c>
      <c r="D258" s="2">
        <v>19638.0</v>
      </c>
      <c r="E258" s="1">
        <v>161.0</v>
      </c>
      <c r="F258" s="1" t="s">
        <v>72</v>
      </c>
      <c r="G258" s="2">
        <v>41728.0</v>
      </c>
      <c r="H258" s="1" t="s">
        <v>24</v>
      </c>
      <c r="I258" s="2">
        <v>41728.0</v>
      </c>
      <c r="J258" s="1" t="s">
        <v>25</v>
      </c>
      <c r="K258" s="1" t="s">
        <v>26</v>
      </c>
      <c r="L258" s="1">
        <v>202.0</v>
      </c>
      <c r="M258" s="1" t="s">
        <v>721</v>
      </c>
      <c r="N258" s="1">
        <v>33.0</v>
      </c>
      <c r="O258" s="1" t="s">
        <v>28</v>
      </c>
      <c r="P258" s="1">
        <v>2.00043974E8</v>
      </c>
      <c r="Q258" s="1" t="s">
        <v>78</v>
      </c>
      <c r="R258" s="1" t="s">
        <v>30</v>
      </c>
      <c r="S258">
        <f t="shared" si="1"/>
        <v>33202</v>
      </c>
      <c r="T258" t="str">
        <f t="array" ref="T258">iferror(index('Copie de Feuille tri Amandine'!B:C,MATCH(S258,'Copie de Feuille tri Amandine'!B:B,0),2),"")</f>
        <v/>
      </c>
    </row>
    <row r="259">
      <c r="A259" s="1" t="s">
        <v>722</v>
      </c>
      <c r="B259" s="1" t="s">
        <v>205</v>
      </c>
      <c r="C259" s="1" t="s">
        <v>22</v>
      </c>
      <c r="D259" s="2">
        <v>22670.0</v>
      </c>
      <c r="E259" s="1">
        <v>105.0</v>
      </c>
      <c r="F259" s="1" t="s">
        <v>23</v>
      </c>
      <c r="G259" s="2">
        <v>41728.0</v>
      </c>
      <c r="H259" s="1" t="s">
        <v>24</v>
      </c>
      <c r="I259" s="2">
        <v>41728.0</v>
      </c>
      <c r="J259" s="1" t="s">
        <v>25</v>
      </c>
      <c r="K259" s="1" t="s">
        <v>26</v>
      </c>
      <c r="L259" s="1">
        <v>203.0</v>
      </c>
      <c r="M259" s="1" t="s">
        <v>723</v>
      </c>
      <c r="N259" s="1">
        <v>33.0</v>
      </c>
      <c r="O259" s="1" t="s">
        <v>28</v>
      </c>
      <c r="P259" s="1">
        <v>2.0007072E8</v>
      </c>
      <c r="Q259" s="1" t="s">
        <v>111</v>
      </c>
      <c r="R259" s="1" t="s">
        <v>30</v>
      </c>
      <c r="S259">
        <f t="shared" si="1"/>
        <v>33203</v>
      </c>
      <c r="T259" t="str">
        <f t="array" ref="T259">iferror(index('Copie de Feuille tri Amandine'!B:C,MATCH(S259,'Copie de Feuille tri Amandine'!B:B,0),2),"")</f>
        <v/>
      </c>
    </row>
    <row r="260">
      <c r="A260" s="1" t="s">
        <v>724</v>
      </c>
      <c r="B260" s="1" t="s">
        <v>175</v>
      </c>
      <c r="C260" s="1" t="s">
        <v>22</v>
      </c>
      <c r="D260" s="2">
        <v>20443.0</v>
      </c>
      <c r="E260" s="1">
        <v>119.0</v>
      </c>
      <c r="F260" s="1" t="s">
        <v>109</v>
      </c>
      <c r="G260" s="2">
        <v>41728.0</v>
      </c>
      <c r="H260" s="1" t="s">
        <v>24</v>
      </c>
      <c r="I260" s="2">
        <v>41728.0</v>
      </c>
      <c r="J260" s="1" t="s">
        <v>25</v>
      </c>
      <c r="K260" s="1" t="s">
        <v>26</v>
      </c>
      <c r="L260" s="1">
        <v>3.0</v>
      </c>
      <c r="M260" s="1" t="s">
        <v>725</v>
      </c>
      <c r="N260" s="1">
        <v>33.0</v>
      </c>
      <c r="O260" s="1" t="s">
        <v>28</v>
      </c>
      <c r="P260" s="1">
        <v>2.43300316E8</v>
      </c>
      <c r="Q260" s="1" t="s">
        <v>40</v>
      </c>
      <c r="R260" s="1" t="s">
        <v>30</v>
      </c>
      <c r="S260">
        <f t="shared" si="1"/>
        <v>33003</v>
      </c>
      <c r="T260" t="str">
        <f t="array" ref="T260">iferror(index('Copie de Feuille tri Amandine'!B:C,MATCH(S260,'Copie de Feuille tri Amandine'!B:B,0),2),"")</f>
        <v/>
      </c>
    </row>
    <row r="261">
      <c r="A261" s="1" t="s">
        <v>726</v>
      </c>
      <c r="B261" s="1" t="s">
        <v>727</v>
      </c>
      <c r="C261" s="1" t="s">
        <v>22</v>
      </c>
      <c r="D261" s="2">
        <v>16945.0</v>
      </c>
      <c r="E261" s="1">
        <v>161.0</v>
      </c>
      <c r="F261" s="1" t="s">
        <v>72</v>
      </c>
      <c r="G261" s="2">
        <v>41721.0</v>
      </c>
      <c r="H261" s="1" t="s">
        <v>24</v>
      </c>
      <c r="I261" s="2">
        <v>41728.0</v>
      </c>
      <c r="J261" s="1" t="s">
        <v>25</v>
      </c>
      <c r="K261" s="1" t="s">
        <v>26</v>
      </c>
      <c r="L261" s="1">
        <v>11.0</v>
      </c>
      <c r="M261" s="1" t="s">
        <v>728</v>
      </c>
      <c r="N261" s="1">
        <v>33.0</v>
      </c>
      <c r="O261" s="1" t="s">
        <v>28</v>
      </c>
      <c r="P261" s="1">
        <v>2.43301504E8</v>
      </c>
      <c r="Q261" s="1" t="s">
        <v>29</v>
      </c>
      <c r="R261" s="1" t="s">
        <v>30</v>
      </c>
      <c r="S261">
        <f t="shared" si="1"/>
        <v>33011</v>
      </c>
      <c r="T261" t="str">
        <f t="array" ref="T261">iferror(index('Copie de Feuille tri Amandine'!B:C,MATCH(S261,'Copie de Feuille tri Amandine'!B:B,0),2),"")</f>
        <v/>
      </c>
    </row>
    <row r="262">
      <c r="A262" s="1" t="s">
        <v>729</v>
      </c>
      <c r="B262" s="1" t="s">
        <v>730</v>
      </c>
      <c r="C262" s="1" t="s">
        <v>22</v>
      </c>
      <c r="D262" s="2">
        <v>27803.0</v>
      </c>
      <c r="E262" s="1">
        <v>102.0</v>
      </c>
      <c r="F262" s="1" t="s">
        <v>731</v>
      </c>
      <c r="G262" s="2">
        <v>41721.0</v>
      </c>
      <c r="H262" s="1" t="s">
        <v>24</v>
      </c>
      <c r="I262" s="2">
        <v>42307.0</v>
      </c>
      <c r="J262" s="1" t="s">
        <v>25</v>
      </c>
      <c r="K262" s="1" t="s">
        <v>26</v>
      </c>
      <c r="L262" s="1">
        <v>149.0</v>
      </c>
      <c r="M262" s="1" t="s">
        <v>732</v>
      </c>
      <c r="N262" s="1">
        <v>33.0</v>
      </c>
      <c r="O262" s="1" t="s">
        <v>28</v>
      </c>
      <c r="P262" s="1">
        <v>2.00069599E8</v>
      </c>
      <c r="Q262" s="1" t="s">
        <v>60</v>
      </c>
      <c r="R262" s="1" t="s">
        <v>30</v>
      </c>
      <c r="S262">
        <f t="shared" si="1"/>
        <v>33149</v>
      </c>
      <c r="T262" t="str">
        <f t="array" ref="T262">iferror(index('Copie de Feuille tri Amandine'!B:C,MATCH(S262,'Copie de Feuille tri Amandine'!B:B,0),2),"")</f>
        <v/>
      </c>
    </row>
    <row r="263">
      <c r="A263" s="1" t="s">
        <v>733</v>
      </c>
      <c r="B263" s="1" t="s">
        <v>734</v>
      </c>
      <c r="C263" s="1" t="s">
        <v>53</v>
      </c>
      <c r="D263" s="2">
        <v>26844.0</v>
      </c>
      <c r="E263" s="1">
        <v>119.0</v>
      </c>
      <c r="F263" s="1" t="s">
        <v>109</v>
      </c>
      <c r="G263" s="2">
        <v>41721.0</v>
      </c>
      <c r="H263" s="1" t="s">
        <v>24</v>
      </c>
      <c r="I263" s="2">
        <v>41721.0</v>
      </c>
      <c r="J263" s="1" t="s">
        <v>25</v>
      </c>
      <c r="K263" s="1" t="s">
        <v>26</v>
      </c>
      <c r="L263" s="1">
        <v>162.0</v>
      </c>
      <c r="M263" s="1" t="s">
        <v>735</v>
      </c>
      <c r="N263" s="1">
        <v>33.0</v>
      </c>
      <c r="O263" s="1" t="s">
        <v>28</v>
      </c>
      <c r="P263" s="1">
        <v>2.43300316E8</v>
      </c>
      <c r="Q263" s="1" t="s">
        <v>40</v>
      </c>
      <c r="R263" s="1" t="s">
        <v>30</v>
      </c>
      <c r="S263">
        <f t="shared" si="1"/>
        <v>33162</v>
      </c>
      <c r="T263" t="str">
        <f t="array" ref="T263">iferror(index('Copie de Feuille tri Amandine'!B:C,MATCH(S263,'Copie de Feuille tri Amandine'!B:B,0),2),"")</f>
        <v/>
      </c>
    </row>
    <row r="264">
      <c r="A264" s="1" t="s">
        <v>736</v>
      </c>
      <c r="B264" s="1" t="s">
        <v>224</v>
      </c>
      <c r="C264" s="1" t="s">
        <v>53</v>
      </c>
      <c r="D264" s="2">
        <v>24856.0</v>
      </c>
      <c r="E264" s="1">
        <v>120.0</v>
      </c>
      <c r="F264" s="1" t="s">
        <v>241</v>
      </c>
      <c r="G264" s="2">
        <v>41721.0</v>
      </c>
      <c r="H264" s="1" t="s">
        <v>24</v>
      </c>
      <c r="I264" s="2">
        <v>41721.0</v>
      </c>
      <c r="J264" s="1" t="s">
        <v>25</v>
      </c>
      <c r="K264" s="1" t="s">
        <v>26</v>
      </c>
      <c r="L264" s="1">
        <v>252.0</v>
      </c>
      <c r="M264" s="1" t="s">
        <v>737</v>
      </c>
      <c r="N264" s="1">
        <v>33.0</v>
      </c>
      <c r="O264" s="1" t="s">
        <v>28</v>
      </c>
      <c r="P264" s="1">
        <v>2.43301215E8</v>
      </c>
      <c r="Q264" s="1" t="s">
        <v>136</v>
      </c>
      <c r="R264" s="1" t="s">
        <v>30</v>
      </c>
      <c r="S264">
        <f t="shared" si="1"/>
        <v>33252</v>
      </c>
      <c r="T264" t="str">
        <f t="array" ref="T264">iferror(index('Copie de Feuille tri Amandine'!B:C,MATCH(S264,'Copie de Feuille tri Amandine'!B:B,0),2),"")</f>
        <v/>
      </c>
    </row>
    <row r="265">
      <c r="A265" s="1" t="s">
        <v>738</v>
      </c>
      <c r="B265" s="1" t="s">
        <v>460</v>
      </c>
      <c r="C265" s="1" t="s">
        <v>22</v>
      </c>
      <c r="D265" s="2">
        <v>13918.0</v>
      </c>
      <c r="E265" s="1">
        <v>161.0</v>
      </c>
      <c r="F265" s="1" t="s">
        <v>72</v>
      </c>
      <c r="G265" s="2">
        <v>41721.0</v>
      </c>
      <c r="H265" s="1" t="s">
        <v>24</v>
      </c>
      <c r="I265" s="2">
        <v>41721.0</v>
      </c>
      <c r="J265" s="1" t="s">
        <v>25</v>
      </c>
      <c r="K265" s="1" t="s">
        <v>26</v>
      </c>
      <c r="L265" s="1">
        <v>296.0</v>
      </c>
      <c r="M265" s="1" t="s">
        <v>739</v>
      </c>
      <c r="N265" s="1">
        <v>33.0</v>
      </c>
      <c r="O265" s="1" t="s">
        <v>28</v>
      </c>
      <c r="P265" s="1">
        <v>2.43301454E8</v>
      </c>
      <c r="Q265" s="1" t="s">
        <v>94</v>
      </c>
      <c r="R265" s="1" t="s">
        <v>30</v>
      </c>
      <c r="S265">
        <f t="shared" si="1"/>
        <v>33296</v>
      </c>
      <c r="T265">
        <f t="array" ref="T265">iferror(index('Copie de Feuille tri Amandine'!B:C,MATCH(S265,'Copie de Feuille tri Amandine'!B:B,0),2),"")</f>
        <v>1061</v>
      </c>
    </row>
    <row r="266">
      <c r="A266" s="1" t="s">
        <v>740</v>
      </c>
      <c r="B266" s="1" t="s">
        <v>697</v>
      </c>
      <c r="C266" s="1" t="s">
        <v>53</v>
      </c>
      <c r="D266" s="2">
        <v>23241.0</v>
      </c>
      <c r="E266" s="1">
        <v>148.0</v>
      </c>
      <c r="F266" s="1" t="s">
        <v>105</v>
      </c>
      <c r="G266" s="2">
        <v>41721.0</v>
      </c>
      <c r="H266" s="1" t="s">
        <v>24</v>
      </c>
      <c r="I266" s="2">
        <v>41721.0</v>
      </c>
      <c r="J266" s="1" t="s">
        <v>25</v>
      </c>
      <c r="K266" s="1" t="s">
        <v>26</v>
      </c>
      <c r="L266" s="1">
        <v>364.0</v>
      </c>
      <c r="M266" s="1" t="s">
        <v>741</v>
      </c>
      <c r="N266" s="1">
        <v>33.0</v>
      </c>
      <c r="O266" s="1" t="s">
        <v>28</v>
      </c>
      <c r="P266" s="1">
        <v>2.43301397E8</v>
      </c>
      <c r="Q266" s="1" t="s">
        <v>158</v>
      </c>
      <c r="R266" s="1" t="s">
        <v>30</v>
      </c>
      <c r="S266">
        <f t="shared" si="1"/>
        <v>33364</v>
      </c>
      <c r="T266">
        <f t="array" ref="T266">iferror(index('Copie de Feuille tri Amandine'!B:C,MATCH(S266,'Copie de Feuille tri Amandine'!B:B,0),2),"")</f>
        <v>403</v>
      </c>
    </row>
    <row r="267">
      <c r="A267" s="1" t="s">
        <v>742</v>
      </c>
      <c r="B267" s="1" t="s">
        <v>484</v>
      </c>
      <c r="C267" s="1" t="s">
        <v>22</v>
      </c>
      <c r="D267" s="2">
        <v>23732.0</v>
      </c>
      <c r="E267" s="1">
        <v>156.0</v>
      </c>
      <c r="F267" s="1" t="s">
        <v>293</v>
      </c>
      <c r="G267" s="2">
        <v>41721.0</v>
      </c>
      <c r="H267" s="1" t="s">
        <v>24</v>
      </c>
      <c r="I267" s="2">
        <v>41721.0</v>
      </c>
      <c r="J267" s="1" t="s">
        <v>25</v>
      </c>
      <c r="K267" s="1" t="s">
        <v>26</v>
      </c>
      <c r="L267" s="1">
        <v>376.0</v>
      </c>
      <c r="M267" s="1" t="s">
        <v>743</v>
      </c>
      <c r="N267" s="1">
        <v>33.0</v>
      </c>
      <c r="O267" s="1" t="s">
        <v>28</v>
      </c>
      <c r="P267" s="1">
        <v>2.43300316E8</v>
      </c>
      <c r="Q267" s="1" t="s">
        <v>40</v>
      </c>
      <c r="R267" s="1" t="s">
        <v>30</v>
      </c>
      <c r="S267">
        <f t="shared" si="1"/>
        <v>33376</v>
      </c>
      <c r="T267">
        <f t="array" ref="T267">iferror(index('Copie de Feuille tri Amandine'!B:C,MATCH(S267,'Copie de Feuille tri Amandine'!B:B,0),2),"")</f>
        <v>7362</v>
      </c>
    </row>
    <row r="268">
      <c r="A268" s="1" t="s">
        <v>744</v>
      </c>
      <c r="B268" s="1" t="s">
        <v>745</v>
      </c>
      <c r="C268" s="1" t="s">
        <v>22</v>
      </c>
      <c r="D268" s="2">
        <v>21314.0</v>
      </c>
      <c r="E268" s="1">
        <v>150.0</v>
      </c>
      <c r="F268" s="1" t="s">
        <v>43</v>
      </c>
      <c r="G268" s="2">
        <v>41721.0</v>
      </c>
      <c r="H268" s="1" t="s">
        <v>24</v>
      </c>
      <c r="I268" s="2">
        <v>41721.0</v>
      </c>
      <c r="J268" s="1" t="s">
        <v>25</v>
      </c>
      <c r="K268" s="1" t="s">
        <v>26</v>
      </c>
      <c r="L268" s="1">
        <v>422.0</v>
      </c>
      <c r="M268" s="1" t="s">
        <v>746</v>
      </c>
      <c r="N268" s="1">
        <v>33.0</v>
      </c>
      <c r="O268" s="1" t="s">
        <v>28</v>
      </c>
      <c r="P268" s="1">
        <v>2.43301165E8</v>
      </c>
      <c r="Q268" s="1" t="s">
        <v>191</v>
      </c>
      <c r="R268" s="1" t="s">
        <v>30</v>
      </c>
      <c r="S268">
        <f t="shared" si="1"/>
        <v>33422</v>
      </c>
      <c r="T268">
        <f t="array" ref="T268">iferror(index('Copie de Feuille tri Amandine'!B:C,MATCH(S268,'Copie de Feuille tri Amandine'!B:B,0),2),"")</f>
        <v>8377</v>
      </c>
    </row>
    <row r="269">
      <c r="A269" s="1" t="s">
        <v>747</v>
      </c>
      <c r="B269" s="1" t="s">
        <v>695</v>
      </c>
      <c r="C269" s="1" t="s">
        <v>22</v>
      </c>
      <c r="D269" s="2">
        <v>17446.0</v>
      </c>
      <c r="E269" s="1">
        <v>160.0</v>
      </c>
      <c r="F269" s="1" t="s">
        <v>253</v>
      </c>
      <c r="G269" s="2">
        <v>41721.0</v>
      </c>
      <c r="H269" s="1" t="s">
        <v>24</v>
      </c>
      <c r="I269" s="2">
        <v>41721.0</v>
      </c>
      <c r="J269" s="1" t="s">
        <v>25</v>
      </c>
      <c r="K269" s="1" t="s">
        <v>26</v>
      </c>
      <c r="L269" s="1">
        <v>423.0</v>
      </c>
      <c r="M269" s="1" t="s">
        <v>748</v>
      </c>
      <c r="N269" s="1">
        <v>33.0</v>
      </c>
      <c r="O269" s="1" t="s">
        <v>28</v>
      </c>
      <c r="P269" s="1">
        <v>2.00069995E8</v>
      </c>
      <c r="Q269" s="1" t="s">
        <v>65</v>
      </c>
      <c r="R269" s="1" t="s">
        <v>30</v>
      </c>
      <c r="S269">
        <f t="shared" si="1"/>
        <v>33423</v>
      </c>
      <c r="T269">
        <f t="array" ref="T269">iferror(index('Copie de Feuille tri Amandine'!B:C,MATCH(S269,'Copie de Feuille tri Amandine'!B:B,0),2),"")</f>
        <v>595</v>
      </c>
    </row>
    <row r="270">
      <c r="A270" s="1" t="s">
        <v>749</v>
      </c>
      <c r="B270" s="1" t="s">
        <v>229</v>
      </c>
      <c r="C270" s="1" t="s">
        <v>22</v>
      </c>
      <c r="D270" s="2">
        <v>20561.0</v>
      </c>
      <c r="E270" s="1">
        <v>149.0</v>
      </c>
      <c r="F270" s="1" t="s">
        <v>257</v>
      </c>
      <c r="G270" s="2">
        <v>41721.0</v>
      </c>
      <c r="H270" s="1" t="s">
        <v>24</v>
      </c>
      <c r="I270" s="2">
        <v>41721.0</v>
      </c>
      <c r="J270" s="1" t="s">
        <v>25</v>
      </c>
      <c r="K270" s="1" t="s">
        <v>26</v>
      </c>
      <c r="L270" s="1">
        <v>448.0</v>
      </c>
      <c r="M270" s="1" t="s">
        <v>750</v>
      </c>
      <c r="N270" s="1">
        <v>33.0</v>
      </c>
      <c r="O270" s="1" t="s">
        <v>28</v>
      </c>
      <c r="P270" s="1">
        <v>2.43301264E8</v>
      </c>
      <c r="Q270" s="1" t="s">
        <v>55</v>
      </c>
      <c r="R270" s="1" t="s">
        <v>30</v>
      </c>
      <c r="S270">
        <f t="shared" si="1"/>
        <v>33448</v>
      </c>
      <c r="T270">
        <f t="array" ref="T270">iferror(index('Copie de Feuille tri Amandine'!B:C,MATCH(S270,'Copie de Feuille tri Amandine'!B:B,0),2),"")</f>
        <v>2971</v>
      </c>
    </row>
    <row r="271">
      <c r="A271" s="1" t="s">
        <v>751</v>
      </c>
      <c r="B271" s="1" t="s">
        <v>32</v>
      </c>
      <c r="C271" s="1" t="s">
        <v>22</v>
      </c>
      <c r="D271" s="2">
        <v>23536.0</v>
      </c>
      <c r="E271" s="1">
        <v>119.0</v>
      </c>
      <c r="F271" s="1" t="s">
        <v>109</v>
      </c>
      <c r="G271" s="2">
        <v>41721.0</v>
      </c>
      <c r="H271" s="1" t="s">
        <v>24</v>
      </c>
      <c r="I271" s="2">
        <v>42156.0</v>
      </c>
      <c r="J271" s="1" t="s">
        <v>25</v>
      </c>
      <c r="K271" s="1" t="s">
        <v>26</v>
      </c>
      <c r="L271" s="1">
        <v>457.0</v>
      </c>
      <c r="M271" s="1" t="s">
        <v>752</v>
      </c>
      <c r="N271" s="1">
        <v>33.0</v>
      </c>
      <c r="O271" s="1" t="s">
        <v>28</v>
      </c>
      <c r="P271" s="1">
        <v>2.00043974E8</v>
      </c>
      <c r="Q271" s="1" t="s">
        <v>78</v>
      </c>
      <c r="R271" s="1" t="s">
        <v>30</v>
      </c>
      <c r="S271">
        <f t="shared" si="1"/>
        <v>33457</v>
      </c>
      <c r="T271">
        <f t="array" ref="T271">iferror(index('Copie de Feuille tri Amandine'!B:C,MATCH(S271,'Copie de Feuille tri Amandine'!B:B,0),2),"")</f>
        <v>579</v>
      </c>
    </row>
    <row r="272">
      <c r="A272" s="1" t="s">
        <v>753</v>
      </c>
      <c r="B272" s="1" t="s">
        <v>84</v>
      </c>
      <c r="C272" s="1" t="s">
        <v>22</v>
      </c>
      <c r="D272" s="2">
        <v>18334.0</v>
      </c>
      <c r="E272" s="1">
        <v>163.0</v>
      </c>
      <c r="F272" s="1" t="s">
        <v>58</v>
      </c>
      <c r="G272" s="2">
        <v>41721.0</v>
      </c>
      <c r="H272" s="1" t="s">
        <v>24</v>
      </c>
      <c r="I272" s="2">
        <v>41721.0</v>
      </c>
      <c r="J272" s="1" t="s">
        <v>25</v>
      </c>
      <c r="K272" s="1" t="s">
        <v>26</v>
      </c>
      <c r="L272" s="1">
        <v>464.0</v>
      </c>
      <c r="M272" s="1" t="s">
        <v>754</v>
      </c>
      <c r="N272" s="1">
        <v>33.0</v>
      </c>
      <c r="O272" s="1" t="s">
        <v>28</v>
      </c>
      <c r="P272" s="1">
        <v>2.00069599E8</v>
      </c>
      <c r="Q272" s="1" t="s">
        <v>60</v>
      </c>
      <c r="R272" s="1" t="s">
        <v>30</v>
      </c>
      <c r="S272">
        <f t="shared" si="1"/>
        <v>33464</v>
      </c>
      <c r="T272">
        <f t="array" ref="T272">iferror(index('Copie de Feuille tri Amandine'!B:C,MATCH(S272,'Copie de Feuille tri Amandine'!B:B,0),2),"")</f>
        <v>308</v>
      </c>
    </row>
    <row r="273">
      <c r="A273" s="1" t="s">
        <v>755</v>
      </c>
      <c r="B273" s="1" t="s">
        <v>418</v>
      </c>
      <c r="C273" s="1" t="s">
        <v>22</v>
      </c>
      <c r="D273" s="2">
        <v>23836.0</v>
      </c>
      <c r="E273" s="1">
        <v>101.0</v>
      </c>
      <c r="F273" s="1" t="s">
        <v>33</v>
      </c>
      <c r="G273" s="2">
        <v>41721.0</v>
      </c>
      <c r="H273" s="1" t="s">
        <v>24</v>
      </c>
      <c r="I273" s="2">
        <v>41721.0</v>
      </c>
      <c r="J273" s="1" t="s">
        <v>25</v>
      </c>
      <c r="K273" s="1" t="s">
        <v>26</v>
      </c>
      <c r="L273" s="1">
        <v>486.0</v>
      </c>
      <c r="M273" s="1" t="s">
        <v>756</v>
      </c>
      <c r="N273" s="1">
        <v>33.0</v>
      </c>
      <c r="O273" s="1" t="s">
        <v>28</v>
      </c>
      <c r="P273" s="1">
        <v>2.43301223E8</v>
      </c>
      <c r="Q273" s="1" t="s">
        <v>163</v>
      </c>
      <c r="R273" s="1" t="s">
        <v>30</v>
      </c>
      <c r="S273">
        <f t="shared" si="1"/>
        <v>33486</v>
      </c>
      <c r="T273">
        <f t="array" ref="T273">iferror(index('Copie de Feuille tri Amandine'!B:C,MATCH(S273,'Copie de Feuille tri Amandine'!B:B,0),2),"")</f>
        <v>342</v>
      </c>
    </row>
    <row r="274">
      <c r="A274" s="1" t="s">
        <v>757</v>
      </c>
      <c r="B274" s="1" t="s">
        <v>758</v>
      </c>
      <c r="C274" s="1" t="s">
        <v>22</v>
      </c>
      <c r="D274" s="2">
        <v>23349.0</v>
      </c>
      <c r="E274" s="1">
        <v>101.0</v>
      </c>
      <c r="F274" s="1" t="s">
        <v>33</v>
      </c>
      <c r="G274" s="2">
        <v>41734.0</v>
      </c>
      <c r="H274" s="1" t="s">
        <v>24</v>
      </c>
      <c r="I274" s="2">
        <v>41917.0</v>
      </c>
      <c r="J274" s="1" t="s">
        <v>25</v>
      </c>
      <c r="K274" s="1" t="s">
        <v>26</v>
      </c>
      <c r="L274" s="1">
        <v>187.0</v>
      </c>
      <c r="M274" s="1" t="s">
        <v>759</v>
      </c>
      <c r="N274" s="1">
        <v>33.0</v>
      </c>
      <c r="O274" s="1" t="s">
        <v>28</v>
      </c>
      <c r="P274" s="1">
        <v>2.00044394E8</v>
      </c>
      <c r="Q274" s="1" t="s">
        <v>35</v>
      </c>
      <c r="R274" s="1" t="s">
        <v>30</v>
      </c>
      <c r="S274">
        <f t="shared" si="1"/>
        <v>33187</v>
      </c>
      <c r="T274" t="str">
        <f t="array" ref="T274">iferror(index('Copie de Feuille tri Amandine'!B:C,MATCH(S274,'Copie de Feuille tri Amandine'!B:B,0),2),"")</f>
        <v/>
      </c>
    </row>
    <row r="275">
      <c r="A275" s="1" t="s">
        <v>760</v>
      </c>
      <c r="B275" s="1" t="s">
        <v>273</v>
      </c>
      <c r="C275" s="1" t="s">
        <v>22</v>
      </c>
      <c r="D275" s="2">
        <v>19053.0</v>
      </c>
      <c r="E275" s="1">
        <v>161.0</v>
      </c>
      <c r="F275" s="1" t="s">
        <v>72</v>
      </c>
      <c r="G275" s="2">
        <v>41721.0</v>
      </c>
      <c r="H275" s="1" t="s">
        <v>24</v>
      </c>
      <c r="I275" s="2">
        <v>43565.0</v>
      </c>
      <c r="J275" s="1" t="s">
        <v>25</v>
      </c>
      <c r="K275" s="1" t="s">
        <v>26</v>
      </c>
      <c r="L275" s="1">
        <v>169.0</v>
      </c>
      <c r="M275" s="1" t="s">
        <v>761</v>
      </c>
      <c r="N275" s="1">
        <v>33.0</v>
      </c>
      <c r="O275" s="1" t="s">
        <v>28</v>
      </c>
      <c r="P275" s="1">
        <v>2.00044394E8</v>
      </c>
      <c r="Q275" s="1" t="s">
        <v>35</v>
      </c>
      <c r="R275" s="1" t="s">
        <v>30</v>
      </c>
      <c r="S275">
        <f t="shared" si="1"/>
        <v>33169</v>
      </c>
      <c r="T275" t="str">
        <f t="array" ref="T275">iferror(index('Copie de Feuille tri Amandine'!B:C,MATCH(S275,'Copie de Feuille tri Amandine'!B:B,0),2),"")</f>
        <v/>
      </c>
    </row>
    <row r="276">
      <c r="A276" s="1" t="s">
        <v>762</v>
      </c>
      <c r="B276" s="1" t="s">
        <v>387</v>
      </c>
      <c r="C276" s="1" t="s">
        <v>53</v>
      </c>
      <c r="D276" s="2">
        <v>19856.0</v>
      </c>
      <c r="E276" s="1">
        <v>157.0</v>
      </c>
      <c r="F276" s="1" t="s">
        <v>97</v>
      </c>
      <c r="G276" s="2">
        <v>41728.0</v>
      </c>
      <c r="H276" s="1" t="s">
        <v>24</v>
      </c>
      <c r="I276" s="2">
        <v>41733.0</v>
      </c>
      <c r="J276" s="1" t="s">
        <v>25</v>
      </c>
      <c r="K276" s="1" t="s">
        <v>26</v>
      </c>
      <c r="L276" s="1">
        <v>29.0</v>
      </c>
      <c r="M276" s="1" t="s">
        <v>763</v>
      </c>
      <c r="N276" s="1">
        <v>33.0</v>
      </c>
      <c r="O276" s="1" t="s">
        <v>28</v>
      </c>
      <c r="P276" s="1">
        <v>2.43301405E8</v>
      </c>
      <c r="Q276" s="1" t="s">
        <v>300</v>
      </c>
      <c r="R276" s="1" t="s">
        <v>30</v>
      </c>
      <c r="S276">
        <f t="shared" si="1"/>
        <v>33029</v>
      </c>
      <c r="T276" t="str">
        <f t="array" ref="T276">iferror(index('Copie de Feuille tri Amandine'!B:C,MATCH(S276,'Copie de Feuille tri Amandine'!B:B,0),2),"")</f>
        <v/>
      </c>
    </row>
    <row r="277">
      <c r="A277" s="1" t="s">
        <v>764</v>
      </c>
      <c r="B277" s="1" t="s">
        <v>134</v>
      </c>
      <c r="C277" s="1" t="s">
        <v>22</v>
      </c>
      <c r="D277" s="2">
        <v>20061.0</v>
      </c>
      <c r="E277" s="1">
        <v>149.0</v>
      </c>
      <c r="F277" s="1" t="s">
        <v>257</v>
      </c>
      <c r="G277" s="2">
        <v>41721.0</v>
      </c>
      <c r="H277" s="1" t="s">
        <v>24</v>
      </c>
      <c r="I277" s="2">
        <v>41721.0</v>
      </c>
      <c r="J277" s="1" t="s">
        <v>25</v>
      </c>
      <c r="K277" s="1" t="s">
        <v>26</v>
      </c>
      <c r="L277" s="1">
        <v>53.0</v>
      </c>
      <c r="M277" s="1" t="s">
        <v>765</v>
      </c>
      <c r="N277" s="1">
        <v>33.0</v>
      </c>
      <c r="O277" s="1" t="s">
        <v>28</v>
      </c>
      <c r="P277" s="1">
        <v>2.00043982E8</v>
      </c>
      <c r="Q277" s="1" t="s">
        <v>124</v>
      </c>
      <c r="R277" s="1" t="s">
        <v>30</v>
      </c>
      <c r="S277">
        <f t="shared" si="1"/>
        <v>33053</v>
      </c>
      <c r="T277" t="str">
        <f t="array" ref="T277">iferror(index('Copie de Feuille tri Amandine'!B:C,MATCH(S277,'Copie de Feuille tri Amandine'!B:B,0),2),"")</f>
        <v/>
      </c>
    </row>
    <row r="278">
      <c r="A278" s="1" t="s">
        <v>766</v>
      </c>
      <c r="B278" s="1" t="s">
        <v>437</v>
      </c>
      <c r="C278" s="1" t="s">
        <v>22</v>
      </c>
      <c r="D278" s="2">
        <v>18794.0</v>
      </c>
      <c r="E278" s="1">
        <v>159.0</v>
      </c>
      <c r="F278" s="1" t="s">
        <v>130</v>
      </c>
      <c r="G278" s="2">
        <v>41721.0</v>
      </c>
      <c r="H278" s="1" t="s">
        <v>24</v>
      </c>
      <c r="I278" s="2">
        <v>41721.0</v>
      </c>
      <c r="J278" s="1" t="s">
        <v>25</v>
      </c>
      <c r="K278" s="1" t="s">
        <v>26</v>
      </c>
      <c r="L278" s="1">
        <v>114.0</v>
      </c>
      <c r="M278" s="1" t="s">
        <v>767</v>
      </c>
      <c r="N278" s="1">
        <v>33.0</v>
      </c>
      <c r="O278" s="1" t="s">
        <v>28</v>
      </c>
      <c r="P278" s="1">
        <v>2.43301181E8</v>
      </c>
      <c r="Q278" s="1" t="s">
        <v>316</v>
      </c>
      <c r="R278" s="1" t="s">
        <v>30</v>
      </c>
      <c r="S278">
        <f t="shared" si="1"/>
        <v>33114</v>
      </c>
      <c r="T278" t="str">
        <f t="array" ref="T278">iferror(index('Copie de Feuille tri Amandine'!B:C,MATCH(S278,'Copie de Feuille tri Amandine'!B:B,0),2),"")</f>
        <v/>
      </c>
    </row>
    <row r="279">
      <c r="A279" s="1" t="s">
        <v>768</v>
      </c>
      <c r="B279" s="1" t="s">
        <v>186</v>
      </c>
      <c r="C279" s="1" t="s">
        <v>22</v>
      </c>
      <c r="D279" s="2">
        <v>17850.0</v>
      </c>
      <c r="E279" s="1">
        <v>158.0</v>
      </c>
      <c r="F279" s="1" t="s">
        <v>274</v>
      </c>
      <c r="G279" s="2">
        <v>41721.0</v>
      </c>
      <c r="H279" s="1" t="s">
        <v>24</v>
      </c>
      <c r="I279" s="2">
        <v>41726.0</v>
      </c>
      <c r="J279" s="1" t="s">
        <v>25</v>
      </c>
      <c r="K279" s="1" t="s">
        <v>26</v>
      </c>
      <c r="L279" s="1">
        <v>278.0</v>
      </c>
      <c r="M279" s="1" t="s">
        <v>769</v>
      </c>
      <c r="N279" s="1">
        <v>33.0</v>
      </c>
      <c r="O279" s="1" t="s">
        <v>28</v>
      </c>
      <c r="P279" s="1">
        <v>2.00069599E8</v>
      </c>
      <c r="Q279" s="1" t="s">
        <v>60</v>
      </c>
      <c r="R279" s="1" t="s">
        <v>30</v>
      </c>
      <c r="S279">
        <f t="shared" si="1"/>
        <v>33278</v>
      </c>
      <c r="T279">
        <f t="array" ref="T279">iferror(index('Copie de Feuille tri Amandine'!B:C,MATCH(S279,'Copie de Feuille tri Amandine'!B:B,0),2),"")</f>
        <v>244</v>
      </c>
    </row>
    <row r="280">
      <c r="A280" s="1" t="s">
        <v>770</v>
      </c>
      <c r="B280" s="1" t="s">
        <v>121</v>
      </c>
      <c r="C280" s="1" t="s">
        <v>53</v>
      </c>
      <c r="D280" s="2">
        <v>25285.0</v>
      </c>
      <c r="E280" s="1">
        <v>147.0</v>
      </c>
      <c r="F280" s="1" t="s">
        <v>38</v>
      </c>
      <c r="G280" s="2">
        <v>41721.0</v>
      </c>
      <c r="H280" s="1" t="s">
        <v>24</v>
      </c>
      <c r="I280" s="2">
        <v>41721.0</v>
      </c>
      <c r="J280" s="1" t="s">
        <v>25</v>
      </c>
      <c r="K280" s="1" t="s">
        <v>26</v>
      </c>
      <c r="L280" s="1">
        <v>285.0</v>
      </c>
      <c r="M280" s="1" t="s">
        <v>771</v>
      </c>
      <c r="N280" s="1">
        <v>33.0</v>
      </c>
      <c r="O280" s="1" t="s">
        <v>28</v>
      </c>
      <c r="P280" s="1">
        <v>2.43301223E8</v>
      </c>
      <c r="Q280" s="1" t="s">
        <v>163</v>
      </c>
      <c r="R280" s="1" t="s">
        <v>30</v>
      </c>
      <c r="S280">
        <f t="shared" si="1"/>
        <v>33285</v>
      </c>
      <c r="T280">
        <f t="array" ref="T280">iferror(index('Copie de Feuille tri Amandine'!B:C,MATCH(S280,'Copie de Feuille tri Amandine'!B:B,0),2),"")</f>
        <v>423</v>
      </c>
    </row>
    <row r="281">
      <c r="A281" s="1" t="s">
        <v>772</v>
      </c>
      <c r="B281" s="1" t="s">
        <v>697</v>
      </c>
      <c r="C281" s="1" t="s">
        <v>53</v>
      </c>
      <c r="D281" s="2">
        <v>19791.0</v>
      </c>
      <c r="E281" s="1">
        <v>157.0</v>
      </c>
      <c r="F281" s="1" t="s">
        <v>97</v>
      </c>
      <c r="G281" s="2">
        <v>41721.0</v>
      </c>
      <c r="H281" s="1" t="s">
        <v>24</v>
      </c>
      <c r="I281" s="2">
        <v>41721.0</v>
      </c>
      <c r="J281" s="1" t="s">
        <v>25</v>
      </c>
      <c r="K281" s="1" t="s">
        <v>26</v>
      </c>
      <c r="L281" s="1">
        <v>325.0</v>
      </c>
      <c r="M281" s="1" t="s">
        <v>773</v>
      </c>
      <c r="N281" s="1">
        <v>33.0</v>
      </c>
      <c r="O281" s="1" t="s">
        <v>28</v>
      </c>
      <c r="P281" s="1">
        <v>2.00023794E8</v>
      </c>
      <c r="Q281" s="1" t="s">
        <v>243</v>
      </c>
      <c r="R281" s="1" t="s">
        <v>30</v>
      </c>
      <c r="S281">
        <f t="shared" si="1"/>
        <v>33325</v>
      </c>
      <c r="T281">
        <f t="array" ref="T281">iferror(index('Copie de Feuille tri Amandine'!B:C,MATCH(S281,'Copie de Feuille tri Amandine'!B:B,0),2),"")</f>
        <v>885</v>
      </c>
    </row>
    <row r="282">
      <c r="A282" s="1" t="s">
        <v>774</v>
      </c>
      <c r="B282" s="1" t="s">
        <v>460</v>
      </c>
      <c r="C282" s="1" t="s">
        <v>22</v>
      </c>
      <c r="D282" s="2">
        <v>19746.0</v>
      </c>
      <c r="E282" s="1">
        <v>164.0</v>
      </c>
      <c r="F282" s="1" t="s">
        <v>183</v>
      </c>
      <c r="G282" s="2">
        <v>41721.0</v>
      </c>
      <c r="H282" s="1" t="s">
        <v>24</v>
      </c>
      <c r="I282" s="2">
        <v>41721.0</v>
      </c>
      <c r="J282" s="1" t="s">
        <v>25</v>
      </c>
      <c r="K282" s="1" t="s">
        <v>26</v>
      </c>
      <c r="L282" s="1">
        <v>362.0</v>
      </c>
      <c r="M282" s="1" t="s">
        <v>775</v>
      </c>
      <c r="N282" s="1">
        <v>33.0</v>
      </c>
      <c r="O282" s="1" t="s">
        <v>28</v>
      </c>
      <c r="P282" s="1">
        <v>2.00070092E8</v>
      </c>
      <c r="Q282" s="1" t="s">
        <v>50</v>
      </c>
      <c r="R282" s="1" t="s">
        <v>30</v>
      </c>
      <c r="S282">
        <f t="shared" si="1"/>
        <v>33362</v>
      </c>
      <c r="T282">
        <f t="array" ref="T282">iferror(index('Copie de Feuille tri Amandine'!B:C,MATCH(S282,'Copie de Feuille tri Amandine'!B:B,0),2),"")</f>
        <v>1314</v>
      </c>
    </row>
    <row r="283">
      <c r="A283" s="1" t="s">
        <v>776</v>
      </c>
      <c r="B283" s="1" t="s">
        <v>697</v>
      </c>
      <c r="C283" s="1" t="s">
        <v>53</v>
      </c>
      <c r="D283" s="2">
        <v>19661.0</v>
      </c>
      <c r="E283" s="1">
        <v>114.0</v>
      </c>
      <c r="F283" s="1" t="s">
        <v>777</v>
      </c>
      <c r="G283" s="2">
        <v>41721.0</v>
      </c>
      <c r="H283" s="1" t="s">
        <v>24</v>
      </c>
      <c r="I283" s="2">
        <v>41728.0</v>
      </c>
      <c r="J283" s="1" t="s">
        <v>25</v>
      </c>
      <c r="K283" s="1" t="s">
        <v>26</v>
      </c>
      <c r="L283" s="1">
        <v>367.0</v>
      </c>
      <c r="M283" s="1" t="s">
        <v>778</v>
      </c>
      <c r="N283" s="1">
        <v>33.0</v>
      </c>
      <c r="O283" s="1" t="s">
        <v>28</v>
      </c>
      <c r="P283" s="1">
        <v>2.00043974E8</v>
      </c>
      <c r="Q283" s="1" t="s">
        <v>78</v>
      </c>
      <c r="R283" s="1" t="s">
        <v>30</v>
      </c>
      <c r="S283">
        <f t="shared" si="1"/>
        <v>33367</v>
      </c>
      <c r="T283">
        <f t="array" ref="T283">iferror(index('Copie de Feuille tri Amandine'!B:C,MATCH(S283,'Copie de Feuille tri Amandine'!B:B,0),2),"")</f>
        <v>434</v>
      </c>
    </row>
    <row r="284">
      <c r="A284" s="1" t="s">
        <v>779</v>
      </c>
      <c r="B284" s="1" t="s">
        <v>168</v>
      </c>
      <c r="C284" s="1" t="s">
        <v>22</v>
      </c>
      <c r="D284" s="2">
        <v>18467.0</v>
      </c>
      <c r="E284" s="1">
        <v>158.0</v>
      </c>
      <c r="F284" s="1" t="s">
        <v>274</v>
      </c>
      <c r="G284" s="2">
        <v>41721.0</v>
      </c>
      <c r="H284" s="1" t="s">
        <v>24</v>
      </c>
      <c r="I284" s="2">
        <v>41721.0</v>
      </c>
      <c r="J284" s="1" t="s">
        <v>25</v>
      </c>
      <c r="K284" s="1" t="s">
        <v>26</v>
      </c>
      <c r="L284" s="1">
        <v>379.0</v>
      </c>
      <c r="M284" s="1" t="s">
        <v>780</v>
      </c>
      <c r="N284" s="1">
        <v>33.0</v>
      </c>
      <c r="O284" s="1" t="s">
        <v>28</v>
      </c>
      <c r="P284" s="1">
        <v>2.00069599E8</v>
      </c>
      <c r="Q284" s="1" t="s">
        <v>60</v>
      </c>
      <c r="R284" s="1" t="s">
        <v>30</v>
      </c>
      <c r="S284">
        <f t="shared" si="1"/>
        <v>33379</v>
      </c>
      <c r="T284">
        <f t="array" ref="T284">iferror(index('Copie de Feuille tri Amandine'!B:C,MATCH(S284,'Copie de Feuille tri Amandine'!B:B,0),2),"")</f>
        <v>316</v>
      </c>
    </row>
    <row r="285">
      <c r="A285" s="1" t="s">
        <v>781</v>
      </c>
      <c r="B285" s="1" t="s">
        <v>782</v>
      </c>
      <c r="C285" s="1" t="s">
        <v>53</v>
      </c>
      <c r="D285" s="2">
        <v>28387.0</v>
      </c>
      <c r="E285" s="1">
        <v>151.0</v>
      </c>
      <c r="F285" s="1" t="s">
        <v>161</v>
      </c>
      <c r="G285" s="2">
        <v>41721.0</v>
      </c>
      <c r="H285" s="1" t="s">
        <v>24</v>
      </c>
      <c r="I285" s="2">
        <v>41721.0</v>
      </c>
      <c r="J285" s="1" t="s">
        <v>25</v>
      </c>
      <c r="K285" s="1" t="s">
        <v>26</v>
      </c>
      <c r="L285" s="1">
        <v>429.0</v>
      </c>
      <c r="M285" s="1" t="s">
        <v>783</v>
      </c>
      <c r="N285" s="1">
        <v>33.0</v>
      </c>
      <c r="O285" s="1" t="s">
        <v>28</v>
      </c>
      <c r="P285" s="1">
        <v>2.00043974E8</v>
      </c>
      <c r="Q285" s="1" t="s">
        <v>78</v>
      </c>
      <c r="R285" s="1" t="s">
        <v>30</v>
      </c>
      <c r="S285">
        <f t="shared" si="1"/>
        <v>33429</v>
      </c>
      <c r="T285">
        <f t="array" ref="T285">iferror(index('Copie de Feuille tri Amandine'!B:C,MATCH(S285,'Copie de Feuille tri Amandine'!B:B,0),2),"")</f>
        <v>337</v>
      </c>
    </row>
    <row r="286">
      <c r="A286" s="1" t="s">
        <v>784</v>
      </c>
      <c r="B286" s="1" t="s">
        <v>355</v>
      </c>
      <c r="C286" s="1" t="s">
        <v>53</v>
      </c>
      <c r="D286" s="2">
        <v>20148.0</v>
      </c>
      <c r="E286" s="1">
        <v>147.0</v>
      </c>
      <c r="F286" s="1" t="s">
        <v>38</v>
      </c>
      <c r="G286" s="2">
        <v>41721.0</v>
      </c>
      <c r="H286" s="1" t="s">
        <v>24</v>
      </c>
      <c r="I286" s="2">
        <v>41721.0</v>
      </c>
      <c r="J286" s="1" t="s">
        <v>25</v>
      </c>
      <c r="K286" s="1" t="s">
        <v>26</v>
      </c>
      <c r="L286" s="1">
        <v>434.0</v>
      </c>
      <c r="M286" s="1" t="s">
        <v>785</v>
      </c>
      <c r="N286" s="1">
        <v>33.0</v>
      </c>
      <c r="O286" s="1" t="s">
        <v>28</v>
      </c>
      <c r="P286" s="1">
        <v>2.43300316E8</v>
      </c>
      <c r="Q286" s="1" t="s">
        <v>40</v>
      </c>
      <c r="R286" s="1" t="s">
        <v>30</v>
      </c>
      <c r="S286">
        <f t="shared" si="1"/>
        <v>33434</v>
      </c>
      <c r="T286">
        <f t="array" ref="T286">iferror(index('Copie de Feuille tri Amandine'!B:C,MATCH(S286,'Copie de Feuille tri Amandine'!B:B,0),2),"")</f>
        <v>2153</v>
      </c>
    </row>
    <row r="287">
      <c r="A287" s="1" t="s">
        <v>786</v>
      </c>
      <c r="B287" s="1" t="s">
        <v>460</v>
      </c>
      <c r="C287" s="1" t="s">
        <v>22</v>
      </c>
      <c r="D287" s="2">
        <v>18134.0</v>
      </c>
      <c r="E287" s="1">
        <v>160.0</v>
      </c>
      <c r="F287" s="1" t="s">
        <v>253</v>
      </c>
      <c r="G287" s="2">
        <v>41721.0</v>
      </c>
      <c r="H287" s="1" t="s">
        <v>24</v>
      </c>
      <c r="I287" s="2">
        <v>41721.0</v>
      </c>
      <c r="J287" s="1" t="s">
        <v>25</v>
      </c>
      <c r="K287" s="1" t="s">
        <v>26</v>
      </c>
      <c r="L287" s="1">
        <v>437.0</v>
      </c>
      <c r="M287" s="1" t="s">
        <v>787</v>
      </c>
      <c r="N287" s="1">
        <v>33.0</v>
      </c>
      <c r="O287" s="1" t="s">
        <v>28</v>
      </c>
      <c r="P287" s="1">
        <v>2.43301454E8</v>
      </c>
      <c r="Q287" s="1" t="s">
        <v>94</v>
      </c>
      <c r="R287" s="1" t="s">
        <v>30</v>
      </c>
      <c r="S287">
        <f t="shared" si="1"/>
        <v>33437</v>
      </c>
      <c r="T287">
        <f t="array" ref="T287">iferror(index('Copie de Feuille tri Amandine'!B:C,MATCH(S287,'Copie de Feuille tri Amandine'!B:B,0),2),"")</f>
        <v>1998</v>
      </c>
    </row>
    <row r="288">
      <c r="A288" s="1" t="s">
        <v>788</v>
      </c>
      <c r="B288" s="1" t="s">
        <v>695</v>
      </c>
      <c r="C288" s="1" t="s">
        <v>22</v>
      </c>
      <c r="D288" s="2">
        <v>17534.0</v>
      </c>
      <c r="E288" s="1">
        <v>161.0</v>
      </c>
      <c r="F288" s="1" t="s">
        <v>72</v>
      </c>
      <c r="G288" s="2">
        <v>41721.0</v>
      </c>
      <c r="H288" s="1" t="s">
        <v>24</v>
      </c>
      <c r="I288" s="2">
        <v>41721.0</v>
      </c>
      <c r="J288" s="1" t="s">
        <v>25</v>
      </c>
      <c r="K288" s="1" t="s">
        <v>26</v>
      </c>
      <c r="L288" s="1">
        <v>438.0</v>
      </c>
      <c r="M288" s="1" t="s">
        <v>789</v>
      </c>
      <c r="N288" s="1">
        <v>33.0</v>
      </c>
      <c r="O288" s="1" t="s">
        <v>28</v>
      </c>
      <c r="P288" s="1">
        <v>2.00043974E8</v>
      </c>
      <c r="Q288" s="1" t="s">
        <v>78</v>
      </c>
      <c r="R288" s="1" t="s">
        <v>30</v>
      </c>
      <c r="S288">
        <f t="shared" si="1"/>
        <v>33438</v>
      </c>
      <c r="T288">
        <f t="array" ref="T288">iferror(index('Copie de Feuille tri Amandine'!B:C,MATCH(S288,'Copie de Feuille tri Amandine'!B:B,0),2),"")</f>
        <v>1919</v>
      </c>
    </row>
    <row r="289">
      <c r="A289" s="1" t="s">
        <v>790</v>
      </c>
      <c r="B289" s="1" t="s">
        <v>134</v>
      </c>
      <c r="C289" s="1" t="s">
        <v>22</v>
      </c>
      <c r="D289" s="2">
        <v>17245.0</v>
      </c>
      <c r="E289" s="1">
        <v>161.0</v>
      </c>
      <c r="F289" s="1" t="s">
        <v>72</v>
      </c>
      <c r="G289" s="2">
        <v>41721.0</v>
      </c>
      <c r="H289" s="1" t="s">
        <v>24</v>
      </c>
      <c r="I289" s="2">
        <v>41728.0</v>
      </c>
      <c r="J289" s="1" t="s">
        <v>25</v>
      </c>
      <c r="K289" s="1" t="s">
        <v>26</v>
      </c>
      <c r="L289" s="1">
        <v>490.0</v>
      </c>
      <c r="M289" s="1" t="s">
        <v>791</v>
      </c>
      <c r="N289" s="1">
        <v>33.0</v>
      </c>
      <c r="O289" s="1" t="s">
        <v>28</v>
      </c>
      <c r="P289" s="1">
        <v>2.0007072E8</v>
      </c>
      <c r="Q289" s="1" t="s">
        <v>111</v>
      </c>
      <c r="R289" s="1" t="s">
        <v>30</v>
      </c>
      <c r="S289">
        <f t="shared" si="1"/>
        <v>33490</v>
      </c>
      <c r="T289">
        <f t="array" ref="T289">iferror(index('Copie de Feuille tri Amandine'!B:C,MATCH(S289,'Copie de Feuille tri Amandine'!B:B,0),2),"")</f>
        <v>1777</v>
      </c>
    </row>
    <row r="290">
      <c r="A290" s="1" t="s">
        <v>792</v>
      </c>
      <c r="B290" s="1" t="s">
        <v>793</v>
      </c>
      <c r="C290" s="1" t="s">
        <v>53</v>
      </c>
      <c r="D290" s="2">
        <v>20650.0</v>
      </c>
      <c r="E290" s="1">
        <v>119.0</v>
      </c>
      <c r="F290" s="1" t="s">
        <v>109</v>
      </c>
      <c r="G290" s="2">
        <v>42638.0</v>
      </c>
      <c r="H290" s="1" t="s">
        <v>24</v>
      </c>
      <c r="I290" s="2">
        <v>42643.0</v>
      </c>
      <c r="J290" s="1" t="s">
        <v>25</v>
      </c>
      <c r="K290" s="1" t="s">
        <v>26</v>
      </c>
      <c r="L290" s="1">
        <v>502.0</v>
      </c>
      <c r="M290" s="1" t="s">
        <v>794</v>
      </c>
      <c r="N290" s="1">
        <v>33.0</v>
      </c>
      <c r="O290" s="1" t="s">
        <v>28</v>
      </c>
      <c r="P290" s="1">
        <v>2.00023794E8</v>
      </c>
      <c r="Q290" s="1" t="s">
        <v>243</v>
      </c>
      <c r="R290" s="1" t="s">
        <v>30</v>
      </c>
      <c r="S290">
        <f t="shared" si="1"/>
        <v>33502</v>
      </c>
      <c r="T290">
        <f t="array" ref="T290">iferror(index('Copie de Feuille tri Amandine'!B:C,MATCH(S290,'Copie de Feuille tri Amandine'!B:B,0),2),"")</f>
        <v>475</v>
      </c>
    </row>
    <row r="291">
      <c r="A291" s="1" t="s">
        <v>795</v>
      </c>
      <c r="B291" s="1" t="s">
        <v>168</v>
      </c>
      <c r="C291" s="1" t="s">
        <v>22</v>
      </c>
      <c r="D291" s="2">
        <v>17508.0</v>
      </c>
      <c r="E291" s="1">
        <v>161.0</v>
      </c>
      <c r="F291" s="1" t="s">
        <v>72</v>
      </c>
      <c r="G291" s="2">
        <v>41721.0</v>
      </c>
      <c r="H291" s="1" t="s">
        <v>24</v>
      </c>
      <c r="I291" s="2">
        <v>41721.0</v>
      </c>
      <c r="J291" s="1" t="s">
        <v>25</v>
      </c>
      <c r="K291" s="1" t="s">
        <v>26</v>
      </c>
      <c r="L291" s="1">
        <v>555.0</v>
      </c>
      <c r="M291" s="1" t="s">
        <v>796</v>
      </c>
      <c r="N291" s="1">
        <v>33.0</v>
      </c>
      <c r="O291" s="1" t="s">
        <v>28</v>
      </c>
      <c r="P291" s="1">
        <v>2.43301504E8</v>
      </c>
      <c r="Q291" s="1" t="s">
        <v>29</v>
      </c>
      <c r="R291" s="1" t="s">
        <v>30</v>
      </c>
      <c r="S291">
        <f t="shared" si="1"/>
        <v>33555</v>
      </c>
      <c r="T291">
        <f t="array" ref="T291">iferror(index('Copie de Feuille tri Amandine'!B:C,MATCH(S291,'Copie de Feuille tri Amandine'!B:B,0),2),"")</f>
        <v>4724</v>
      </c>
    </row>
    <row r="292">
      <c r="A292" s="1" t="s">
        <v>797</v>
      </c>
      <c r="B292" s="1" t="s">
        <v>189</v>
      </c>
      <c r="C292" s="1" t="s">
        <v>22</v>
      </c>
      <c r="D292" s="2">
        <v>16431.0</v>
      </c>
      <c r="E292" s="1">
        <v>162.0</v>
      </c>
      <c r="F292" s="1" t="s">
        <v>76</v>
      </c>
      <c r="G292" s="2">
        <v>41728.0</v>
      </c>
      <c r="H292" s="1" t="s">
        <v>24</v>
      </c>
      <c r="I292" s="2">
        <v>41733.0</v>
      </c>
      <c r="J292" s="1" t="s">
        <v>25</v>
      </c>
      <c r="K292" s="1" t="s">
        <v>26</v>
      </c>
      <c r="L292" s="1">
        <v>36.0</v>
      </c>
      <c r="M292" s="1" t="s">
        <v>798</v>
      </c>
      <c r="N292" s="1">
        <v>33.0</v>
      </c>
      <c r="O292" s="1" t="s">
        <v>28</v>
      </c>
      <c r="P292" s="1">
        <v>2.00043982E8</v>
      </c>
      <c r="Q292" s="1" t="s">
        <v>124</v>
      </c>
      <c r="R292" s="1" t="s">
        <v>30</v>
      </c>
      <c r="S292">
        <f t="shared" si="1"/>
        <v>33036</v>
      </c>
      <c r="T292" t="str">
        <f t="array" ref="T292">iferror(index('Copie de Feuille tri Amandine'!B:C,MATCH(S292,'Copie de Feuille tri Amandine'!B:B,0),2),"")</f>
        <v/>
      </c>
    </row>
    <row r="293">
      <c r="A293" s="1" t="s">
        <v>799</v>
      </c>
      <c r="B293" s="1" t="s">
        <v>549</v>
      </c>
      <c r="C293" s="1" t="s">
        <v>22</v>
      </c>
      <c r="D293" s="2">
        <v>22939.0</v>
      </c>
      <c r="E293" s="1">
        <v>149.0</v>
      </c>
      <c r="F293" s="1" t="s">
        <v>257</v>
      </c>
      <c r="G293" s="2">
        <v>41721.0</v>
      </c>
      <c r="H293" s="1" t="s">
        <v>24</v>
      </c>
      <c r="I293" s="2">
        <v>41721.0</v>
      </c>
      <c r="J293" s="1" t="s">
        <v>25</v>
      </c>
      <c r="K293" s="1" t="s">
        <v>26</v>
      </c>
      <c r="L293" s="1">
        <v>48.0</v>
      </c>
      <c r="M293" s="1" t="s">
        <v>800</v>
      </c>
      <c r="N293" s="1">
        <v>33.0</v>
      </c>
      <c r="O293" s="1" t="s">
        <v>28</v>
      </c>
      <c r="P293" s="1">
        <v>2.00044394E8</v>
      </c>
      <c r="Q293" s="1" t="s">
        <v>35</v>
      </c>
      <c r="R293" s="1" t="s">
        <v>30</v>
      </c>
      <c r="S293">
        <f t="shared" si="1"/>
        <v>33048</v>
      </c>
      <c r="T293" t="str">
        <f t="array" ref="T293">iferror(index('Copie de Feuille tri Amandine'!B:C,MATCH(S293,'Copie de Feuille tri Amandine'!B:B,0),2),"")</f>
        <v/>
      </c>
    </row>
    <row r="294">
      <c r="A294" s="1" t="s">
        <v>801</v>
      </c>
      <c r="B294" s="1" t="s">
        <v>496</v>
      </c>
      <c r="C294" s="1" t="s">
        <v>22</v>
      </c>
      <c r="D294" s="2">
        <v>22392.0</v>
      </c>
      <c r="E294" s="1">
        <v>120.0</v>
      </c>
      <c r="F294" s="1" t="s">
        <v>241</v>
      </c>
      <c r="G294" s="2">
        <v>43165.0</v>
      </c>
      <c r="H294" s="1" t="s">
        <v>24</v>
      </c>
      <c r="I294" s="2">
        <v>43379.0</v>
      </c>
      <c r="J294" s="1" t="s">
        <v>25</v>
      </c>
      <c r="K294" s="1" t="s">
        <v>26</v>
      </c>
      <c r="L294" s="1">
        <v>82.0</v>
      </c>
      <c r="M294" s="1" t="s">
        <v>802</v>
      </c>
      <c r="N294" s="1">
        <v>33.0</v>
      </c>
      <c r="O294" s="1" t="s">
        <v>28</v>
      </c>
      <c r="P294" s="1">
        <v>2.43301397E8</v>
      </c>
      <c r="Q294" s="1" t="s">
        <v>158</v>
      </c>
      <c r="R294" s="1" t="s">
        <v>30</v>
      </c>
      <c r="S294">
        <f t="shared" si="1"/>
        <v>33082</v>
      </c>
      <c r="T294" t="str">
        <f t="array" ref="T294">iferror(index('Copie de Feuille tri Amandine'!B:C,MATCH(S294,'Copie de Feuille tri Amandine'!B:B,0),2),"")</f>
        <v/>
      </c>
    </row>
    <row r="295">
      <c r="A295" s="1" t="s">
        <v>803</v>
      </c>
      <c r="B295" s="1" t="s">
        <v>113</v>
      </c>
      <c r="C295" s="1" t="s">
        <v>22</v>
      </c>
      <c r="D295" s="2">
        <v>21834.0</v>
      </c>
      <c r="E295" s="1">
        <v>147.0</v>
      </c>
      <c r="F295" s="1" t="s">
        <v>38</v>
      </c>
      <c r="G295" s="2">
        <v>41721.0</v>
      </c>
      <c r="H295" s="1" t="s">
        <v>24</v>
      </c>
      <c r="I295" s="2">
        <v>42940.0</v>
      </c>
      <c r="J295" s="1" t="s">
        <v>25</v>
      </c>
      <c r="K295" s="1" t="s">
        <v>26</v>
      </c>
      <c r="L295" s="1">
        <v>119.0</v>
      </c>
      <c r="M295" s="1" t="s">
        <v>804</v>
      </c>
      <c r="N295" s="1">
        <v>33.0</v>
      </c>
      <c r="O295" s="1" t="s">
        <v>28</v>
      </c>
      <c r="P295" s="1">
        <v>2.43300316E8</v>
      </c>
      <c r="Q295" s="1" t="s">
        <v>40</v>
      </c>
      <c r="R295" s="1" t="s">
        <v>30</v>
      </c>
      <c r="S295">
        <f t="shared" si="1"/>
        <v>33119</v>
      </c>
      <c r="T295" t="str">
        <f t="array" ref="T295">iferror(index('Copie de Feuille tri Amandine'!B:C,MATCH(S295,'Copie de Feuille tri Amandine'!B:B,0),2),"")</f>
        <v/>
      </c>
    </row>
    <row r="296">
      <c r="A296" s="1" t="s">
        <v>805</v>
      </c>
      <c r="B296" s="1" t="s">
        <v>57</v>
      </c>
      <c r="C296" s="1" t="s">
        <v>53</v>
      </c>
      <c r="D296" s="2">
        <v>19619.0</v>
      </c>
      <c r="E296" s="1">
        <v>163.0</v>
      </c>
      <c r="F296" s="1" t="s">
        <v>58</v>
      </c>
      <c r="G296" s="2">
        <v>42847.0</v>
      </c>
      <c r="H296" s="1" t="s">
        <v>24</v>
      </c>
      <c r="I296" s="2">
        <v>42847.0</v>
      </c>
      <c r="J296" s="1" t="s">
        <v>25</v>
      </c>
      <c r="K296" s="1" t="s">
        <v>26</v>
      </c>
      <c r="L296" s="1">
        <v>123.0</v>
      </c>
      <c r="M296" s="1" t="s">
        <v>806</v>
      </c>
      <c r="N296" s="1">
        <v>33.0</v>
      </c>
      <c r="O296" s="1" t="s">
        <v>28</v>
      </c>
      <c r="P296" s="1">
        <v>2.43301181E8</v>
      </c>
      <c r="Q296" s="1" t="s">
        <v>316</v>
      </c>
      <c r="R296" s="1" t="s">
        <v>30</v>
      </c>
      <c r="S296">
        <f t="shared" si="1"/>
        <v>33123</v>
      </c>
      <c r="T296" t="str">
        <f t="array" ref="T296">iferror(index('Copie de Feuille tri Amandine'!B:C,MATCH(S296,'Copie de Feuille tri Amandine'!B:B,0),2),"")</f>
        <v/>
      </c>
    </row>
    <row r="297">
      <c r="A297" s="1" t="s">
        <v>646</v>
      </c>
      <c r="B297" s="1" t="s">
        <v>460</v>
      </c>
      <c r="C297" s="1" t="s">
        <v>22</v>
      </c>
      <c r="D297" s="2">
        <v>17821.0</v>
      </c>
      <c r="E297" s="1">
        <v>161.0</v>
      </c>
      <c r="F297" s="1" t="s">
        <v>72</v>
      </c>
      <c r="G297" s="2">
        <v>41721.0</v>
      </c>
      <c r="H297" s="1" t="s">
        <v>24</v>
      </c>
      <c r="I297" s="2">
        <v>41721.0</v>
      </c>
      <c r="J297" s="1" t="s">
        <v>25</v>
      </c>
      <c r="K297" s="1" t="s">
        <v>26</v>
      </c>
      <c r="L297" s="1">
        <v>144.0</v>
      </c>
      <c r="M297" s="1" t="s">
        <v>807</v>
      </c>
      <c r="N297" s="1">
        <v>33.0</v>
      </c>
      <c r="O297" s="1" t="s">
        <v>28</v>
      </c>
      <c r="P297" s="1">
        <v>2.00043982E8</v>
      </c>
      <c r="Q297" s="1" t="s">
        <v>124</v>
      </c>
      <c r="R297" s="1" t="s">
        <v>30</v>
      </c>
      <c r="S297">
        <f t="shared" si="1"/>
        <v>33144</v>
      </c>
      <c r="T297" t="str">
        <f t="array" ref="T297">iferror(index('Copie de Feuille tri Amandine'!B:C,MATCH(S297,'Copie de Feuille tri Amandine'!B:B,0),2),"")</f>
        <v/>
      </c>
    </row>
    <row r="298">
      <c r="A298" s="1" t="s">
        <v>808</v>
      </c>
      <c r="B298" s="1" t="s">
        <v>697</v>
      </c>
      <c r="C298" s="1" t="s">
        <v>53</v>
      </c>
      <c r="D298" s="2">
        <v>23622.0</v>
      </c>
      <c r="E298" s="1">
        <v>120.0</v>
      </c>
      <c r="F298" s="1" t="s">
        <v>241</v>
      </c>
      <c r="G298" s="2">
        <v>41721.0</v>
      </c>
      <c r="H298" s="1" t="s">
        <v>24</v>
      </c>
      <c r="I298" s="2">
        <v>41721.0</v>
      </c>
      <c r="J298" s="1" t="s">
        <v>25</v>
      </c>
      <c r="K298" s="1" t="s">
        <v>26</v>
      </c>
      <c r="L298" s="1">
        <v>239.0</v>
      </c>
      <c r="M298" s="1" t="s">
        <v>809</v>
      </c>
      <c r="N298" s="1">
        <v>33.0</v>
      </c>
      <c r="O298" s="1" t="s">
        <v>28</v>
      </c>
      <c r="P298" s="1">
        <v>2.00043982E8</v>
      </c>
      <c r="Q298" s="1" t="s">
        <v>124</v>
      </c>
      <c r="R298" s="1" t="s">
        <v>30</v>
      </c>
      <c r="S298">
        <f t="shared" si="1"/>
        <v>33239</v>
      </c>
      <c r="T298" t="str">
        <f t="array" ref="T298">iferror(index('Copie de Feuille tri Amandine'!B:C,MATCH(S298,'Copie de Feuille tri Amandine'!B:B,0),2),"")</f>
        <v/>
      </c>
    </row>
    <row r="299">
      <c r="A299" s="1" t="s">
        <v>810</v>
      </c>
      <c r="B299" s="1" t="s">
        <v>411</v>
      </c>
      <c r="C299" s="1" t="s">
        <v>22</v>
      </c>
      <c r="D299" s="2">
        <v>21468.0</v>
      </c>
      <c r="E299" s="1">
        <v>129.0</v>
      </c>
      <c r="F299" s="1" t="s">
        <v>215</v>
      </c>
      <c r="G299" s="2">
        <v>41721.0</v>
      </c>
      <c r="H299" s="1" t="s">
        <v>24</v>
      </c>
      <c r="I299" s="2">
        <v>41721.0</v>
      </c>
      <c r="J299" s="1" t="s">
        <v>25</v>
      </c>
      <c r="K299" s="1" t="s">
        <v>26</v>
      </c>
      <c r="L299" s="1">
        <v>9.0</v>
      </c>
      <c r="M299" s="1" t="s">
        <v>811</v>
      </c>
      <c r="N299" s="1">
        <v>33.0</v>
      </c>
      <c r="O299" s="1" t="s">
        <v>28</v>
      </c>
      <c r="P299" s="1">
        <v>2.43300563E8</v>
      </c>
      <c r="Q299" s="1" t="s">
        <v>320</v>
      </c>
      <c r="R299" s="1" t="s">
        <v>30</v>
      </c>
      <c r="S299">
        <f t="shared" si="1"/>
        <v>33009</v>
      </c>
      <c r="T299" t="str">
        <f t="array" ref="T299">iferror(index('Copie de Feuille tri Amandine'!B:C,MATCH(S299,'Copie de Feuille tri Amandine'!B:B,0),2),"")</f>
        <v/>
      </c>
    </row>
    <row r="300">
      <c r="A300" s="1" t="s">
        <v>812</v>
      </c>
      <c r="B300" s="1" t="s">
        <v>638</v>
      </c>
      <c r="C300" s="1" t="s">
        <v>22</v>
      </c>
      <c r="D300" s="2">
        <v>21282.0</v>
      </c>
      <c r="E300" s="1">
        <v>152.0</v>
      </c>
      <c r="F300" s="1" t="s">
        <v>176</v>
      </c>
      <c r="G300" s="2">
        <v>41721.0</v>
      </c>
      <c r="H300" s="1" t="s">
        <v>24</v>
      </c>
      <c r="I300" s="2">
        <v>41728.0</v>
      </c>
      <c r="J300" s="1" t="s">
        <v>25</v>
      </c>
      <c r="K300" s="1" t="s">
        <v>26</v>
      </c>
      <c r="L300" s="1">
        <v>147.0</v>
      </c>
      <c r="M300" s="1" t="s">
        <v>813</v>
      </c>
      <c r="N300" s="1">
        <v>33.0</v>
      </c>
      <c r="O300" s="1" t="s">
        <v>28</v>
      </c>
      <c r="P300" s="1">
        <v>2.00070092E8</v>
      </c>
      <c r="Q300" s="1" t="s">
        <v>50</v>
      </c>
      <c r="R300" s="1" t="s">
        <v>30</v>
      </c>
      <c r="S300">
        <f t="shared" si="1"/>
        <v>33147</v>
      </c>
      <c r="T300" t="str">
        <f t="array" ref="T300">iferror(index('Copie de Feuille tri Amandine'!B:C,MATCH(S300,'Copie de Feuille tri Amandine'!B:B,0),2),"")</f>
        <v/>
      </c>
    </row>
    <row r="301">
      <c r="A301" s="1" t="s">
        <v>814</v>
      </c>
      <c r="B301" s="1" t="s">
        <v>189</v>
      </c>
      <c r="C301" s="1" t="s">
        <v>22</v>
      </c>
      <c r="D301" s="2">
        <v>16843.0</v>
      </c>
      <c r="E301" s="1">
        <v>161.0</v>
      </c>
      <c r="F301" s="1" t="s">
        <v>72</v>
      </c>
      <c r="G301" s="2">
        <v>41721.0</v>
      </c>
      <c r="H301" s="1" t="s">
        <v>24</v>
      </c>
      <c r="I301" s="2">
        <v>41721.0</v>
      </c>
      <c r="J301" s="1" t="s">
        <v>25</v>
      </c>
      <c r="K301" s="1" t="s">
        <v>26</v>
      </c>
      <c r="L301" s="1">
        <v>157.0</v>
      </c>
      <c r="M301" s="1" t="s">
        <v>815</v>
      </c>
      <c r="N301" s="1">
        <v>33.0</v>
      </c>
      <c r="O301" s="1" t="s">
        <v>28</v>
      </c>
      <c r="P301" s="1">
        <v>2.00070092E8</v>
      </c>
      <c r="Q301" s="1" t="s">
        <v>50</v>
      </c>
      <c r="R301" s="1" t="s">
        <v>30</v>
      </c>
      <c r="S301">
        <f t="shared" si="1"/>
        <v>33157</v>
      </c>
      <c r="T301" t="str">
        <f t="array" ref="T301">iferror(index('Copie de Feuille tri Amandine'!B:C,MATCH(S301,'Copie de Feuille tri Amandine'!B:B,0),2),"")</f>
        <v/>
      </c>
    </row>
    <row r="302">
      <c r="A302" s="1" t="s">
        <v>816</v>
      </c>
      <c r="B302" s="1" t="s">
        <v>418</v>
      </c>
      <c r="C302" s="1" t="s">
        <v>22</v>
      </c>
      <c r="D302" s="2">
        <v>16597.0</v>
      </c>
      <c r="E302" s="1">
        <v>158.0</v>
      </c>
      <c r="F302" s="1" t="s">
        <v>274</v>
      </c>
      <c r="G302" s="2">
        <v>42157.0</v>
      </c>
      <c r="H302" s="1" t="s">
        <v>24</v>
      </c>
      <c r="I302" s="2">
        <v>42157.0</v>
      </c>
      <c r="J302" s="1" t="s">
        <v>25</v>
      </c>
      <c r="K302" s="1" t="s">
        <v>26</v>
      </c>
      <c r="L302" s="1">
        <v>178.0</v>
      </c>
      <c r="M302" s="1" t="s">
        <v>817</v>
      </c>
      <c r="N302" s="1">
        <v>33.0</v>
      </c>
      <c r="O302" s="1" t="s">
        <v>28</v>
      </c>
      <c r="P302" s="1">
        <v>2.00043982E8</v>
      </c>
      <c r="Q302" s="1" t="s">
        <v>124</v>
      </c>
      <c r="R302" s="1" t="s">
        <v>30</v>
      </c>
      <c r="S302">
        <f t="shared" si="1"/>
        <v>33178</v>
      </c>
      <c r="T302" t="str">
        <f t="array" ref="T302">iferror(index('Copie de Feuille tri Amandine'!B:C,MATCH(S302,'Copie de Feuille tri Amandine'!B:B,0),2),"")</f>
        <v/>
      </c>
    </row>
    <row r="303">
      <c r="A303" s="1" t="s">
        <v>818</v>
      </c>
      <c r="B303" s="1" t="s">
        <v>819</v>
      </c>
      <c r="C303" s="1" t="s">
        <v>53</v>
      </c>
      <c r="D303" s="2">
        <v>18053.0</v>
      </c>
      <c r="E303" s="1">
        <v>158.0</v>
      </c>
      <c r="F303" s="1" t="s">
        <v>274</v>
      </c>
      <c r="G303" s="2">
        <v>41721.0</v>
      </c>
      <c r="H303" s="1" t="s">
        <v>24</v>
      </c>
      <c r="I303" s="2">
        <v>41721.0</v>
      </c>
      <c r="J303" s="1" t="s">
        <v>25</v>
      </c>
      <c r="K303" s="1" t="s">
        <v>26</v>
      </c>
      <c r="L303" s="1">
        <v>295.0</v>
      </c>
      <c r="M303" s="1" t="s">
        <v>820</v>
      </c>
      <c r="N303" s="1">
        <v>33.0</v>
      </c>
      <c r="O303" s="1" t="s">
        <v>28</v>
      </c>
      <c r="P303" s="1">
        <v>2.43301397E8</v>
      </c>
      <c r="Q303" s="1" t="s">
        <v>158</v>
      </c>
      <c r="R303" s="1" t="s">
        <v>30</v>
      </c>
      <c r="S303">
        <f t="shared" si="1"/>
        <v>33295</v>
      </c>
      <c r="T303">
        <f t="array" ref="T303">iferror(index('Copie de Feuille tri Amandine'!B:C,MATCH(S303,'Copie de Feuille tri Amandine'!B:B,0),2),"")</f>
        <v>88</v>
      </c>
    </row>
    <row r="304">
      <c r="A304" s="1" t="s">
        <v>426</v>
      </c>
      <c r="B304" s="1" t="s">
        <v>758</v>
      </c>
      <c r="C304" s="1" t="s">
        <v>22</v>
      </c>
      <c r="D304" s="2">
        <v>23146.0</v>
      </c>
      <c r="E304" s="1">
        <v>101.0</v>
      </c>
      <c r="F304" s="1" t="s">
        <v>33</v>
      </c>
      <c r="G304" s="2">
        <v>41721.0</v>
      </c>
      <c r="H304" s="1" t="s">
        <v>24</v>
      </c>
      <c r="I304" s="2">
        <v>41741.0</v>
      </c>
      <c r="J304" s="1" t="s">
        <v>25</v>
      </c>
      <c r="K304" s="1" t="s">
        <v>26</v>
      </c>
      <c r="L304" s="1">
        <v>309.0</v>
      </c>
      <c r="M304" s="1" t="s">
        <v>821</v>
      </c>
      <c r="N304" s="1">
        <v>33.0</v>
      </c>
      <c r="O304" s="1" t="s">
        <v>28</v>
      </c>
      <c r="P304" s="1">
        <v>2.00069995E8</v>
      </c>
      <c r="Q304" s="1" t="s">
        <v>65</v>
      </c>
      <c r="R304" s="1" t="s">
        <v>30</v>
      </c>
      <c r="S304">
        <f t="shared" si="1"/>
        <v>33309</v>
      </c>
      <c r="T304">
        <f t="array" ref="T304">iferror(index('Copie de Feuille tri Amandine'!B:C,MATCH(S304,'Copie de Feuille tri Amandine'!B:B,0),2),"")</f>
        <v>510</v>
      </c>
    </row>
    <row r="305">
      <c r="A305" s="1" t="s">
        <v>822</v>
      </c>
      <c r="B305" s="1" t="s">
        <v>104</v>
      </c>
      <c r="C305" s="1" t="s">
        <v>22</v>
      </c>
      <c r="D305" s="2">
        <v>12772.0</v>
      </c>
      <c r="E305" s="1">
        <v>101.0</v>
      </c>
      <c r="F305" s="1" t="s">
        <v>33</v>
      </c>
      <c r="G305" s="2">
        <v>41721.0</v>
      </c>
      <c r="H305" s="1" t="s">
        <v>24</v>
      </c>
      <c r="I305" s="2">
        <v>41721.0</v>
      </c>
      <c r="J305" s="1" t="s">
        <v>25</v>
      </c>
      <c r="K305" s="1" t="s">
        <v>26</v>
      </c>
      <c r="L305" s="1">
        <v>350.0</v>
      </c>
      <c r="M305" s="1" t="s">
        <v>823</v>
      </c>
      <c r="N305" s="1">
        <v>33.0</v>
      </c>
      <c r="O305" s="1" t="s">
        <v>28</v>
      </c>
      <c r="P305" s="1">
        <v>2.43301454E8</v>
      </c>
      <c r="Q305" s="1" t="s">
        <v>94</v>
      </c>
      <c r="R305" s="1" t="s">
        <v>30</v>
      </c>
      <c r="S305">
        <f t="shared" si="1"/>
        <v>33350</v>
      </c>
      <c r="T305">
        <f t="array" ref="T305">iferror(index('Copie de Feuille tri Amandine'!B:C,MATCH(S305,'Copie de Feuille tri Amandine'!B:B,0),2),"")</f>
        <v>1211</v>
      </c>
    </row>
    <row r="306">
      <c r="A306" s="1" t="s">
        <v>824</v>
      </c>
      <c r="B306" s="1" t="s">
        <v>825</v>
      </c>
      <c r="C306" s="1" t="s">
        <v>53</v>
      </c>
      <c r="D306" s="2">
        <v>22599.0</v>
      </c>
      <c r="E306" s="1">
        <v>148.0</v>
      </c>
      <c r="F306" s="1" t="s">
        <v>105</v>
      </c>
      <c r="G306" s="2">
        <v>42342.0</v>
      </c>
      <c r="H306" s="1" t="s">
        <v>24</v>
      </c>
      <c r="I306" s="2">
        <v>42113.0</v>
      </c>
      <c r="J306" s="1" t="s">
        <v>25</v>
      </c>
      <c r="K306" s="1" t="s">
        <v>26</v>
      </c>
      <c r="L306" s="1">
        <v>366.0</v>
      </c>
      <c r="M306" s="1" t="s">
        <v>826</v>
      </c>
      <c r="N306" s="1">
        <v>33.0</v>
      </c>
      <c r="O306" s="1" t="s">
        <v>28</v>
      </c>
      <c r="P306" s="1">
        <v>2.43301223E8</v>
      </c>
      <c r="Q306" s="1" t="s">
        <v>163</v>
      </c>
      <c r="R306" s="1" t="s">
        <v>30</v>
      </c>
      <c r="S306">
        <f t="shared" si="1"/>
        <v>33366</v>
      </c>
      <c r="T306">
        <f t="array" ref="T306">iferror(index('Copie de Feuille tri Amandine'!B:C,MATCH(S306,'Copie de Feuille tri Amandine'!B:B,0),2),"")</f>
        <v>11464</v>
      </c>
    </row>
    <row r="307">
      <c r="A307" s="1" t="s">
        <v>827</v>
      </c>
      <c r="B307" s="1" t="s">
        <v>84</v>
      </c>
      <c r="C307" s="1" t="s">
        <v>22</v>
      </c>
      <c r="D307" s="2">
        <v>22209.0</v>
      </c>
      <c r="E307" s="1">
        <v>119.0</v>
      </c>
      <c r="F307" s="1" t="s">
        <v>109</v>
      </c>
      <c r="G307" s="2">
        <v>41721.0</v>
      </c>
      <c r="H307" s="1" t="s">
        <v>24</v>
      </c>
      <c r="I307" s="2">
        <v>41721.0</v>
      </c>
      <c r="J307" s="1" t="s">
        <v>25</v>
      </c>
      <c r="K307" s="1" t="s">
        <v>26</v>
      </c>
      <c r="L307" s="1">
        <v>491.0</v>
      </c>
      <c r="M307" s="1" t="s">
        <v>828</v>
      </c>
      <c r="N307" s="1">
        <v>33.0</v>
      </c>
      <c r="O307" s="1" t="s">
        <v>28</v>
      </c>
      <c r="P307" s="1">
        <v>2.00044394E8</v>
      </c>
      <c r="Q307" s="1" t="s">
        <v>35</v>
      </c>
      <c r="R307" s="1" t="s">
        <v>30</v>
      </c>
      <c r="S307">
        <f t="shared" si="1"/>
        <v>33491</v>
      </c>
      <c r="T307">
        <f t="array" ref="T307">iferror(index('Copie de Feuille tri Amandine'!B:C,MATCH(S307,'Copie de Feuille tri Amandine'!B:B,0),2),"")</f>
        <v>366</v>
      </c>
    </row>
    <row r="308">
      <c r="A308" s="1" t="s">
        <v>829</v>
      </c>
      <c r="B308" s="1" t="s">
        <v>503</v>
      </c>
      <c r="C308" s="1" t="s">
        <v>53</v>
      </c>
      <c r="D308" s="2">
        <v>22151.0</v>
      </c>
      <c r="E308" s="1">
        <v>157.0</v>
      </c>
      <c r="F308" s="1" t="s">
        <v>97</v>
      </c>
      <c r="G308" s="2">
        <v>41721.0</v>
      </c>
      <c r="H308" s="1" t="s">
        <v>24</v>
      </c>
      <c r="I308" s="2">
        <v>41721.0</v>
      </c>
      <c r="J308" s="1" t="s">
        <v>25</v>
      </c>
      <c r="K308" s="1" t="s">
        <v>26</v>
      </c>
      <c r="L308" s="1">
        <v>525.0</v>
      </c>
      <c r="M308" s="1" t="s">
        <v>830</v>
      </c>
      <c r="N308" s="1">
        <v>33.0</v>
      </c>
      <c r="O308" s="1" t="s">
        <v>28</v>
      </c>
      <c r="P308" s="1">
        <v>2.43301223E8</v>
      </c>
      <c r="Q308" s="1" t="s">
        <v>163</v>
      </c>
      <c r="R308" s="1" t="s">
        <v>30</v>
      </c>
      <c r="S308">
        <f t="shared" si="1"/>
        <v>33525</v>
      </c>
      <c r="T308">
        <f t="array" ref="T308">iferror(index('Copie de Feuille tri Amandine'!B:C,MATCH(S308,'Copie de Feuille tri Amandine'!B:B,0),2),"")</f>
        <v>1289</v>
      </c>
    </row>
    <row r="309">
      <c r="A309" s="1" t="s">
        <v>831</v>
      </c>
      <c r="B309" s="1" t="s">
        <v>286</v>
      </c>
      <c r="C309" s="1" t="s">
        <v>22</v>
      </c>
      <c r="D309" s="2">
        <v>24714.0</v>
      </c>
      <c r="E309" s="1">
        <v>116.0</v>
      </c>
      <c r="F309" s="1" t="s">
        <v>455</v>
      </c>
      <c r="G309" s="2">
        <v>41728.0</v>
      </c>
      <c r="H309" s="1" t="s">
        <v>24</v>
      </c>
      <c r="I309" s="2">
        <v>41728.0</v>
      </c>
      <c r="J309" s="1" t="s">
        <v>25</v>
      </c>
      <c r="K309" s="1" t="s">
        <v>26</v>
      </c>
      <c r="L309" s="1">
        <v>547.0</v>
      </c>
      <c r="M309" s="1" t="s">
        <v>832</v>
      </c>
      <c r="N309" s="1">
        <v>33.0</v>
      </c>
      <c r="O309" s="1" t="s">
        <v>28</v>
      </c>
      <c r="P309" s="1">
        <v>2.00043974E8</v>
      </c>
      <c r="Q309" s="1" t="s">
        <v>78</v>
      </c>
      <c r="R309" s="1" t="s">
        <v>30</v>
      </c>
      <c r="S309">
        <f t="shared" si="1"/>
        <v>33547</v>
      </c>
      <c r="T309">
        <f t="array" ref="T309">iferror(index('Copie de Feuille tri Amandine'!B:C,MATCH(S309,'Copie de Feuille tri Amandine'!B:B,0),2),"")</f>
        <v>1059</v>
      </c>
    </row>
    <row r="310">
      <c r="A310" s="1" t="s">
        <v>833</v>
      </c>
      <c r="B310" s="1" t="s">
        <v>655</v>
      </c>
      <c r="C310" s="1" t="s">
        <v>22</v>
      </c>
      <c r="D310" s="2">
        <v>15009.0</v>
      </c>
      <c r="E310" s="1">
        <v>159.0</v>
      </c>
      <c r="F310" s="1" t="s">
        <v>130</v>
      </c>
      <c r="G310" s="2">
        <v>41721.0</v>
      </c>
      <c r="H310" s="1" t="s">
        <v>24</v>
      </c>
      <c r="I310" s="2">
        <v>41721.0</v>
      </c>
      <c r="J310" s="1" t="s">
        <v>25</v>
      </c>
      <c r="K310" s="1" t="s">
        <v>26</v>
      </c>
      <c r="L310" s="1">
        <v>40.0</v>
      </c>
      <c r="M310" s="1" t="s">
        <v>834</v>
      </c>
      <c r="N310" s="1">
        <v>33.0</v>
      </c>
      <c r="O310" s="1" t="s">
        <v>28</v>
      </c>
      <c r="P310" s="1">
        <v>2.00069581E8</v>
      </c>
      <c r="Q310" s="1" t="s">
        <v>82</v>
      </c>
      <c r="R310" s="1" t="s">
        <v>30</v>
      </c>
      <c r="S310">
        <f t="shared" si="1"/>
        <v>33040</v>
      </c>
      <c r="T310" t="str">
        <f t="array" ref="T310">iferror(index('Copie de Feuille tri Amandine'!B:C,MATCH(S310,'Copie de Feuille tri Amandine'!B:B,0),2),"")</f>
        <v/>
      </c>
    </row>
    <row r="311">
      <c r="A311" s="1" t="s">
        <v>835</v>
      </c>
      <c r="B311" s="1" t="s">
        <v>165</v>
      </c>
      <c r="C311" s="1" t="s">
        <v>22</v>
      </c>
      <c r="D311" s="2">
        <v>18855.0</v>
      </c>
      <c r="E311" s="1">
        <v>163.0</v>
      </c>
      <c r="F311" s="1" t="s">
        <v>58</v>
      </c>
      <c r="G311" s="2">
        <v>41721.0</v>
      </c>
      <c r="H311" s="1" t="s">
        <v>24</v>
      </c>
      <c r="I311" s="2">
        <v>41721.0</v>
      </c>
      <c r="J311" s="1" t="s">
        <v>25</v>
      </c>
      <c r="K311" s="1" t="s">
        <v>26</v>
      </c>
      <c r="L311" s="1">
        <v>61.0</v>
      </c>
      <c r="M311" s="1" t="s">
        <v>836</v>
      </c>
      <c r="N311" s="1">
        <v>33.0</v>
      </c>
      <c r="O311" s="1" t="s">
        <v>28</v>
      </c>
      <c r="P311" s="1">
        <v>2.43301355E8</v>
      </c>
      <c r="Q311" s="1" t="s">
        <v>132</v>
      </c>
      <c r="R311" s="1" t="s">
        <v>30</v>
      </c>
      <c r="S311">
        <f t="shared" si="1"/>
        <v>33061</v>
      </c>
      <c r="T311" t="str">
        <f t="array" ref="T311">iferror(index('Copie de Feuille tri Amandine'!B:C,MATCH(S311,'Copie de Feuille tri Amandine'!B:B,0),2),"")</f>
        <v/>
      </c>
    </row>
    <row r="312">
      <c r="A312" s="1" t="s">
        <v>837</v>
      </c>
      <c r="B312" s="1" t="s">
        <v>692</v>
      </c>
      <c r="C312" s="1" t="s">
        <v>22</v>
      </c>
      <c r="D312" s="2">
        <v>18109.0</v>
      </c>
      <c r="E312" s="1">
        <v>160.0</v>
      </c>
      <c r="F312" s="1" t="s">
        <v>253</v>
      </c>
      <c r="G312" s="2">
        <v>41721.0</v>
      </c>
      <c r="H312" s="1" t="s">
        <v>24</v>
      </c>
      <c r="I312" s="2">
        <v>41721.0</v>
      </c>
      <c r="J312" s="1" t="s">
        <v>25</v>
      </c>
      <c r="K312" s="1" t="s">
        <v>26</v>
      </c>
      <c r="L312" s="1">
        <v>109.0</v>
      </c>
      <c r="M312" s="1" t="s">
        <v>838</v>
      </c>
      <c r="N312" s="1">
        <v>33.0</v>
      </c>
      <c r="O312" s="1" t="s">
        <v>28</v>
      </c>
      <c r="P312" s="1">
        <v>2.43301264E8</v>
      </c>
      <c r="Q312" s="1" t="s">
        <v>55</v>
      </c>
      <c r="R312" s="1" t="s">
        <v>30</v>
      </c>
      <c r="S312">
        <f t="shared" si="1"/>
        <v>33109</v>
      </c>
      <c r="T312" t="str">
        <f t="array" ref="T312">iferror(index('Copie de Feuille tri Amandine'!B:C,MATCH(S312,'Copie de Feuille tri Amandine'!B:B,0),2),"")</f>
        <v/>
      </c>
    </row>
    <row r="313">
      <c r="A313" s="1" t="s">
        <v>781</v>
      </c>
      <c r="B313" s="1" t="s">
        <v>463</v>
      </c>
      <c r="C313" s="1" t="s">
        <v>22</v>
      </c>
      <c r="D313" s="2">
        <v>19564.0</v>
      </c>
      <c r="E313" s="1">
        <v>142.0</v>
      </c>
      <c r="F313" s="1" t="s">
        <v>141</v>
      </c>
      <c r="G313" s="2">
        <v>41721.0</v>
      </c>
      <c r="H313" s="1" t="s">
        <v>24</v>
      </c>
      <c r="I313" s="2">
        <v>41721.0</v>
      </c>
      <c r="J313" s="1" t="s">
        <v>25</v>
      </c>
      <c r="K313" s="1" t="s">
        <v>26</v>
      </c>
      <c r="L313" s="1">
        <v>182.0</v>
      </c>
      <c r="M313" s="1" t="s">
        <v>839</v>
      </c>
      <c r="N313" s="1">
        <v>33.0</v>
      </c>
      <c r="O313" s="1" t="s">
        <v>28</v>
      </c>
      <c r="P313" s="1">
        <v>2.00023794E8</v>
      </c>
      <c r="Q313" s="1" t="s">
        <v>243</v>
      </c>
      <c r="R313" s="1" t="s">
        <v>30</v>
      </c>
      <c r="S313">
        <f t="shared" si="1"/>
        <v>33182</v>
      </c>
      <c r="T313" t="str">
        <f t="array" ref="T313">iferror(index('Copie de Feuille tri Amandine'!B:C,MATCH(S313,'Copie de Feuille tri Amandine'!B:B,0),2),"")</f>
        <v/>
      </c>
    </row>
    <row r="314">
      <c r="A314" s="1" t="s">
        <v>840</v>
      </c>
      <c r="B314" s="1" t="s">
        <v>134</v>
      </c>
      <c r="C314" s="1" t="s">
        <v>22</v>
      </c>
      <c r="D314" s="2">
        <v>15838.0</v>
      </c>
      <c r="E314" s="1">
        <v>158.0</v>
      </c>
      <c r="F314" s="1" t="s">
        <v>274</v>
      </c>
      <c r="G314" s="2">
        <v>41721.0</v>
      </c>
      <c r="H314" s="1" t="s">
        <v>24</v>
      </c>
      <c r="I314" s="2">
        <v>41721.0</v>
      </c>
      <c r="J314" s="1" t="s">
        <v>25</v>
      </c>
      <c r="K314" s="1" t="s">
        <v>26</v>
      </c>
      <c r="L314" s="1">
        <v>14.0</v>
      </c>
      <c r="M314" s="1" t="s">
        <v>841</v>
      </c>
      <c r="N314" s="1">
        <v>33.0</v>
      </c>
      <c r="O314" s="1" t="s">
        <v>28</v>
      </c>
      <c r="P314" s="1">
        <v>2.00035533E8</v>
      </c>
      <c r="Q314" s="1" t="s">
        <v>146</v>
      </c>
      <c r="R314" s="1" t="s">
        <v>30</v>
      </c>
      <c r="S314">
        <f t="shared" si="1"/>
        <v>33014</v>
      </c>
      <c r="T314" t="str">
        <f t="array" ref="T314">iferror(index('Copie de Feuille tri Amandine'!B:C,MATCH(S314,'Copie de Feuille tri Amandine'!B:B,0),2),"")</f>
        <v/>
      </c>
    </row>
    <row r="315">
      <c r="A315" s="1" t="s">
        <v>842</v>
      </c>
      <c r="B315" s="1" t="s">
        <v>182</v>
      </c>
      <c r="C315" s="1" t="s">
        <v>22</v>
      </c>
      <c r="D315" s="2">
        <v>16547.0</v>
      </c>
      <c r="E315" s="1">
        <v>160.0</v>
      </c>
      <c r="F315" s="1" t="s">
        <v>253</v>
      </c>
      <c r="G315" s="2">
        <v>41721.0</v>
      </c>
      <c r="H315" s="1" t="s">
        <v>24</v>
      </c>
      <c r="I315" s="2">
        <v>41721.0</v>
      </c>
      <c r="J315" s="1" t="s">
        <v>25</v>
      </c>
      <c r="K315" s="1" t="s">
        <v>26</v>
      </c>
      <c r="L315" s="1">
        <v>164.0</v>
      </c>
      <c r="M315" s="1" t="s">
        <v>843</v>
      </c>
      <c r="N315" s="1">
        <v>33.0</v>
      </c>
      <c r="O315" s="1" t="s">
        <v>28</v>
      </c>
      <c r="P315" s="1">
        <v>2.00043974E8</v>
      </c>
      <c r="Q315" s="1" t="s">
        <v>78</v>
      </c>
      <c r="R315" s="1" t="s">
        <v>30</v>
      </c>
      <c r="S315">
        <f t="shared" si="1"/>
        <v>33164</v>
      </c>
      <c r="T315" t="str">
        <f t="array" ref="T315">iferror(index('Copie de Feuille tri Amandine'!B:C,MATCH(S315,'Copie de Feuille tri Amandine'!B:B,0),2),"")</f>
        <v/>
      </c>
    </row>
    <row r="316">
      <c r="A316" s="1" t="s">
        <v>477</v>
      </c>
      <c r="B316" s="1" t="s">
        <v>165</v>
      </c>
      <c r="C316" s="1" t="s">
        <v>22</v>
      </c>
      <c r="D316" s="2">
        <v>17910.0</v>
      </c>
      <c r="E316" s="1">
        <v>158.0</v>
      </c>
      <c r="F316" s="1" t="s">
        <v>274</v>
      </c>
      <c r="G316" s="2">
        <v>41721.0</v>
      </c>
      <c r="H316" s="1" t="s">
        <v>24</v>
      </c>
      <c r="I316" s="2">
        <v>42959.0</v>
      </c>
      <c r="J316" s="1" t="s">
        <v>25</v>
      </c>
      <c r="K316" s="1" t="s">
        <v>26</v>
      </c>
      <c r="L316" s="1">
        <v>171.0</v>
      </c>
      <c r="M316" s="1" t="s">
        <v>844</v>
      </c>
      <c r="N316" s="1">
        <v>33.0</v>
      </c>
      <c r="O316" s="1" t="s">
        <v>28</v>
      </c>
      <c r="P316" s="1">
        <v>2.00044394E8</v>
      </c>
      <c r="Q316" s="1" t="s">
        <v>35</v>
      </c>
      <c r="R316" s="1" t="s">
        <v>30</v>
      </c>
      <c r="S316">
        <f t="shared" si="1"/>
        <v>33171</v>
      </c>
      <c r="T316" t="str">
        <f t="array" ref="T316">iferror(index('Copie de Feuille tri Amandine'!B:C,MATCH(S316,'Copie de Feuille tri Amandine'!B:B,0),2),"")</f>
        <v/>
      </c>
    </row>
    <row r="317">
      <c r="A317" s="1" t="s">
        <v>790</v>
      </c>
      <c r="B317" s="1" t="s">
        <v>845</v>
      </c>
      <c r="C317" s="1" t="s">
        <v>22</v>
      </c>
      <c r="D317" s="2">
        <v>26725.0</v>
      </c>
      <c r="E317" s="1">
        <v>142.0</v>
      </c>
      <c r="F317" s="1" t="s">
        <v>141</v>
      </c>
      <c r="G317" s="2">
        <v>41721.0</v>
      </c>
      <c r="H317" s="1" t="s">
        <v>24</v>
      </c>
      <c r="I317" s="2">
        <v>41721.0</v>
      </c>
      <c r="J317" s="1" t="s">
        <v>25</v>
      </c>
      <c r="K317" s="1" t="s">
        <v>26</v>
      </c>
      <c r="L317" s="1">
        <v>244.0</v>
      </c>
      <c r="M317" s="1" t="s">
        <v>846</v>
      </c>
      <c r="N317" s="1">
        <v>33.0</v>
      </c>
      <c r="O317" s="1" t="s">
        <v>28</v>
      </c>
      <c r="P317" s="1">
        <v>2.00043982E8</v>
      </c>
      <c r="Q317" s="1" t="s">
        <v>124</v>
      </c>
      <c r="R317" s="1" t="s">
        <v>30</v>
      </c>
      <c r="S317">
        <f t="shared" si="1"/>
        <v>33244</v>
      </c>
      <c r="T317" t="str">
        <f t="array" ref="T317">iferror(index('Copie de Feuille tri Amandine'!B:C,MATCH(S317,'Copie de Feuille tri Amandine'!B:B,0),2),"")</f>
        <v/>
      </c>
    </row>
    <row r="318">
      <c r="A318" s="1" t="s">
        <v>847</v>
      </c>
      <c r="B318" s="1" t="s">
        <v>182</v>
      </c>
      <c r="C318" s="1" t="s">
        <v>22</v>
      </c>
      <c r="D318" s="2">
        <v>20003.0</v>
      </c>
      <c r="E318" s="1">
        <v>118.0</v>
      </c>
      <c r="F318" s="1" t="s">
        <v>101</v>
      </c>
      <c r="G318" s="2">
        <v>41728.0</v>
      </c>
      <c r="H318" s="1" t="s">
        <v>24</v>
      </c>
      <c r="I318" s="2">
        <v>41728.0</v>
      </c>
      <c r="J318" s="1" t="s">
        <v>25</v>
      </c>
      <c r="K318" s="1" t="s">
        <v>26</v>
      </c>
      <c r="L318" s="1">
        <v>245.0</v>
      </c>
      <c r="M318" s="1" t="s">
        <v>848</v>
      </c>
      <c r="N318" s="1">
        <v>33.0</v>
      </c>
      <c r="O318" s="1" t="s">
        <v>28</v>
      </c>
      <c r="P318" s="1">
        <v>2.43301439E8</v>
      </c>
      <c r="Q318" s="1" t="s">
        <v>115</v>
      </c>
      <c r="R318" s="1" t="s">
        <v>30</v>
      </c>
      <c r="S318">
        <f t="shared" si="1"/>
        <v>33245</v>
      </c>
      <c r="T318" t="str">
        <f t="array" ref="T318">iferror(index('Copie de Feuille tri Amandine'!B:C,MATCH(S318,'Copie de Feuille tri Amandine'!B:B,0),2),"")</f>
        <v/>
      </c>
    </row>
    <row r="319">
      <c r="A319" s="1" t="s">
        <v>849</v>
      </c>
      <c r="B319" s="1" t="s">
        <v>80</v>
      </c>
      <c r="C319" s="1" t="s">
        <v>22</v>
      </c>
      <c r="D319" s="2">
        <v>20991.0</v>
      </c>
      <c r="E319" s="1">
        <v>119.0</v>
      </c>
      <c r="F319" s="1" t="s">
        <v>109</v>
      </c>
      <c r="G319" s="2">
        <v>41728.0</v>
      </c>
      <c r="H319" s="1" t="s">
        <v>24</v>
      </c>
      <c r="I319" s="2">
        <v>41728.0</v>
      </c>
      <c r="J319" s="1" t="s">
        <v>25</v>
      </c>
      <c r="K319" s="1" t="s">
        <v>26</v>
      </c>
      <c r="L319" s="1">
        <v>274.0</v>
      </c>
      <c r="M319" s="1" t="s">
        <v>850</v>
      </c>
      <c r="N319" s="1">
        <v>33.0</v>
      </c>
      <c r="O319" s="1" t="s">
        <v>28</v>
      </c>
      <c r="P319" s="1">
        <v>2.43301264E8</v>
      </c>
      <c r="Q319" s="1" t="s">
        <v>55</v>
      </c>
      <c r="R319" s="1" t="s">
        <v>30</v>
      </c>
      <c r="S319">
        <f t="shared" si="1"/>
        <v>33274</v>
      </c>
      <c r="T319">
        <f t="array" ref="T319">iferror(index('Copie de Feuille tri Amandine'!B:C,MATCH(S319,'Copie de Feuille tri Amandine'!B:B,0),2),"")</f>
        <v>3067</v>
      </c>
    </row>
    <row r="320">
      <c r="A320" s="1" t="s">
        <v>851</v>
      </c>
      <c r="B320" s="1" t="s">
        <v>745</v>
      </c>
      <c r="C320" s="1" t="s">
        <v>22</v>
      </c>
      <c r="D320" s="2">
        <v>21139.0</v>
      </c>
      <c r="E320" s="1">
        <v>101.0</v>
      </c>
      <c r="F320" s="1" t="s">
        <v>33</v>
      </c>
      <c r="G320" s="2">
        <v>41721.0</v>
      </c>
      <c r="H320" s="1" t="s">
        <v>24</v>
      </c>
      <c r="I320" s="2">
        <v>41721.0</v>
      </c>
      <c r="J320" s="1" t="s">
        <v>25</v>
      </c>
      <c r="K320" s="1" t="s">
        <v>26</v>
      </c>
      <c r="L320" s="1">
        <v>288.0</v>
      </c>
      <c r="M320" s="1" t="s">
        <v>852</v>
      </c>
      <c r="N320" s="1">
        <v>33.0</v>
      </c>
      <c r="O320" s="1" t="s">
        <v>28</v>
      </c>
      <c r="P320" s="1">
        <v>2.00069581E8</v>
      </c>
      <c r="Q320" s="1" t="s">
        <v>82</v>
      </c>
      <c r="R320" s="1" t="s">
        <v>30</v>
      </c>
      <c r="S320">
        <f t="shared" si="1"/>
        <v>33288</v>
      </c>
      <c r="T320">
        <f t="array" ref="T320">iferror(index('Copie de Feuille tri Amandine'!B:C,MATCH(S320,'Copie de Feuille tri Amandine'!B:B,0),2),"")</f>
        <v>300</v>
      </c>
    </row>
    <row r="321">
      <c r="A321" s="1" t="s">
        <v>853</v>
      </c>
      <c r="B321" s="1" t="s">
        <v>175</v>
      </c>
      <c r="C321" s="1" t="s">
        <v>22</v>
      </c>
      <c r="D321" s="2">
        <v>17492.0</v>
      </c>
      <c r="E321" s="1">
        <v>161.0</v>
      </c>
      <c r="F321" s="1" t="s">
        <v>72</v>
      </c>
      <c r="G321" s="2">
        <v>43156.0</v>
      </c>
      <c r="H321" s="1" t="s">
        <v>24</v>
      </c>
      <c r="I321" s="2">
        <v>43162.0</v>
      </c>
      <c r="J321" s="1" t="s">
        <v>25</v>
      </c>
      <c r="K321" s="1" t="s">
        <v>26</v>
      </c>
      <c r="L321" s="1">
        <v>339.0</v>
      </c>
      <c r="M321" s="1" t="s">
        <v>854</v>
      </c>
      <c r="N321" s="1">
        <v>33.0</v>
      </c>
      <c r="O321" s="1" t="s">
        <v>28</v>
      </c>
      <c r="P321" s="1">
        <v>2.43301223E8</v>
      </c>
      <c r="Q321" s="1" t="s">
        <v>163</v>
      </c>
      <c r="R321" s="1" t="s">
        <v>30</v>
      </c>
      <c r="S321">
        <f t="shared" si="1"/>
        <v>33339</v>
      </c>
      <c r="T321">
        <f t="array" ref="T321">iferror(index('Copie de Feuille tri Amandine'!B:C,MATCH(S321,'Copie de Feuille tri Amandine'!B:B,0),2),"")</f>
        <v>1379</v>
      </c>
    </row>
    <row r="322">
      <c r="A322" s="1" t="s">
        <v>855</v>
      </c>
      <c r="B322" s="1" t="s">
        <v>175</v>
      </c>
      <c r="C322" s="1" t="s">
        <v>22</v>
      </c>
      <c r="D322" s="2">
        <v>24314.0</v>
      </c>
      <c r="E322" s="1">
        <v>110.0</v>
      </c>
      <c r="F322" s="1" t="s">
        <v>48</v>
      </c>
      <c r="G322" s="2">
        <v>41721.0</v>
      </c>
      <c r="H322" s="1" t="s">
        <v>24</v>
      </c>
      <c r="I322" s="2">
        <v>41721.0</v>
      </c>
      <c r="J322" s="1" t="s">
        <v>25</v>
      </c>
      <c r="K322" s="1" t="s">
        <v>26</v>
      </c>
      <c r="L322" s="1">
        <v>346.0</v>
      </c>
      <c r="M322" s="1" t="s">
        <v>856</v>
      </c>
      <c r="N322" s="1">
        <v>33.0</v>
      </c>
      <c r="O322" s="1" t="s">
        <v>28</v>
      </c>
      <c r="P322" s="1">
        <v>2.00044394E8</v>
      </c>
      <c r="Q322" s="1" t="s">
        <v>35</v>
      </c>
      <c r="R322" s="1" t="s">
        <v>30</v>
      </c>
      <c r="S322">
        <f t="shared" si="1"/>
        <v>33346</v>
      </c>
      <c r="T322">
        <f t="array" ref="T322">iferror(index('Copie de Feuille tri Amandine'!B:C,MATCH(S322,'Copie de Feuille tri Amandine'!B:B,0),2),"")</f>
        <v>423</v>
      </c>
    </row>
    <row r="323">
      <c r="A323" s="1" t="s">
        <v>857</v>
      </c>
      <c r="B323" s="1" t="s">
        <v>193</v>
      </c>
      <c r="C323" s="1" t="s">
        <v>22</v>
      </c>
      <c r="D323" s="2">
        <v>24895.0</v>
      </c>
      <c r="E323" s="1">
        <v>101.0</v>
      </c>
      <c r="F323" s="1" t="s">
        <v>33</v>
      </c>
      <c r="G323" s="2">
        <v>41721.0</v>
      </c>
      <c r="H323" s="1" t="s">
        <v>24</v>
      </c>
      <c r="I323" s="2">
        <v>41721.0</v>
      </c>
      <c r="J323" s="1" t="s">
        <v>25</v>
      </c>
      <c r="K323" s="1" t="s">
        <v>26</v>
      </c>
      <c r="L323" s="1">
        <v>370.0</v>
      </c>
      <c r="M323" s="1" t="s">
        <v>858</v>
      </c>
      <c r="N323" s="1">
        <v>33.0</v>
      </c>
      <c r="O323" s="1" t="s">
        <v>28</v>
      </c>
      <c r="P323" s="1">
        <v>2.43300811E8</v>
      </c>
      <c r="Q323" s="1" t="s">
        <v>201</v>
      </c>
      <c r="R323" s="1" t="s">
        <v>30</v>
      </c>
      <c r="S323">
        <f t="shared" si="1"/>
        <v>33370</v>
      </c>
      <c r="T323">
        <f t="array" ref="T323">iferror(index('Copie de Feuille tri Amandine'!B:C,MATCH(S323,'Copie de Feuille tri Amandine'!B:B,0),2),"")</f>
        <v>551</v>
      </c>
    </row>
    <row r="324">
      <c r="A324" s="1" t="s">
        <v>859</v>
      </c>
      <c r="B324" s="1" t="s">
        <v>692</v>
      </c>
      <c r="C324" s="1" t="s">
        <v>22</v>
      </c>
      <c r="D324" s="2">
        <v>15424.0</v>
      </c>
      <c r="E324" s="1">
        <v>158.0</v>
      </c>
      <c r="F324" s="1" t="s">
        <v>274</v>
      </c>
      <c r="G324" s="2">
        <v>41721.0</v>
      </c>
      <c r="H324" s="1" t="s">
        <v>24</v>
      </c>
      <c r="I324" s="2">
        <v>41721.0</v>
      </c>
      <c r="J324" s="1" t="s">
        <v>25</v>
      </c>
      <c r="K324" s="1" t="s">
        <v>26</v>
      </c>
      <c r="L324" s="1">
        <v>401.0</v>
      </c>
      <c r="M324" s="1" t="s">
        <v>860</v>
      </c>
      <c r="N324" s="1">
        <v>33.0</v>
      </c>
      <c r="O324" s="1" t="s">
        <v>28</v>
      </c>
      <c r="P324" s="1">
        <v>2.43301454E8</v>
      </c>
      <c r="Q324" s="1" t="s">
        <v>94</v>
      </c>
      <c r="R324" s="1" t="s">
        <v>30</v>
      </c>
      <c r="S324">
        <f t="shared" si="1"/>
        <v>33401</v>
      </c>
      <c r="T324">
        <f t="array" ref="T324">iferror(index('Copie de Feuille tri Amandine'!B:C,MATCH(S324,'Copie de Feuille tri Amandine'!B:B,0),2),"")</f>
        <v>149</v>
      </c>
    </row>
    <row r="325">
      <c r="A325" s="1" t="s">
        <v>861</v>
      </c>
      <c r="B325" s="1" t="s">
        <v>182</v>
      </c>
      <c r="C325" s="1" t="s">
        <v>22</v>
      </c>
      <c r="D325" s="2">
        <v>17949.0</v>
      </c>
      <c r="E325" s="1">
        <v>164.0</v>
      </c>
      <c r="F325" s="1" t="s">
        <v>183</v>
      </c>
      <c r="G325" s="2">
        <v>41721.0</v>
      </c>
      <c r="H325" s="1" t="s">
        <v>24</v>
      </c>
      <c r="I325" s="2">
        <v>41721.0</v>
      </c>
      <c r="J325" s="1" t="s">
        <v>25</v>
      </c>
      <c r="K325" s="1" t="s">
        <v>26</v>
      </c>
      <c r="L325" s="1">
        <v>433.0</v>
      </c>
      <c r="M325" s="1" t="s">
        <v>862</v>
      </c>
      <c r="N325" s="1">
        <v>33.0</v>
      </c>
      <c r="O325" s="1" t="s">
        <v>28</v>
      </c>
      <c r="P325" s="1">
        <v>2.43301249E8</v>
      </c>
      <c r="Q325" s="1" t="s">
        <v>86</v>
      </c>
      <c r="R325" s="1" t="s">
        <v>30</v>
      </c>
      <c r="S325">
        <f t="shared" si="1"/>
        <v>33433</v>
      </c>
      <c r="T325">
        <f t="array" ref="T325">iferror(index('Copie de Feuille tri Amandine'!B:C,MATCH(S325,'Copie de Feuille tri Amandine'!B:B,0),2),"")</f>
        <v>9509</v>
      </c>
    </row>
    <row r="326">
      <c r="A326" s="1" t="s">
        <v>863</v>
      </c>
      <c r="B326" s="1" t="s">
        <v>864</v>
      </c>
      <c r="C326" s="1" t="s">
        <v>22</v>
      </c>
      <c r="D326" s="2">
        <v>27480.0</v>
      </c>
      <c r="E326" s="1">
        <v>110.0</v>
      </c>
      <c r="F326" s="1" t="s">
        <v>48</v>
      </c>
      <c r="G326" s="2">
        <v>43080.0</v>
      </c>
      <c r="H326" s="1" t="s">
        <v>24</v>
      </c>
      <c r="I326" s="2">
        <v>43056.0</v>
      </c>
      <c r="J326" s="1" t="s">
        <v>25</v>
      </c>
      <c r="K326" s="1" t="s">
        <v>26</v>
      </c>
      <c r="L326" s="1">
        <v>536.0</v>
      </c>
      <c r="M326" s="1" t="s">
        <v>865</v>
      </c>
      <c r="N326" s="1">
        <v>33.0</v>
      </c>
      <c r="O326" s="1" t="s">
        <v>28</v>
      </c>
      <c r="P326" s="1">
        <v>2.00043974E8</v>
      </c>
      <c r="Q326" s="1" t="s">
        <v>78</v>
      </c>
      <c r="R326" s="1" t="s">
        <v>30</v>
      </c>
      <c r="S326">
        <f t="shared" si="1"/>
        <v>33536</v>
      </c>
      <c r="T326" t="str">
        <f t="array" ref="T326">iferror(index('Copie de Feuille tri Amandine'!B:C,MATCH(S326,'Copie de Feuille tri Amandine'!B:B,0),2),"")</f>
        <v/>
      </c>
    </row>
    <row r="327">
      <c r="A327" s="1" t="s">
        <v>866</v>
      </c>
      <c r="B327" s="1" t="s">
        <v>205</v>
      </c>
      <c r="C327" s="1" t="s">
        <v>22</v>
      </c>
      <c r="D327" s="2">
        <v>20667.0</v>
      </c>
      <c r="E327" s="1">
        <v>163.0</v>
      </c>
      <c r="F327" s="1" t="s">
        <v>58</v>
      </c>
      <c r="G327" s="2">
        <v>41721.0</v>
      </c>
      <c r="H327" s="1" t="s">
        <v>24</v>
      </c>
      <c r="I327" s="2">
        <v>41721.0</v>
      </c>
      <c r="J327" s="1" t="s">
        <v>25</v>
      </c>
      <c r="K327" s="1" t="s">
        <v>26</v>
      </c>
      <c r="L327" s="1">
        <v>549.0</v>
      </c>
      <c r="M327" s="1" t="s">
        <v>867</v>
      </c>
      <c r="N327" s="1">
        <v>33.0</v>
      </c>
      <c r="O327" s="1" t="s">
        <v>28</v>
      </c>
      <c r="P327" s="1">
        <v>2.43301215E8</v>
      </c>
      <c r="Q327" s="1" t="s">
        <v>136</v>
      </c>
      <c r="R327" s="1" t="s">
        <v>30</v>
      </c>
      <c r="S327">
        <f t="shared" si="1"/>
        <v>33549</v>
      </c>
      <c r="T327">
        <f t="array" ref="T327">iferror(index('Copie de Feuille tri Amandine'!B:C,MATCH(S327,'Copie de Feuille tri Amandine'!B:B,0),2),"")</f>
        <v>317</v>
      </c>
    </row>
    <row r="328">
      <c r="A328" s="1" t="s">
        <v>868</v>
      </c>
      <c r="B328" s="1" t="s">
        <v>745</v>
      </c>
      <c r="C328" s="1" t="s">
        <v>22</v>
      </c>
      <c r="D328" s="2">
        <v>20574.0</v>
      </c>
      <c r="E328" s="1">
        <v>164.0</v>
      </c>
      <c r="F328" s="1" t="s">
        <v>183</v>
      </c>
      <c r="G328" s="2">
        <v>41721.0</v>
      </c>
      <c r="H328" s="1" t="s">
        <v>24</v>
      </c>
      <c r="I328" s="2">
        <v>41721.0</v>
      </c>
      <c r="J328" s="1" t="s">
        <v>25</v>
      </c>
      <c r="K328" s="1" t="s">
        <v>26</v>
      </c>
      <c r="L328" s="1">
        <v>35.0</v>
      </c>
      <c r="M328" s="1" t="s">
        <v>869</v>
      </c>
      <c r="N328" s="1">
        <v>33.0</v>
      </c>
      <c r="O328" s="1" t="s">
        <v>28</v>
      </c>
      <c r="P328" s="1">
        <v>2.00023794E8</v>
      </c>
      <c r="Q328" s="1" t="s">
        <v>243</v>
      </c>
      <c r="R328" s="1" t="s">
        <v>30</v>
      </c>
      <c r="S328">
        <f t="shared" si="1"/>
        <v>33035</v>
      </c>
      <c r="T328" t="str">
        <f t="array" ref="T328">iferror(index('Copie de Feuille tri Amandine'!B:C,MATCH(S328,'Copie de Feuille tri Amandine'!B:B,0),2),"")</f>
        <v/>
      </c>
    </row>
    <row r="329">
      <c r="A329" s="1" t="s">
        <v>870</v>
      </c>
      <c r="B329" s="1" t="s">
        <v>47</v>
      </c>
      <c r="C329" s="1" t="s">
        <v>22</v>
      </c>
      <c r="D329" s="2">
        <v>21565.0</v>
      </c>
      <c r="E329" s="1">
        <v>147.0</v>
      </c>
      <c r="F329" s="1" t="s">
        <v>38</v>
      </c>
      <c r="G329" s="2">
        <v>41721.0</v>
      </c>
      <c r="H329" s="1" t="s">
        <v>24</v>
      </c>
      <c r="I329" s="2">
        <v>41721.0</v>
      </c>
      <c r="J329" s="1" t="s">
        <v>25</v>
      </c>
      <c r="K329" s="1" t="s">
        <v>26</v>
      </c>
      <c r="L329" s="1">
        <v>62.0</v>
      </c>
      <c r="M329" s="1" t="s">
        <v>871</v>
      </c>
      <c r="N329" s="1">
        <v>33.0</v>
      </c>
      <c r="O329" s="1" t="s">
        <v>28</v>
      </c>
      <c r="P329" s="1">
        <v>2.00070092E8</v>
      </c>
      <c r="Q329" s="1" t="s">
        <v>50</v>
      </c>
      <c r="R329" s="1" t="s">
        <v>30</v>
      </c>
      <c r="S329">
        <f t="shared" si="1"/>
        <v>33062</v>
      </c>
      <c r="T329" t="str">
        <f t="array" ref="T329">iferror(index('Copie de Feuille tri Amandine'!B:C,MATCH(S329,'Copie de Feuille tri Amandine'!B:B,0),2),"")</f>
        <v/>
      </c>
    </row>
    <row r="330">
      <c r="A330" s="1" t="s">
        <v>872</v>
      </c>
      <c r="B330" s="1" t="s">
        <v>873</v>
      </c>
      <c r="C330" s="1" t="s">
        <v>22</v>
      </c>
      <c r="D330" s="2">
        <v>25291.0</v>
      </c>
      <c r="E330" s="1">
        <v>118.0</v>
      </c>
      <c r="F330" s="1" t="s">
        <v>101</v>
      </c>
      <c r="G330" s="2">
        <v>41721.0</v>
      </c>
      <c r="H330" s="1" t="s">
        <v>24</v>
      </c>
      <c r="I330" s="2">
        <v>43649.0</v>
      </c>
      <c r="J330" s="1" t="s">
        <v>25</v>
      </c>
      <c r="K330" s="1" t="s">
        <v>26</v>
      </c>
      <c r="L330" s="1">
        <v>63.0</v>
      </c>
      <c r="M330" s="1" t="s">
        <v>874</v>
      </c>
      <c r="N330" s="1">
        <v>33.0</v>
      </c>
      <c r="O330" s="1" t="s">
        <v>28</v>
      </c>
      <c r="P330" s="1">
        <v>2.43300316E8</v>
      </c>
      <c r="Q330" s="1" t="s">
        <v>40</v>
      </c>
      <c r="R330" s="1" t="s">
        <v>30</v>
      </c>
      <c r="S330">
        <f t="shared" si="1"/>
        <v>33063</v>
      </c>
      <c r="T330" t="str">
        <f t="array" ref="T330">iferror(index('Copie de Feuille tri Amandine'!B:C,MATCH(S330,'Copie de Feuille tri Amandine'!B:B,0),2),"")</f>
        <v/>
      </c>
    </row>
    <row r="331">
      <c r="A331" s="1" t="s">
        <v>875</v>
      </c>
      <c r="B331" s="1" t="s">
        <v>165</v>
      </c>
      <c r="C331" s="1" t="s">
        <v>22</v>
      </c>
      <c r="D331" s="2">
        <v>17962.0</v>
      </c>
      <c r="E331" s="1">
        <v>158.0</v>
      </c>
      <c r="F331" s="1" t="s">
        <v>274</v>
      </c>
      <c r="G331" s="2">
        <v>41721.0</v>
      </c>
      <c r="H331" s="1" t="s">
        <v>24</v>
      </c>
      <c r="I331" s="2">
        <v>41726.0</v>
      </c>
      <c r="J331" s="1" t="s">
        <v>25</v>
      </c>
      <c r="K331" s="1" t="s">
        <v>26</v>
      </c>
      <c r="L331" s="1">
        <v>100.0</v>
      </c>
      <c r="M331" s="1" t="s">
        <v>876</v>
      </c>
      <c r="N331" s="1">
        <v>33.0</v>
      </c>
      <c r="O331" s="1" t="s">
        <v>28</v>
      </c>
      <c r="P331" s="1">
        <v>2.00023794E8</v>
      </c>
      <c r="Q331" s="1" t="s">
        <v>243</v>
      </c>
      <c r="R331" s="1" t="s">
        <v>30</v>
      </c>
      <c r="S331">
        <f t="shared" si="1"/>
        <v>33100</v>
      </c>
      <c r="T331" t="str">
        <f t="array" ref="T331">iferror(index('Copie de Feuille tri Amandine'!B:C,MATCH(S331,'Copie de Feuille tri Amandine'!B:B,0),2),"")</f>
        <v/>
      </c>
    </row>
    <row r="332">
      <c r="A332" s="1" t="s">
        <v>877</v>
      </c>
      <c r="B332" s="1" t="s">
        <v>460</v>
      </c>
      <c r="C332" s="1" t="s">
        <v>22</v>
      </c>
      <c r="D332" s="2">
        <v>20659.0</v>
      </c>
      <c r="E332" s="1">
        <v>121.0</v>
      </c>
      <c r="F332" s="1" t="s">
        <v>878</v>
      </c>
      <c r="G332" s="2">
        <v>41721.0</v>
      </c>
      <c r="H332" s="1" t="s">
        <v>24</v>
      </c>
      <c r="I332" s="2">
        <v>41721.0</v>
      </c>
      <c r="J332" s="1" t="s">
        <v>25</v>
      </c>
      <c r="K332" s="1" t="s">
        <v>26</v>
      </c>
      <c r="L332" s="1">
        <v>131.0</v>
      </c>
      <c r="M332" s="1" t="s">
        <v>879</v>
      </c>
      <c r="N332" s="1">
        <v>33.0</v>
      </c>
      <c r="O332" s="1" t="s">
        <v>28</v>
      </c>
      <c r="P332" s="1">
        <v>2.00069599E8</v>
      </c>
      <c r="Q332" s="1" t="s">
        <v>60</v>
      </c>
      <c r="R332" s="1" t="s">
        <v>30</v>
      </c>
      <c r="S332">
        <f t="shared" si="1"/>
        <v>33131</v>
      </c>
      <c r="T332" t="str">
        <f t="array" ref="T332">iferror(index('Copie de Feuille tri Amandine'!B:C,MATCH(S332,'Copie de Feuille tri Amandine'!B:B,0),2),"")</f>
        <v/>
      </c>
    </row>
    <row r="333">
      <c r="A333" s="1" t="s">
        <v>880</v>
      </c>
      <c r="B333" s="1" t="s">
        <v>175</v>
      </c>
      <c r="C333" s="1" t="s">
        <v>22</v>
      </c>
      <c r="D333" s="2">
        <v>19141.0</v>
      </c>
      <c r="E333" s="1">
        <v>118.0</v>
      </c>
      <c r="F333" s="1" t="s">
        <v>101</v>
      </c>
      <c r="G333" s="2">
        <v>41721.0</v>
      </c>
      <c r="H333" s="1" t="s">
        <v>24</v>
      </c>
      <c r="I333" s="2">
        <v>41721.0</v>
      </c>
      <c r="J333" s="1" t="s">
        <v>25</v>
      </c>
      <c r="K333" s="1" t="s">
        <v>26</v>
      </c>
      <c r="L333" s="1">
        <v>192.0</v>
      </c>
      <c r="M333" s="1" t="s">
        <v>881</v>
      </c>
      <c r="N333" s="1">
        <v>33.0</v>
      </c>
      <c r="O333" s="1" t="s">
        <v>28</v>
      </c>
      <c r="P333" s="1">
        <v>2.43300316E8</v>
      </c>
      <c r="Q333" s="1" t="s">
        <v>40</v>
      </c>
      <c r="R333" s="1" t="s">
        <v>30</v>
      </c>
      <c r="S333">
        <f t="shared" si="1"/>
        <v>33192</v>
      </c>
      <c r="T333" t="str">
        <f t="array" ref="T333">iferror(index('Copie de Feuille tri Amandine'!B:C,MATCH(S333,'Copie de Feuille tri Amandine'!B:B,0),2),"")</f>
        <v/>
      </c>
    </row>
    <row r="334">
      <c r="A334" s="1" t="s">
        <v>882</v>
      </c>
      <c r="B334" s="1" t="s">
        <v>883</v>
      </c>
      <c r="C334" s="1" t="s">
        <v>22</v>
      </c>
      <c r="D334" s="2">
        <v>20621.0</v>
      </c>
      <c r="E334" s="1">
        <v>149.0</v>
      </c>
      <c r="F334" s="1" t="s">
        <v>257</v>
      </c>
      <c r="G334" s="2">
        <v>41721.0</v>
      </c>
      <c r="H334" s="1" t="s">
        <v>24</v>
      </c>
      <c r="I334" s="2">
        <v>41728.0</v>
      </c>
      <c r="J334" s="1" t="s">
        <v>25</v>
      </c>
      <c r="K334" s="1" t="s">
        <v>26</v>
      </c>
      <c r="L334" s="1">
        <v>216.0</v>
      </c>
      <c r="M334" s="1" t="s">
        <v>884</v>
      </c>
      <c r="N334" s="1">
        <v>33.0</v>
      </c>
      <c r="O334" s="1" t="s">
        <v>28</v>
      </c>
      <c r="P334" s="1">
        <v>2.00043982E8</v>
      </c>
      <c r="Q334" s="1" t="s">
        <v>124</v>
      </c>
      <c r="R334" s="1" t="s">
        <v>30</v>
      </c>
      <c r="S334">
        <f t="shared" si="1"/>
        <v>33216</v>
      </c>
      <c r="T334" t="str">
        <f t="array" ref="T334">iferror(index('Copie de Feuille tri Amandine'!B:C,MATCH(S334,'Copie de Feuille tri Amandine'!B:B,0),2),"")</f>
        <v/>
      </c>
    </row>
    <row r="335">
      <c r="A335" s="1" t="s">
        <v>885</v>
      </c>
      <c r="B335" s="1" t="s">
        <v>84</v>
      </c>
      <c r="C335" s="1" t="s">
        <v>22</v>
      </c>
      <c r="D335" s="2">
        <v>15137.0</v>
      </c>
      <c r="E335" s="1">
        <v>162.0</v>
      </c>
      <c r="F335" s="1" t="s">
        <v>76</v>
      </c>
      <c r="G335" s="2">
        <v>41728.0</v>
      </c>
      <c r="H335" s="1" t="s">
        <v>24</v>
      </c>
      <c r="I335" s="2">
        <v>41728.0</v>
      </c>
      <c r="J335" s="1" t="s">
        <v>25</v>
      </c>
      <c r="K335" s="1" t="s">
        <v>26</v>
      </c>
      <c r="L335" s="1">
        <v>227.0</v>
      </c>
      <c r="M335" s="1" t="s">
        <v>886</v>
      </c>
      <c r="N335" s="1">
        <v>33.0</v>
      </c>
      <c r="O335" s="1" t="s">
        <v>28</v>
      </c>
      <c r="P335" s="1">
        <v>2.00043974E8</v>
      </c>
      <c r="Q335" s="1" t="s">
        <v>78</v>
      </c>
      <c r="R335" s="1" t="s">
        <v>30</v>
      </c>
      <c r="S335">
        <f t="shared" si="1"/>
        <v>33227</v>
      </c>
      <c r="T335" t="str">
        <f t="array" ref="T335">iferror(index('Copie de Feuille tri Amandine'!B:C,MATCH(S335,'Copie de Feuille tri Amandine'!B:B,0),2),"")</f>
        <v/>
      </c>
    </row>
    <row r="336">
      <c r="A336" s="1" t="s">
        <v>887</v>
      </c>
      <c r="B336" s="1" t="s">
        <v>189</v>
      </c>
      <c r="C336" s="1" t="s">
        <v>22</v>
      </c>
      <c r="D336" s="2">
        <v>17449.0</v>
      </c>
      <c r="E336" s="1">
        <v>163.0</v>
      </c>
      <c r="F336" s="1" t="s">
        <v>58</v>
      </c>
      <c r="G336" s="2">
        <v>41721.0</v>
      </c>
      <c r="H336" s="1" t="s">
        <v>24</v>
      </c>
      <c r="I336" s="2">
        <v>41721.0</v>
      </c>
      <c r="J336" s="1" t="s">
        <v>25</v>
      </c>
      <c r="K336" s="1" t="s">
        <v>26</v>
      </c>
      <c r="L336" s="1">
        <v>154.0</v>
      </c>
      <c r="M336" s="1" t="s">
        <v>888</v>
      </c>
      <c r="N336" s="1">
        <v>33.0</v>
      </c>
      <c r="O336" s="1" t="s">
        <v>28</v>
      </c>
      <c r="P336" s="1">
        <v>2.00070092E8</v>
      </c>
      <c r="Q336" s="1" t="s">
        <v>50</v>
      </c>
      <c r="R336" s="1" t="s">
        <v>30</v>
      </c>
      <c r="S336">
        <f t="shared" si="1"/>
        <v>33154</v>
      </c>
      <c r="T336" t="str">
        <f t="array" ref="T336">iferror(index('Copie de Feuille tri Amandine'!B:C,MATCH(S336,'Copie de Feuille tri Amandine'!B:B,0),2),"")</f>
        <v/>
      </c>
    </row>
    <row r="337">
      <c r="A337" s="1" t="s">
        <v>889</v>
      </c>
      <c r="B337" s="1" t="s">
        <v>186</v>
      </c>
      <c r="C337" s="1" t="s">
        <v>22</v>
      </c>
      <c r="D337" s="2">
        <v>24591.0</v>
      </c>
      <c r="E337" s="1">
        <v>101.0</v>
      </c>
      <c r="F337" s="1" t="s">
        <v>33</v>
      </c>
      <c r="G337" s="2">
        <v>41721.0</v>
      </c>
      <c r="H337" s="1" t="s">
        <v>24</v>
      </c>
      <c r="I337" s="2">
        <v>41721.0</v>
      </c>
      <c r="J337" s="1" t="s">
        <v>25</v>
      </c>
      <c r="K337" s="1" t="s">
        <v>26</v>
      </c>
      <c r="L337" s="1">
        <v>247.0</v>
      </c>
      <c r="M337" s="1" t="s">
        <v>890</v>
      </c>
      <c r="N337" s="1">
        <v>33.0</v>
      </c>
      <c r="O337" s="1" t="s">
        <v>28</v>
      </c>
      <c r="P337" s="1">
        <v>2.43301371E8</v>
      </c>
      <c r="Q337" s="1" t="s">
        <v>271</v>
      </c>
      <c r="R337" s="1" t="s">
        <v>30</v>
      </c>
      <c r="S337">
        <f t="shared" si="1"/>
        <v>33247</v>
      </c>
      <c r="T337" t="str">
        <f t="array" ref="T337">iferror(index('Copie de Feuille tri Amandine'!B:C,MATCH(S337,'Copie de Feuille tri Amandine'!B:B,0),2),"")</f>
        <v/>
      </c>
    </row>
    <row r="338">
      <c r="A338" s="1" t="s">
        <v>891</v>
      </c>
      <c r="B338" s="1" t="s">
        <v>892</v>
      </c>
      <c r="C338" s="1" t="s">
        <v>53</v>
      </c>
      <c r="D338" s="2">
        <v>28428.0</v>
      </c>
      <c r="E338" s="1">
        <v>118.0</v>
      </c>
      <c r="F338" s="1" t="s">
        <v>101</v>
      </c>
      <c r="G338" s="2">
        <v>41721.0</v>
      </c>
      <c r="H338" s="1" t="s">
        <v>24</v>
      </c>
      <c r="I338" s="2">
        <v>41728.0</v>
      </c>
      <c r="J338" s="1" t="s">
        <v>25</v>
      </c>
      <c r="K338" s="1" t="s">
        <v>26</v>
      </c>
      <c r="L338" s="1">
        <v>260.0</v>
      </c>
      <c r="M338" s="1" t="s">
        <v>893</v>
      </c>
      <c r="N338" s="1">
        <v>33.0</v>
      </c>
      <c r="O338" s="1" t="s">
        <v>28</v>
      </c>
      <c r="P338" s="1">
        <v>2.43301405E8</v>
      </c>
      <c r="Q338" s="1" t="s">
        <v>300</v>
      </c>
      <c r="R338" s="1" t="s">
        <v>30</v>
      </c>
      <c r="S338">
        <f t="shared" si="1"/>
        <v>33260</v>
      </c>
      <c r="T338" t="str">
        <f t="array" ref="T338">iferror(index('Copie de Feuille tri Amandine'!B:C,MATCH(S338,'Copie de Feuille tri Amandine'!B:B,0),2),"")</f>
        <v/>
      </c>
    </row>
    <row r="339">
      <c r="A339" s="1" t="s">
        <v>894</v>
      </c>
      <c r="B339" s="1" t="s">
        <v>687</v>
      </c>
      <c r="C339" s="1" t="s">
        <v>22</v>
      </c>
      <c r="D339" s="2">
        <v>28913.0</v>
      </c>
      <c r="E339" s="1">
        <v>156.0</v>
      </c>
      <c r="F339" s="1" t="s">
        <v>293</v>
      </c>
      <c r="G339" s="2">
        <v>41721.0</v>
      </c>
      <c r="H339" s="1" t="s">
        <v>24</v>
      </c>
      <c r="I339" s="2">
        <v>41721.0</v>
      </c>
      <c r="J339" s="1" t="s">
        <v>25</v>
      </c>
      <c r="K339" s="1" t="s">
        <v>26</v>
      </c>
      <c r="L339" s="1">
        <v>332.0</v>
      </c>
      <c r="M339" s="1" t="s">
        <v>895</v>
      </c>
      <c r="N339" s="1">
        <v>33.0</v>
      </c>
      <c r="O339" s="1" t="s">
        <v>28</v>
      </c>
      <c r="P339" s="1">
        <v>2.00070092E8</v>
      </c>
      <c r="Q339" s="1" t="s">
        <v>50</v>
      </c>
      <c r="R339" s="1" t="s">
        <v>30</v>
      </c>
      <c r="S339">
        <f t="shared" si="1"/>
        <v>33332</v>
      </c>
      <c r="T339">
        <f t="array" ref="T339">iferror(index('Copie de Feuille tri Amandine'!B:C,MATCH(S339,'Copie de Feuille tri Amandine'!B:B,0),2),"")</f>
        <v>881</v>
      </c>
    </row>
    <row r="340">
      <c r="A340" s="1" t="s">
        <v>896</v>
      </c>
      <c r="B340" s="1" t="s">
        <v>692</v>
      </c>
      <c r="C340" s="1" t="s">
        <v>22</v>
      </c>
      <c r="D340" s="2">
        <v>23398.0</v>
      </c>
      <c r="E340" s="1">
        <v>150.0</v>
      </c>
      <c r="F340" s="1" t="s">
        <v>43</v>
      </c>
      <c r="G340" s="2">
        <v>41728.0</v>
      </c>
      <c r="H340" s="1" t="s">
        <v>24</v>
      </c>
      <c r="I340" s="2">
        <v>41728.0</v>
      </c>
      <c r="J340" s="1" t="s">
        <v>25</v>
      </c>
      <c r="K340" s="1" t="s">
        <v>26</v>
      </c>
      <c r="L340" s="1">
        <v>363.0</v>
      </c>
      <c r="M340" s="1" t="s">
        <v>897</v>
      </c>
      <c r="N340" s="1">
        <v>33.0</v>
      </c>
      <c r="O340" s="1" t="s">
        <v>28</v>
      </c>
      <c r="P340" s="1">
        <v>2.43301215E8</v>
      </c>
      <c r="Q340" s="1" t="s">
        <v>136</v>
      </c>
      <c r="R340" s="1" t="s">
        <v>30</v>
      </c>
      <c r="S340">
        <f t="shared" si="1"/>
        <v>33363</v>
      </c>
      <c r="T340">
        <f t="array" ref="T340">iferror(index('Copie de Feuille tri Amandine'!B:C,MATCH(S340,'Copie de Feuille tri Amandine'!B:B,0),2),"")</f>
        <v>4244</v>
      </c>
    </row>
    <row r="341">
      <c r="A341" s="1" t="s">
        <v>898</v>
      </c>
      <c r="B341" s="1" t="s">
        <v>899</v>
      </c>
      <c r="C341" s="1" t="s">
        <v>22</v>
      </c>
      <c r="D341" s="2">
        <v>13673.0</v>
      </c>
      <c r="E341" s="1">
        <v>158.0</v>
      </c>
      <c r="F341" s="1" t="s">
        <v>274</v>
      </c>
      <c r="G341" s="2">
        <v>41721.0</v>
      </c>
      <c r="H341" s="1" t="s">
        <v>24</v>
      </c>
      <c r="I341" s="2">
        <v>41721.0</v>
      </c>
      <c r="J341" s="1" t="s">
        <v>25</v>
      </c>
      <c r="K341" s="1" t="s">
        <v>26</v>
      </c>
      <c r="L341" s="1">
        <v>400.0</v>
      </c>
      <c r="M341" s="1" t="s">
        <v>900</v>
      </c>
      <c r="N341" s="1">
        <v>33.0</v>
      </c>
      <c r="O341" s="1" t="s">
        <v>28</v>
      </c>
      <c r="P341" s="1">
        <v>2.00069599E8</v>
      </c>
      <c r="Q341" s="1" t="s">
        <v>60</v>
      </c>
      <c r="R341" s="1" t="s">
        <v>30</v>
      </c>
      <c r="S341">
        <f t="shared" si="1"/>
        <v>33400</v>
      </c>
      <c r="T341">
        <f t="array" ref="T341">iferror(index('Copie de Feuille tri Amandine'!B:C,MATCH(S341,'Copie de Feuille tri Amandine'!B:B,0),2),"")</f>
        <v>349</v>
      </c>
    </row>
    <row r="342">
      <c r="A342" s="1" t="s">
        <v>901</v>
      </c>
      <c r="B342" s="1" t="s">
        <v>873</v>
      </c>
      <c r="C342" s="1" t="s">
        <v>22</v>
      </c>
      <c r="D342" s="2">
        <v>28374.0</v>
      </c>
      <c r="E342" s="1">
        <v>119.0</v>
      </c>
      <c r="F342" s="1" t="s">
        <v>109</v>
      </c>
      <c r="G342" s="2">
        <v>41721.0</v>
      </c>
      <c r="H342" s="1" t="s">
        <v>24</v>
      </c>
      <c r="I342" s="2">
        <v>41721.0</v>
      </c>
      <c r="J342" s="1" t="s">
        <v>25</v>
      </c>
      <c r="K342" s="1" t="s">
        <v>26</v>
      </c>
      <c r="L342" s="1">
        <v>431.0</v>
      </c>
      <c r="M342" s="1" t="s">
        <v>902</v>
      </c>
      <c r="N342" s="1">
        <v>33.0</v>
      </c>
      <c r="O342" s="1" t="s">
        <v>28</v>
      </c>
      <c r="P342" s="1">
        <v>2.43301215E8</v>
      </c>
      <c r="Q342" s="1" t="s">
        <v>136</v>
      </c>
      <c r="R342" s="1" t="s">
        <v>30</v>
      </c>
      <c r="S342">
        <f t="shared" si="1"/>
        <v>33431</v>
      </c>
      <c r="T342">
        <f t="array" ref="T342">iferror(index('Copie de Feuille tri Amandine'!B:C,MATCH(S342,'Copie de Feuille tri Amandine'!B:B,0),2),"")</f>
        <v>339</v>
      </c>
    </row>
    <row r="343">
      <c r="A343" s="1" t="s">
        <v>903</v>
      </c>
      <c r="B343" s="1" t="s">
        <v>460</v>
      </c>
      <c r="C343" s="1" t="s">
        <v>22</v>
      </c>
      <c r="D343" s="2">
        <v>17471.0</v>
      </c>
      <c r="E343" s="1">
        <v>161.0</v>
      </c>
      <c r="F343" s="1" t="s">
        <v>72</v>
      </c>
      <c r="G343" s="2">
        <v>41721.0</v>
      </c>
      <c r="H343" s="1" t="s">
        <v>24</v>
      </c>
      <c r="I343" s="2">
        <v>43646.0</v>
      </c>
      <c r="J343" s="1" t="s">
        <v>25</v>
      </c>
      <c r="K343" s="1" t="s">
        <v>26</v>
      </c>
      <c r="L343" s="1">
        <v>462.0</v>
      </c>
      <c r="M343" s="1" t="s">
        <v>904</v>
      </c>
      <c r="N343" s="1">
        <v>33.0</v>
      </c>
      <c r="O343" s="1" t="s">
        <v>28</v>
      </c>
      <c r="P343" s="1">
        <v>2.43301371E8</v>
      </c>
      <c r="Q343" s="1" t="s">
        <v>271</v>
      </c>
      <c r="R343" s="1" t="s">
        <v>30</v>
      </c>
      <c r="S343">
        <f t="shared" si="1"/>
        <v>33462</v>
      </c>
      <c r="T343">
        <f t="array" ref="T343">iferror(index('Copie de Feuille tri Amandine'!B:C,MATCH(S343,'Copie de Feuille tri Amandine'!B:B,0),2),"")</f>
        <v>476</v>
      </c>
    </row>
    <row r="344">
      <c r="A344" s="1" t="s">
        <v>905</v>
      </c>
      <c r="B344" s="1" t="s">
        <v>186</v>
      </c>
      <c r="C344" s="1" t="s">
        <v>22</v>
      </c>
      <c r="D344" s="2">
        <v>16699.0</v>
      </c>
      <c r="E344" s="1">
        <v>163.0</v>
      </c>
      <c r="F344" s="1" t="s">
        <v>58</v>
      </c>
      <c r="G344" s="2">
        <v>41721.0</v>
      </c>
      <c r="H344" s="1" t="s">
        <v>24</v>
      </c>
      <c r="I344" s="2">
        <v>41728.0</v>
      </c>
      <c r="J344" s="1" t="s">
        <v>25</v>
      </c>
      <c r="K344" s="1" t="s">
        <v>26</v>
      </c>
      <c r="L344" s="1">
        <v>494.0</v>
      </c>
      <c r="M344" s="1" t="s">
        <v>906</v>
      </c>
      <c r="N344" s="1">
        <v>33.0</v>
      </c>
      <c r="O344" s="1" t="s">
        <v>28</v>
      </c>
      <c r="P344" s="1">
        <v>2.43301389E8</v>
      </c>
      <c r="Q344" s="1" t="s">
        <v>220</v>
      </c>
      <c r="R344" s="1" t="s">
        <v>30</v>
      </c>
      <c r="S344">
        <f t="shared" si="1"/>
        <v>33494</v>
      </c>
      <c r="T344">
        <f t="array" ref="T344">iferror(index('Copie de Feuille tri Amandine'!B:C,MATCH(S344,'Copie de Feuille tri Amandine'!B:B,0),2),"")</f>
        <v>1066</v>
      </c>
    </row>
    <row r="345">
      <c r="A345" s="1" t="s">
        <v>907</v>
      </c>
      <c r="B345" s="1" t="s">
        <v>908</v>
      </c>
      <c r="C345" s="1" t="s">
        <v>53</v>
      </c>
      <c r="D345" s="2">
        <v>17126.0</v>
      </c>
      <c r="E345" s="1">
        <v>161.0</v>
      </c>
      <c r="F345" s="1" t="s">
        <v>72</v>
      </c>
      <c r="G345" s="2">
        <v>41728.0</v>
      </c>
      <c r="H345" s="1" t="s">
        <v>24</v>
      </c>
      <c r="I345" s="2">
        <v>41728.0</v>
      </c>
      <c r="J345" s="1" t="s">
        <v>25</v>
      </c>
      <c r="K345" s="1" t="s">
        <v>26</v>
      </c>
      <c r="L345" s="1">
        <v>548.0</v>
      </c>
      <c r="M345" s="1" t="s">
        <v>909</v>
      </c>
      <c r="N345" s="1">
        <v>33.0</v>
      </c>
      <c r="O345" s="1" t="s">
        <v>28</v>
      </c>
      <c r="P345" s="1">
        <v>2.43301397E8</v>
      </c>
      <c r="Q345" s="1" t="s">
        <v>158</v>
      </c>
      <c r="R345" s="1" t="s">
        <v>30</v>
      </c>
      <c r="S345">
        <f t="shared" si="1"/>
        <v>33548</v>
      </c>
      <c r="T345">
        <f t="array" ref="T345">iferror(index('Copie de Feuille tri Amandine'!B:C,MATCH(S345,'Copie de Feuille tri Amandine'!B:B,0),2),"")</f>
        <v>1263</v>
      </c>
    </row>
    <row r="346">
      <c r="A346" s="1" t="s">
        <v>910</v>
      </c>
      <c r="B346" s="1" t="s">
        <v>67</v>
      </c>
      <c r="C346" s="1" t="s">
        <v>53</v>
      </c>
      <c r="D346" s="2">
        <v>12901.0</v>
      </c>
      <c r="E346" s="1">
        <v>158.0</v>
      </c>
      <c r="F346" s="1" t="s">
        <v>274</v>
      </c>
      <c r="G346" s="2">
        <v>41721.0</v>
      </c>
      <c r="H346" s="1" t="s">
        <v>24</v>
      </c>
      <c r="I346" s="2">
        <v>41721.0</v>
      </c>
      <c r="J346" s="1" t="s">
        <v>25</v>
      </c>
      <c r="K346" s="1" t="s">
        <v>26</v>
      </c>
      <c r="L346" s="1">
        <v>20.0</v>
      </c>
      <c r="M346" s="1" t="s">
        <v>911</v>
      </c>
      <c r="N346" s="1">
        <v>33.0</v>
      </c>
      <c r="O346" s="1" t="s">
        <v>28</v>
      </c>
      <c r="P346" s="1">
        <v>2.43301371E8</v>
      </c>
      <c r="Q346" s="1" t="s">
        <v>271</v>
      </c>
      <c r="R346" s="1" t="s">
        <v>30</v>
      </c>
      <c r="S346">
        <f t="shared" si="1"/>
        <v>33020</v>
      </c>
      <c r="T346" t="str">
        <f t="array" ref="T346">iferror(index('Copie de Feuille tri Amandine'!B:C,MATCH(S346,'Copie de Feuille tri Amandine'!B:B,0),2),"")</f>
        <v/>
      </c>
    </row>
    <row r="347">
      <c r="A347" s="1" t="s">
        <v>912</v>
      </c>
      <c r="B347" s="1" t="s">
        <v>411</v>
      </c>
      <c r="C347" s="1" t="s">
        <v>22</v>
      </c>
      <c r="D347" s="2">
        <v>18212.0</v>
      </c>
      <c r="E347" s="1">
        <v>163.0</v>
      </c>
      <c r="F347" s="1" t="s">
        <v>58</v>
      </c>
      <c r="G347" s="2">
        <v>41721.0</v>
      </c>
      <c r="H347" s="1" t="s">
        <v>24</v>
      </c>
      <c r="I347" s="2">
        <v>41721.0</v>
      </c>
      <c r="J347" s="1" t="s">
        <v>25</v>
      </c>
      <c r="K347" s="1" t="s">
        <v>26</v>
      </c>
      <c r="L347" s="1">
        <v>37.0</v>
      </c>
      <c r="M347" s="1" t="s">
        <v>913</v>
      </c>
      <c r="N347" s="1">
        <v>33.0</v>
      </c>
      <c r="O347" s="1" t="s">
        <v>28</v>
      </c>
      <c r="P347" s="1">
        <v>2.43301264E8</v>
      </c>
      <c r="Q347" s="1" t="s">
        <v>55</v>
      </c>
      <c r="R347" s="1" t="s">
        <v>30</v>
      </c>
      <c r="S347">
        <f t="shared" si="1"/>
        <v>33037</v>
      </c>
      <c r="T347" t="str">
        <f t="array" ref="T347">iferror(index('Copie de Feuille tri Amandine'!B:C,MATCH(S347,'Copie de Feuille tri Amandine'!B:B,0),2),"")</f>
        <v/>
      </c>
    </row>
    <row r="348">
      <c r="A348" s="1" t="s">
        <v>914</v>
      </c>
      <c r="B348" s="1" t="s">
        <v>915</v>
      </c>
      <c r="C348" s="1" t="s">
        <v>22</v>
      </c>
      <c r="D348" s="2">
        <v>26510.0</v>
      </c>
      <c r="E348" s="1">
        <v>147.0</v>
      </c>
      <c r="F348" s="1" t="s">
        <v>38</v>
      </c>
      <c r="G348" s="2">
        <v>41721.0</v>
      </c>
      <c r="H348" s="1" t="s">
        <v>24</v>
      </c>
      <c r="I348" s="2">
        <v>42915.0</v>
      </c>
      <c r="J348" s="1" t="s">
        <v>25</v>
      </c>
      <c r="K348" s="1" t="s">
        <v>26</v>
      </c>
      <c r="L348" s="1">
        <v>39.0</v>
      </c>
      <c r="M348" s="1" t="s">
        <v>916</v>
      </c>
      <c r="N348" s="1">
        <v>33.0</v>
      </c>
      <c r="O348" s="1" t="s">
        <v>28</v>
      </c>
      <c r="P348" s="1">
        <v>2.43300316E8</v>
      </c>
      <c r="Q348" s="1" t="s">
        <v>40</v>
      </c>
      <c r="R348" s="1" t="s">
        <v>30</v>
      </c>
      <c r="S348">
        <f t="shared" si="1"/>
        <v>33039</v>
      </c>
      <c r="T348" t="str">
        <f t="array" ref="T348">iferror(index('Copie de Feuille tri Amandine'!B:C,MATCH(S348,'Copie de Feuille tri Amandine'!B:B,0),2),"")</f>
        <v/>
      </c>
    </row>
    <row r="349">
      <c r="A349" s="1" t="s">
        <v>917</v>
      </c>
      <c r="B349" s="1" t="s">
        <v>148</v>
      </c>
      <c r="C349" s="1" t="s">
        <v>22</v>
      </c>
      <c r="D349" s="2">
        <v>22770.0</v>
      </c>
      <c r="E349" s="1">
        <v>114.0</v>
      </c>
      <c r="F349" s="1" t="s">
        <v>777</v>
      </c>
      <c r="G349" s="2">
        <v>41721.0</v>
      </c>
      <c r="H349" s="1" t="s">
        <v>24</v>
      </c>
      <c r="I349" s="2">
        <v>41726.0</v>
      </c>
      <c r="J349" s="1" t="s">
        <v>25</v>
      </c>
      <c r="K349" s="1" t="s">
        <v>26</v>
      </c>
      <c r="L349" s="1">
        <v>58.0</v>
      </c>
      <c r="M349" s="1" t="s">
        <v>918</v>
      </c>
      <c r="N349" s="1">
        <v>33.0</v>
      </c>
      <c r="O349" s="1" t="s">
        <v>28</v>
      </c>
      <c r="P349" s="1">
        <v>2.00023794E8</v>
      </c>
      <c r="Q349" s="1" t="s">
        <v>243</v>
      </c>
      <c r="R349" s="1" t="s">
        <v>30</v>
      </c>
      <c r="S349">
        <f t="shared" si="1"/>
        <v>33058</v>
      </c>
      <c r="T349" t="str">
        <f t="array" ref="T349">iferror(index('Copie de Feuille tri Amandine'!B:C,MATCH(S349,'Copie de Feuille tri Amandine'!B:B,0),2),"")</f>
        <v/>
      </c>
    </row>
    <row r="350">
      <c r="A350" s="1" t="s">
        <v>919</v>
      </c>
      <c r="B350" s="1" t="s">
        <v>229</v>
      </c>
      <c r="C350" s="1" t="s">
        <v>22</v>
      </c>
      <c r="D350" s="2">
        <v>17786.0</v>
      </c>
      <c r="E350" s="1">
        <v>159.0</v>
      </c>
      <c r="F350" s="1" t="s">
        <v>130</v>
      </c>
      <c r="G350" s="2">
        <v>41721.0</v>
      </c>
      <c r="H350" s="1" t="s">
        <v>24</v>
      </c>
      <c r="I350" s="2">
        <v>41728.0</v>
      </c>
      <c r="J350" s="1" t="s">
        <v>25</v>
      </c>
      <c r="K350" s="1" t="s">
        <v>26</v>
      </c>
      <c r="L350" s="1">
        <v>66.0</v>
      </c>
      <c r="M350" s="1" t="s">
        <v>920</v>
      </c>
      <c r="N350" s="1">
        <v>33.0</v>
      </c>
      <c r="O350" s="1" t="s">
        <v>28</v>
      </c>
      <c r="P350" s="1">
        <v>2.00044394E8</v>
      </c>
      <c r="Q350" s="1" t="s">
        <v>35</v>
      </c>
      <c r="R350" s="1" t="s">
        <v>30</v>
      </c>
      <c r="S350">
        <f t="shared" si="1"/>
        <v>33066</v>
      </c>
      <c r="T350" t="str">
        <f t="array" ref="T350">iferror(index('Copie de Feuille tri Amandine'!B:C,MATCH(S350,'Copie de Feuille tri Amandine'!B:B,0),2),"")</f>
        <v/>
      </c>
    </row>
    <row r="351">
      <c r="A351" s="1" t="s">
        <v>921</v>
      </c>
      <c r="B351" s="1" t="s">
        <v>273</v>
      </c>
      <c r="C351" s="1" t="s">
        <v>22</v>
      </c>
      <c r="D351" s="2">
        <v>23591.0</v>
      </c>
      <c r="E351" s="1">
        <v>119.0</v>
      </c>
      <c r="F351" s="1" t="s">
        <v>109</v>
      </c>
      <c r="G351" s="2">
        <v>41721.0</v>
      </c>
      <c r="H351" s="1" t="s">
        <v>24</v>
      </c>
      <c r="I351" s="2">
        <v>41721.0</v>
      </c>
      <c r="J351" s="1" t="s">
        <v>25</v>
      </c>
      <c r="K351" s="1" t="s">
        <v>26</v>
      </c>
      <c r="L351" s="1">
        <v>102.0</v>
      </c>
      <c r="M351" s="1" t="s">
        <v>922</v>
      </c>
      <c r="N351" s="1">
        <v>33.0</v>
      </c>
      <c r="O351" s="1" t="s">
        <v>28</v>
      </c>
      <c r="P351" s="1">
        <v>2.00044394E8</v>
      </c>
      <c r="Q351" s="1" t="s">
        <v>35</v>
      </c>
      <c r="R351" s="1" t="s">
        <v>30</v>
      </c>
      <c r="S351">
        <f t="shared" si="1"/>
        <v>33102</v>
      </c>
      <c r="T351" t="str">
        <f t="array" ref="T351">iferror(index('Copie de Feuille tri Amandine'!B:C,MATCH(S351,'Copie de Feuille tri Amandine'!B:B,0),2),"")</f>
        <v/>
      </c>
    </row>
    <row r="352">
      <c r="A352" s="1" t="s">
        <v>923</v>
      </c>
      <c r="B352" s="1" t="s">
        <v>84</v>
      </c>
      <c r="C352" s="1" t="s">
        <v>22</v>
      </c>
      <c r="D352" s="2">
        <v>23311.0</v>
      </c>
      <c r="E352" s="1">
        <v>101.0</v>
      </c>
      <c r="F352" s="1" t="s">
        <v>33</v>
      </c>
      <c r="G352" s="2">
        <v>41721.0</v>
      </c>
      <c r="H352" s="1" t="s">
        <v>24</v>
      </c>
      <c r="I352" s="2">
        <v>41721.0</v>
      </c>
      <c r="J352" s="1" t="s">
        <v>25</v>
      </c>
      <c r="K352" s="1" t="s">
        <v>26</v>
      </c>
      <c r="L352" s="1">
        <v>112.0</v>
      </c>
      <c r="M352" s="1" t="s">
        <v>924</v>
      </c>
      <c r="N352" s="1">
        <v>33.0</v>
      </c>
      <c r="O352" s="1" t="s">
        <v>28</v>
      </c>
      <c r="P352" s="1">
        <v>2.00069599E8</v>
      </c>
      <c r="Q352" s="1" t="s">
        <v>60</v>
      </c>
      <c r="R352" s="1" t="s">
        <v>30</v>
      </c>
      <c r="S352">
        <f t="shared" si="1"/>
        <v>33112</v>
      </c>
      <c r="T352" t="str">
        <f t="array" ref="T352">iferror(index('Copie de Feuille tri Amandine'!B:C,MATCH(S352,'Copie de Feuille tri Amandine'!B:B,0),2),"")</f>
        <v/>
      </c>
    </row>
    <row r="353">
      <c r="A353" s="1" t="s">
        <v>925</v>
      </c>
      <c r="B353" s="1" t="s">
        <v>42</v>
      </c>
      <c r="C353" s="1" t="s">
        <v>22</v>
      </c>
      <c r="D353" s="2">
        <v>20371.0</v>
      </c>
      <c r="E353" s="1">
        <v>157.0</v>
      </c>
      <c r="F353" s="1" t="s">
        <v>97</v>
      </c>
      <c r="G353" s="2">
        <v>41721.0</v>
      </c>
      <c r="H353" s="1" t="s">
        <v>24</v>
      </c>
      <c r="I353" s="2">
        <v>41721.0</v>
      </c>
      <c r="J353" s="1" t="s">
        <v>25</v>
      </c>
      <c r="K353" s="1" t="s">
        <v>26</v>
      </c>
      <c r="L353" s="1">
        <v>189.0</v>
      </c>
      <c r="M353" s="1" t="s">
        <v>926</v>
      </c>
      <c r="N353" s="1">
        <v>33.0</v>
      </c>
      <c r="O353" s="1" t="s">
        <v>28</v>
      </c>
      <c r="P353" s="1">
        <v>2.00069599E8</v>
      </c>
      <c r="Q353" s="1" t="s">
        <v>60</v>
      </c>
      <c r="R353" s="1" t="s">
        <v>30</v>
      </c>
      <c r="S353">
        <f t="shared" si="1"/>
        <v>33189</v>
      </c>
      <c r="T353" t="str">
        <f t="array" ref="T353">iferror(index('Copie de Feuille tri Amandine'!B:C,MATCH(S353,'Copie de Feuille tri Amandine'!B:B,0),2),"")</f>
        <v/>
      </c>
    </row>
    <row r="354">
      <c r="A354" s="1" t="s">
        <v>927</v>
      </c>
      <c r="B354" s="1" t="s">
        <v>175</v>
      </c>
      <c r="C354" s="1" t="s">
        <v>22</v>
      </c>
      <c r="D354" s="2">
        <v>19125.0</v>
      </c>
      <c r="E354" s="1">
        <v>129.0</v>
      </c>
      <c r="F354" s="1" t="s">
        <v>215</v>
      </c>
      <c r="G354" s="2">
        <v>41721.0</v>
      </c>
      <c r="H354" s="1" t="s">
        <v>24</v>
      </c>
      <c r="I354" s="2">
        <v>41721.0</v>
      </c>
      <c r="J354" s="1" t="s">
        <v>25</v>
      </c>
      <c r="K354" s="1" t="s">
        <v>26</v>
      </c>
      <c r="L354" s="1">
        <v>213.0</v>
      </c>
      <c r="M354" s="1" t="s">
        <v>928</v>
      </c>
      <c r="N354" s="1">
        <v>33.0</v>
      </c>
      <c r="O354" s="1" t="s">
        <v>28</v>
      </c>
      <c r="P354" s="1">
        <v>2.43301264E8</v>
      </c>
      <c r="Q354" s="1" t="s">
        <v>55</v>
      </c>
      <c r="R354" s="1" t="s">
        <v>30</v>
      </c>
      <c r="S354">
        <f t="shared" si="1"/>
        <v>33213</v>
      </c>
      <c r="T354" t="str">
        <f t="array" ref="T354">iferror(index('Copie de Feuille tri Amandine'!B:C,MATCH(S354,'Copie de Feuille tri Amandine'!B:B,0),2),"")</f>
        <v/>
      </c>
    </row>
    <row r="355">
      <c r="A355" s="1" t="s">
        <v>929</v>
      </c>
      <c r="B355" s="1" t="s">
        <v>84</v>
      </c>
      <c r="C355" s="1" t="s">
        <v>22</v>
      </c>
      <c r="D355" s="2">
        <v>17145.0</v>
      </c>
      <c r="E355" s="1">
        <v>101.0</v>
      </c>
      <c r="F355" s="1" t="s">
        <v>33</v>
      </c>
      <c r="G355" s="2">
        <v>41721.0</v>
      </c>
      <c r="H355" s="1" t="s">
        <v>24</v>
      </c>
      <c r="I355" s="2">
        <v>41721.0</v>
      </c>
      <c r="J355" s="1" t="s">
        <v>25</v>
      </c>
      <c r="K355" s="1" t="s">
        <v>26</v>
      </c>
      <c r="L355" s="1">
        <v>222.0</v>
      </c>
      <c r="M355" s="1" t="s">
        <v>930</v>
      </c>
      <c r="N355" s="1">
        <v>33.0</v>
      </c>
      <c r="O355" s="1" t="s">
        <v>28</v>
      </c>
      <c r="P355" s="1">
        <v>2.00070092E8</v>
      </c>
      <c r="Q355" s="1" t="s">
        <v>50</v>
      </c>
      <c r="R355" s="1" t="s">
        <v>30</v>
      </c>
      <c r="S355">
        <f t="shared" si="1"/>
        <v>33222</v>
      </c>
      <c r="T355" t="str">
        <f t="array" ref="T355">iferror(index('Copie de Feuille tri Amandine'!B:C,MATCH(S355,'Copie de Feuille tri Amandine'!B:B,0),2),"")</f>
        <v/>
      </c>
    </row>
    <row r="356">
      <c r="A356" s="1" t="s">
        <v>931</v>
      </c>
      <c r="B356" s="1" t="s">
        <v>134</v>
      </c>
      <c r="C356" s="1" t="s">
        <v>22</v>
      </c>
      <c r="D356" s="2">
        <v>16255.0</v>
      </c>
      <c r="E356" s="1">
        <v>163.0</v>
      </c>
      <c r="F356" s="1" t="s">
        <v>58</v>
      </c>
      <c r="G356" s="2">
        <v>41721.0</v>
      </c>
      <c r="H356" s="1" t="s">
        <v>24</v>
      </c>
      <c r="I356" s="2">
        <v>41721.0</v>
      </c>
      <c r="J356" s="1" t="s">
        <v>25</v>
      </c>
      <c r="K356" s="1" t="s">
        <v>26</v>
      </c>
      <c r="L356" s="1">
        <v>224.0</v>
      </c>
      <c r="M356" s="1" t="s">
        <v>932</v>
      </c>
      <c r="N356" s="1">
        <v>33.0</v>
      </c>
      <c r="O356" s="1" t="s">
        <v>28</v>
      </c>
      <c r="P356" s="1">
        <v>2.00069599E8</v>
      </c>
      <c r="Q356" s="1" t="s">
        <v>60</v>
      </c>
      <c r="R356" s="1" t="s">
        <v>30</v>
      </c>
      <c r="S356">
        <f t="shared" si="1"/>
        <v>33224</v>
      </c>
      <c r="T356" t="str">
        <f t="array" ref="T356">iferror(index('Copie de Feuille tri Amandine'!B:C,MATCH(S356,'Copie de Feuille tri Amandine'!B:B,0),2),"")</f>
        <v/>
      </c>
    </row>
    <row r="357">
      <c r="A357" s="1" t="s">
        <v>933</v>
      </c>
      <c r="B357" s="1" t="s">
        <v>934</v>
      </c>
      <c r="C357" s="1" t="s">
        <v>22</v>
      </c>
      <c r="D357" s="2">
        <v>17210.0</v>
      </c>
      <c r="E357" s="1">
        <v>161.0</v>
      </c>
      <c r="F357" s="1" t="s">
        <v>72</v>
      </c>
      <c r="G357" s="2">
        <v>41721.0</v>
      </c>
      <c r="H357" s="1" t="s">
        <v>24</v>
      </c>
      <c r="I357" s="2">
        <v>41721.0</v>
      </c>
      <c r="J357" s="1" t="s">
        <v>25</v>
      </c>
      <c r="K357" s="1" t="s">
        <v>26</v>
      </c>
      <c r="L357" s="1">
        <v>172.0</v>
      </c>
      <c r="M357" s="1" t="s">
        <v>935</v>
      </c>
      <c r="N357" s="1">
        <v>33.0</v>
      </c>
      <c r="O357" s="1" t="s">
        <v>28</v>
      </c>
      <c r="P357" s="1">
        <v>2.00023794E8</v>
      </c>
      <c r="Q357" s="1" t="s">
        <v>243</v>
      </c>
      <c r="R357" s="1" t="s">
        <v>30</v>
      </c>
      <c r="S357">
        <f t="shared" si="1"/>
        <v>33172</v>
      </c>
      <c r="T357" t="str">
        <f t="array" ref="T357">iferror(index('Copie de Feuille tri Amandine'!B:C,MATCH(S357,'Copie de Feuille tri Amandine'!B:B,0),2),"")</f>
        <v/>
      </c>
    </row>
    <row r="358">
      <c r="A358" s="1" t="s">
        <v>936</v>
      </c>
      <c r="B358" s="1" t="s">
        <v>179</v>
      </c>
      <c r="C358" s="1" t="s">
        <v>22</v>
      </c>
      <c r="D358" s="2">
        <v>21257.0</v>
      </c>
      <c r="E358" s="1">
        <v>101.0</v>
      </c>
      <c r="F358" s="1" t="s">
        <v>33</v>
      </c>
      <c r="G358" s="2">
        <v>41721.0</v>
      </c>
      <c r="H358" s="1" t="s">
        <v>24</v>
      </c>
      <c r="I358" s="2">
        <v>41721.0</v>
      </c>
      <c r="J358" s="1" t="s">
        <v>25</v>
      </c>
      <c r="K358" s="1" t="s">
        <v>26</v>
      </c>
      <c r="L358" s="1">
        <v>282.0</v>
      </c>
      <c r="M358" s="1" t="s">
        <v>937</v>
      </c>
      <c r="N358" s="1">
        <v>33.0</v>
      </c>
      <c r="O358" s="1" t="s">
        <v>28</v>
      </c>
      <c r="P358" s="1">
        <v>2.43301454E8</v>
      </c>
      <c r="Q358" s="1" t="s">
        <v>94</v>
      </c>
      <c r="R358" s="1" t="s">
        <v>30</v>
      </c>
      <c r="S358">
        <f t="shared" si="1"/>
        <v>33282</v>
      </c>
      <c r="T358">
        <f t="array" ref="T358">iferror(index('Copie de Feuille tri Amandine'!B:C,MATCH(S358,'Copie de Feuille tri Amandine'!B:B,0),2),"")</f>
        <v>341</v>
      </c>
    </row>
    <row r="359">
      <c r="A359" s="1" t="s">
        <v>938</v>
      </c>
      <c r="B359" s="1" t="s">
        <v>939</v>
      </c>
      <c r="C359" s="1" t="s">
        <v>53</v>
      </c>
      <c r="D359" s="2">
        <v>19451.0</v>
      </c>
      <c r="E359" s="1">
        <v>165.0</v>
      </c>
      <c r="F359" s="1" t="s">
        <v>208</v>
      </c>
      <c r="G359" s="2">
        <v>41721.0</v>
      </c>
      <c r="H359" s="1" t="s">
        <v>24</v>
      </c>
      <c r="I359" s="2">
        <v>41721.0</v>
      </c>
      <c r="J359" s="1" t="s">
        <v>25</v>
      </c>
      <c r="K359" s="1" t="s">
        <v>26</v>
      </c>
      <c r="L359" s="1">
        <v>294.0</v>
      </c>
      <c r="M359" s="1" t="s">
        <v>940</v>
      </c>
      <c r="N359" s="1">
        <v>33.0</v>
      </c>
      <c r="O359" s="1" t="s">
        <v>28</v>
      </c>
      <c r="P359" s="1">
        <v>2.00044394E8</v>
      </c>
      <c r="Q359" s="1" t="s">
        <v>35</v>
      </c>
      <c r="R359" s="1" t="s">
        <v>30</v>
      </c>
      <c r="S359">
        <f t="shared" si="1"/>
        <v>33294</v>
      </c>
      <c r="T359">
        <f t="array" ref="T359">iferror(index('Copie de Feuille tri Amandine'!B:C,MATCH(S359,'Copie de Feuille tri Amandine'!B:B,0),2),"")</f>
        <v>545</v>
      </c>
    </row>
    <row r="360">
      <c r="A360" s="1" t="s">
        <v>941</v>
      </c>
      <c r="B360" s="1" t="s">
        <v>692</v>
      </c>
      <c r="C360" s="1" t="s">
        <v>22</v>
      </c>
      <c r="D360" s="2">
        <v>17785.0</v>
      </c>
      <c r="E360" s="1">
        <v>161.0</v>
      </c>
      <c r="F360" s="1" t="s">
        <v>72</v>
      </c>
      <c r="G360" s="2">
        <v>41721.0</v>
      </c>
      <c r="H360" s="1" t="s">
        <v>24</v>
      </c>
      <c r="I360" s="2">
        <v>41721.0</v>
      </c>
      <c r="J360" s="1" t="s">
        <v>25</v>
      </c>
      <c r="K360" s="1" t="s">
        <v>26</v>
      </c>
      <c r="L360" s="1">
        <v>358.0</v>
      </c>
      <c r="M360" s="1" t="s">
        <v>942</v>
      </c>
      <c r="N360" s="1">
        <v>33.0</v>
      </c>
      <c r="O360" s="1" t="s">
        <v>28</v>
      </c>
      <c r="P360" s="1">
        <v>2.00069599E8</v>
      </c>
      <c r="Q360" s="1" t="s">
        <v>60</v>
      </c>
      <c r="R360" s="1" t="s">
        <v>30</v>
      </c>
      <c r="S360">
        <f t="shared" si="1"/>
        <v>33358</v>
      </c>
      <c r="T360">
        <f t="array" ref="T360">iferror(index('Copie de Feuille tri Amandine'!B:C,MATCH(S360,'Copie de Feuille tri Amandine'!B:B,0),2),"")</f>
        <v>460</v>
      </c>
    </row>
    <row r="361">
      <c r="A361" s="1" t="s">
        <v>943</v>
      </c>
      <c r="B361" s="1" t="s">
        <v>160</v>
      </c>
      <c r="C361" s="1" t="s">
        <v>22</v>
      </c>
      <c r="D361" s="2">
        <v>18021.0</v>
      </c>
      <c r="E361" s="1">
        <v>161.0</v>
      </c>
      <c r="F361" s="1" t="s">
        <v>72</v>
      </c>
      <c r="G361" s="2">
        <v>43686.0</v>
      </c>
      <c r="H361" s="1" t="s">
        <v>24</v>
      </c>
      <c r="I361" s="2">
        <v>43721.0</v>
      </c>
      <c r="J361" s="1" t="s">
        <v>25</v>
      </c>
      <c r="K361" s="1" t="s">
        <v>26</v>
      </c>
      <c r="L361" s="1">
        <v>385.0</v>
      </c>
      <c r="M361" s="1" t="s">
        <v>944</v>
      </c>
      <c r="N361" s="1">
        <v>33.0</v>
      </c>
      <c r="O361" s="1" t="s">
        <v>28</v>
      </c>
      <c r="P361" s="1">
        <v>2.00070092E8</v>
      </c>
      <c r="Q361" s="1" t="s">
        <v>50</v>
      </c>
      <c r="R361" s="1" t="s">
        <v>30</v>
      </c>
      <c r="S361">
        <f t="shared" si="1"/>
        <v>33385</v>
      </c>
      <c r="T361">
        <f t="array" ref="T361">iferror(index('Copie de Feuille tri Amandine'!B:C,MATCH(S361,'Copie de Feuille tri Amandine'!B:B,0),2),"")</f>
        <v>732</v>
      </c>
    </row>
    <row r="362">
      <c r="A362" s="1" t="s">
        <v>945</v>
      </c>
      <c r="B362" s="1" t="s">
        <v>42</v>
      </c>
      <c r="C362" s="1" t="s">
        <v>22</v>
      </c>
      <c r="D362" s="2">
        <v>20353.0</v>
      </c>
      <c r="E362" s="1">
        <v>101.0</v>
      </c>
      <c r="F362" s="1" t="s">
        <v>33</v>
      </c>
      <c r="G362" s="2">
        <v>41721.0</v>
      </c>
      <c r="H362" s="1" t="s">
        <v>24</v>
      </c>
      <c r="I362" s="2">
        <v>41721.0</v>
      </c>
      <c r="J362" s="1" t="s">
        <v>25</v>
      </c>
      <c r="K362" s="1" t="s">
        <v>26</v>
      </c>
      <c r="L362" s="1">
        <v>420.0</v>
      </c>
      <c r="M362" s="1" t="s">
        <v>946</v>
      </c>
      <c r="N362" s="1">
        <v>33.0</v>
      </c>
      <c r="O362" s="1" t="s">
        <v>28</v>
      </c>
      <c r="P362" s="1">
        <v>2.00035533E8</v>
      </c>
      <c r="Q362" s="1" t="s">
        <v>146</v>
      </c>
      <c r="R362" s="1" t="s">
        <v>30</v>
      </c>
      <c r="S362">
        <f t="shared" si="1"/>
        <v>33420</v>
      </c>
      <c r="T362">
        <f t="array" ref="T362">iferror(index('Copie de Feuille tri Amandine'!B:C,MATCH(S362,'Copie de Feuille tri Amandine'!B:B,0),2),"")</f>
        <v>134</v>
      </c>
    </row>
    <row r="363">
      <c r="A363" s="1" t="s">
        <v>947</v>
      </c>
      <c r="B363" s="1" t="s">
        <v>165</v>
      </c>
      <c r="C363" s="1" t="s">
        <v>22</v>
      </c>
      <c r="D363" s="2">
        <v>20002.0</v>
      </c>
      <c r="E363" s="1">
        <v>101.0</v>
      </c>
      <c r="F363" s="1" t="s">
        <v>33</v>
      </c>
      <c r="G363" s="2">
        <v>41721.0</v>
      </c>
      <c r="H363" s="1" t="s">
        <v>24</v>
      </c>
      <c r="I363" s="2">
        <v>41721.0</v>
      </c>
      <c r="J363" s="1" t="s">
        <v>25</v>
      </c>
      <c r="K363" s="1" t="s">
        <v>26</v>
      </c>
      <c r="L363" s="1">
        <v>516.0</v>
      </c>
      <c r="M363" s="1" t="s">
        <v>948</v>
      </c>
      <c r="N363" s="1">
        <v>33.0</v>
      </c>
      <c r="O363" s="1" t="s">
        <v>28</v>
      </c>
      <c r="P363" s="1">
        <v>2.00069599E8</v>
      </c>
      <c r="Q363" s="1" t="s">
        <v>60</v>
      </c>
      <c r="R363" s="1" t="s">
        <v>30</v>
      </c>
      <c r="S363">
        <f t="shared" si="1"/>
        <v>33516</v>
      </c>
      <c r="T363">
        <f t="array" ref="T363">iferror(index('Copie de Feuille tri Amandine'!B:C,MATCH(S363,'Copie de Feuille tri Amandine'!B:B,0),2),"")</f>
        <v>190</v>
      </c>
    </row>
    <row r="364">
      <c r="A364" s="1" t="s">
        <v>949</v>
      </c>
      <c r="B364" s="1" t="s">
        <v>950</v>
      </c>
      <c r="C364" s="1" t="s">
        <v>53</v>
      </c>
      <c r="D364" s="2">
        <v>29957.0</v>
      </c>
      <c r="E364" s="1">
        <v>105.0</v>
      </c>
      <c r="F364" s="1" t="s">
        <v>23</v>
      </c>
      <c r="G364" s="2">
        <v>41721.0</v>
      </c>
      <c r="H364" s="1" t="s">
        <v>24</v>
      </c>
      <c r="I364" s="2">
        <v>41727.0</v>
      </c>
      <c r="J364" s="1" t="s">
        <v>25</v>
      </c>
      <c r="K364" s="1" t="s">
        <v>26</v>
      </c>
      <c r="L364" s="1">
        <v>519.0</v>
      </c>
      <c r="M364" s="1" t="s">
        <v>951</v>
      </c>
      <c r="N364" s="1">
        <v>33.0</v>
      </c>
      <c r="O364" s="1" t="s">
        <v>28</v>
      </c>
      <c r="P364" s="1">
        <v>2.43300316E8</v>
      </c>
      <c r="Q364" s="1" t="s">
        <v>40</v>
      </c>
      <c r="R364" s="1" t="s">
        <v>30</v>
      </c>
      <c r="S364">
        <f t="shared" si="1"/>
        <v>33519</v>
      </c>
      <c r="T364" t="str">
        <f t="array" ref="T364">iferror(index('Copie de Feuille tri Amandine'!B:C,MATCH(S364,'Copie de Feuille tri Amandine'!B:B,0),2),"")</f>
        <v/>
      </c>
    </row>
    <row r="365">
      <c r="A365" s="1" t="s">
        <v>952</v>
      </c>
      <c r="B365" s="1" t="s">
        <v>953</v>
      </c>
      <c r="C365" s="1" t="s">
        <v>22</v>
      </c>
      <c r="D365" s="2">
        <v>28313.0</v>
      </c>
      <c r="E365" s="1">
        <v>118.0</v>
      </c>
      <c r="F365" s="1" t="s">
        <v>101</v>
      </c>
      <c r="G365" s="2">
        <v>41721.0</v>
      </c>
      <c r="H365" s="1" t="s">
        <v>24</v>
      </c>
      <c r="I365" s="2">
        <v>43026.0</v>
      </c>
      <c r="J365" s="1" t="s">
        <v>25</v>
      </c>
      <c r="K365" s="1" t="s">
        <v>26</v>
      </c>
      <c r="L365" s="1">
        <v>522.0</v>
      </c>
      <c r="M365" s="1" t="s">
        <v>954</v>
      </c>
      <c r="N365" s="1">
        <v>33.0</v>
      </c>
      <c r="O365" s="1" t="s">
        <v>28</v>
      </c>
      <c r="P365" s="1">
        <v>2.43300316E8</v>
      </c>
      <c r="Q365" s="1" t="s">
        <v>40</v>
      </c>
      <c r="R365" s="1" t="s">
        <v>30</v>
      </c>
      <c r="S365">
        <f t="shared" si="1"/>
        <v>33522</v>
      </c>
      <c r="T365">
        <f t="array" ref="T365">iferror(index('Copie de Feuille tri Amandine'!B:C,MATCH(S365,'Copie de Feuille tri Amandine'!B:B,0),2),"")</f>
        <v>42606</v>
      </c>
    </row>
    <row r="366">
      <c r="A366" s="1" t="s">
        <v>955</v>
      </c>
      <c r="B366" s="1" t="s">
        <v>418</v>
      </c>
      <c r="C366" s="1" t="s">
        <v>22</v>
      </c>
      <c r="D366" s="2">
        <v>22372.0</v>
      </c>
      <c r="E366" s="1">
        <v>119.0</v>
      </c>
      <c r="F366" s="1" t="s">
        <v>109</v>
      </c>
      <c r="G366" s="2">
        <v>41721.0</v>
      </c>
      <c r="H366" s="1" t="s">
        <v>24</v>
      </c>
      <c r="I366" s="2">
        <v>41721.0</v>
      </c>
      <c r="J366" s="1" t="s">
        <v>25</v>
      </c>
      <c r="K366" s="1" t="s">
        <v>26</v>
      </c>
      <c r="L366" s="1">
        <v>218.0</v>
      </c>
      <c r="M366" s="1" t="s">
        <v>956</v>
      </c>
      <c r="N366" s="1">
        <v>33.0</v>
      </c>
      <c r="O366" s="1" t="s">
        <v>28</v>
      </c>
      <c r="P366" s="1">
        <v>2.00070092E8</v>
      </c>
      <c r="Q366" s="1" t="s">
        <v>50</v>
      </c>
      <c r="R366" s="1" t="s">
        <v>30</v>
      </c>
      <c r="S366">
        <f t="shared" si="1"/>
        <v>33218</v>
      </c>
      <c r="T366" t="str">
        <f t="array" ref="T366">iferror(index('Copie de Feuille tri Amandine'!B:C,MATCH(S366,'Copie de Feuille tri Amandine'!B:B,0),2),"")</f>
        <v/>
      </c>
    </row>
    <row r="367">
      <c r="A367" s="1" t="s">
        <v>957</v>
      </c>
      <c r="B367" s="1" t="s">
        <v>908</v>
      </c>
      <c r="C367" s="1" t="s">
        <v>53</v>
      </c>
      <c r="D367" s="2">
        <v>13824.0</v>
      </c>
      <c r="E367" s="1">
        <v>163.0</v>
      </c>
      <c r="F367" s="1" t="s">
        <v>58</v>
      </c>
      <c r="G367" s="2">
        <v>41721.0</v>
      </c>
      <c r="H367" s="1" t="s">
        <v>24</v>
      </c>
      <c r="I367" s="2">
        <v>41721.0</v>
      </c>
      <c r="J367" s="1" t="s">
        <v>25</v>
      </c>
      <c r="K367" s="1" t="s">
        <v>26</v>
      </c>
      <c r="L367" s="1">
        <v>223.0</v>
      </c>
      <c r="M367" s="1" t="s">
        <v>958</v>
      </c>
      <c r="N367" s="1">
        <v>33.0</v>
      </c>
      <c r="O367" s="1" t="s">
        <v>28</v>
      </c>
      <c r="P367" s="1">
        <v>2.43301371E8</v>
      </c>
      <c r="Q367" s="1" t="s">
        <v>271</v>
      </c>
      <c r="R367" s="1" t="s">
        <v>30</v>
      </c>
      <c r="S367">
        <f t="shared" si="1"/>
        <v>33223</v>
      </c>
      <c r="T367" t="str">
        <f t="array" ref="T367">iferror(index('Copie de Feuille tri Amandine'!B:C,MATCH(S367,'Copie de Feuille tri Amandine'!B:B,0),2),"")</f>
        <v/>
      </c>
    </row>
    <row r="368">
      <c r="A368" s="1" t="s">
        <v>413</v>
      </c>
      <c r="B368" s="1" t="s">
        <v>21</v>
      </c>
      <c r="C368" s="1" t="s">
        <v>22</v>
      </c>
      <c r="D368" s="2">
        <v>27180.0</v>
      </c>
      <c r="E368" s="1">
        <v>121.0</v>
      </c>
      <c r="F368" s="1" t="s">
        <v>878</v>
      </c>
      <c r="G368" s="2">
        <v>41721.0</v>
      </c>
      <c r="H368" s="1" t="s">
        <v>24</v>
      </c>
      <c r="I368" s="2">
        <v>41721.0</v>
      </c>
      <c r="J368" s="1" t="s">
        <v>25</v>
      </c>
      <c r="K368" s="1" t="s">
        <v>26</v>
      </c>
      <c r="L368" s="1">
        <v>237.0</v>
      </c>
      <c r="M368" s="1" t="s">
        <v>959</v>
      </c>
      <c r="N368" s="1">
        <v>33.0</v>
      </c>
      <c r="O368" s="1" t="s">
        <v>28</v>
      </c>
      <c r="P368" s="1">
        <v>2.00043974E8</v>
      </c>
      <c r="Q368" s="1" t="s">
        <v>78</v>
      </c>
      <c r="R368" s="1" t="s">
        <v>30</v>
      </c>
      <c r="S368">
        <f t="shared" si="1"/>
        <v>33237</v>
      </c>
      <c r="T368" t="str">
        <f t="array" ref="T368">iferror(index('Copie de Feuille tri Amandine'!B:C,MATCH(S368,'Copie de Feuille tri Amandine'!B:B,0),2),"")</f>
        <v/>
      </c>
    </row>
    <row r="369">
      <c r="A369" s="1" t="s">
        <v>960</v>
      </c>
      <c r="B369" s="1" t="s">
        <v>80</v>
      </c>
      <c r="C369" s="1" t="s">
        <v>22</v>
      </c>
      <c r="D369" s="2">
        <v>28219.0</v>
      </c>
      <c r="E369" s="1">
        <v>101.0</v>
      </c>
      <c r="F369" s="1" t="s">
        <v>33</v>
      </c>
      <c r="G369" s="2">
        <v>41721.0</v>
      </c>
      <c r="H369" s="1" t="s">
        <v>24</v>
      </c>
      <c r="I369" s="2">
        <v>41721.0</v>
      </c>
      <c r="J369" s="1" t="s">
        <v>25</v>
      </c>
      <c r="K369" s="1" t="s">
        <v>26</v>
      </c>
      <c r="L369" s="1">
        <v>146.0</v>
      </c>
      <c r="M369" s="1" t="s">
        <v>961</v>
      </c>
      <c r="N369" s="1">
        <v>33.0</v>
      </c>
      <c r="O369" s="1" t="s">
        <v>28</v>
      </c>
      <c r="P369" s="1">
        <v>2.43301447E8</v>
      </c>
      <c r="Q369" s="1" t="s">
        <v>45</v>
      </c>
      <c r="R369" s="1" t="s">
        <v>30</v>
      </c>
      <c r="S369">
        <f t="shared" si="1"/>
        <v>33146</v>
      </c>
      <c r="T369" t="str">
        <f t="array" ref="T369">iferror(index('Copie de Feuille tri Amandine'!B:C,MATCH(S369,'Copie de Feuille tri Amandine'!B:B,0),2),"")</f>
        <v/>
      </c>
    </row>
    <row r="370">
      <c r="A370" s="1" t="s">
        <v>962</v>
      </c>
      <c r="B370" s="1" t="s">
        <v>237</v>
      </c>
      <c r="C370" s="1" t="s">
        <v>22</v>
      </c>
      <c r="D370" s="2">
        <v>14920.0</v>
      </c>
      <c r="E370" s="1">
        <v>163.0</v>
      </c>
      <c r="F370" s="1" t="s">
        <v>58</v>
      </c>
      <c r="G370" s="2">
        <v>41721.0</v>
      </c>
      <c r="H370" s="1" t="s">
        <v>24</v>
      </c>
      <c r="I370" s="2">
        <v>41721.0</v>
      </c>
      <c r="J370" s="1" t="s">
        <v>25</v>
      </c>
      <c r="K370" s="1" t="s">
        <v>26</v>
      </c>
      <c r="L370" s="1">
        <v>174.0</v>
      </c>
      <c r="M370" s="1" t="s">
        <v>963</v>
      </c>
      <c r="N370" s="1">
        <v>33.0</v>
      </c>
      <c r="O370" s="1" t="s">
        <v>28</v>
      </c>
      <c r="P370" s="1">
        <v>2.43301397E8</v>
      </c>
      <c r="Q370" s="1" t="s">
        <v>158</v>
      </c>
      <c r="R370" s="1" t="s">
        <v>30</v>
      </c>
      <c r="S370">
        <f t="shared" si="1"/>
        <v>33174</v>
      </c>
      <c r="T370" t="str">
        <f t="array" ref="T370">iferror(index('Copie de Feuille tri Amandine'!B:C,MATCH(S370,'Copie de Feuille tri Amandine'!B:B,0),2),"")</f>
        <v/>
      </c>
    </row>
    <row r="371">
      <c r="A371" s="1" t="s">
        <v>964</v>
      </c>
      <c r="B371" s="1" t="s">
        <v>418</v>
      </c>
      <c r="C371" s="1" t="s">
        <v>22</v>
      </c>
      <c r="D371" s="2">
        <v>20543.0</v>
      </c>
      <c r="E371" s="1">
        <v>101.0</v>
      </c>
      <c r="F371" s="1" t="s">
        <v>33</v>
      </c>
      <c r="G371" s="2">
        <v>41721.0</v>
      </c>
      <c r="H371" s="1" t="s">
        <v>24</v>
      </c>
      <c r="I371" s="2">
        <v>41721.0</v>
      </c>
      <c r="J371" s="1" t="s">
        <v>25</v>
      </c>
      <c r="K371" s="1" t="s">
        <v>26</v>
      </c>
      <c r="L371" s="1">
        <v>51.0</v>
      </c>
      <c r="M371" s="1" t="s">
        <v>965</v>
      </c>
      <c r="N371" s="1">
        <v>33.0</v>
      </c>
      <c r="O371" s="1" t="s">
        <v>28</v>
      </c>
      <c r="P371" s="1">
        <v>2.43301504E8</v>
      </c>
      <c r="Q371" s="1" t="s">
        <v>29</v>
      </c>
      <c r="R371" s="1" t="s">
        <v>30</v>
      </c>
      <c r="S371">
        <f t="shared" si="1"/>
        <v>33051</v>
      </c>
      <c r="T371" t="str">
        <f t="array" ref="T371">iferror(index('Copie de Feuille tri Amandine'!B:C,MATCH(S371,'Copie de Feuille tri Amandine'!B:B,0),2),"")</f>
        <v/>
      </c>
    </row>
    <row r="372">
      <c r="A372" s="1" t="s">
        <v>966</v>
      </c>
      <c r="B372" s="1" t="s">
        <v>165</v>
      </c>
      <c r="C372" s="1" t="s">
        <v>22</v>
      </c>
      <c r="D372" s="2">
        <v>28950.0</v>
      </c>
      <c r="E372" s="1">
        <v>118.0</v>
      </c>
      <c r="F372" s="1" t="s">
        <v>101</v>
      </c>
      <c r="G372" s="2">
        <v>41721.0</v>
      </c>
      <c r="H372" s="1" t="s">
        <v>24</v>
      </c>
      <c r="I372" s="2">
        <v>41726.0</v>
      </c>
      <c r="J372" s="1" t="s">
        <v>25</v>
      </c>
      <c r="K372" s="1" t="s">
        <v>26</v>
      </c>
      <c r="L372" s="1">
        <v>96.0</v>
      </c>
      <c r="M372" s="1" t="s">
        <v>967</v>
      </c>
      <c r="N372" s="1">
        <v>33.0</v>
      </c>
      <c r="O372" s="1" t="s">
        <v>28</v>
      </c>
      <c r="P372" s="1">
        <v>2.43300316E8</v>
      </c>
      <c r="Q372" s="1" t="s">
        <v>40</v>
      </c>
      <c r="R372" s="1" t="s">
        <v>30</v>
      </c>
      <c r="S372">
        <f t="shared" si="1"/>
        <v>33096</v>
      </c>
      <c r="T372" t="str">
        <f t="array" ref="T372">iferror(index('Copie de Feuille tri Amandine'!B:C,MATCH(S372,'Copie de Feuille tri Amandine'!B:B,0),2),"")</f>
        <v/>
      </c>
    </row>
    <row r="373">
      <c r="A373" s="1" t="s">
        <v>968</v>
      </c>
      <c r="B373" s="1" t="s">
        <v>134</v>
      </c>
      <c r="C373" s="1" t="s">
        <v>22</v>
      </c>
      <c r="D373" s="2">
        <v>16514.0</v>
      </c>
      <c r="E373" s="1">
        <v>162.0</v>
      </c>
      <c r="F373" s="1" t="s">
        <v>76</v>
      </c>
      <c r="G373" s="2">
        <v>41721.0</v>
      </c>
      <c r="H373" s="1" t="s">
        <v>24</v>
      </c>
      <c r="I373" s="2">
        <v>41721.0</v>
      </c>
      <c r="J373" s="1" t="s">
        <v>25</v>
      </c>
      <c r="K373" s="1" t="s">
        <v>26</v>
      </c>
      <c r="L373" s="1">
        <v>111.0</v>
      </c>
      <c r="M373" s="1" t="s">
        <v>969</v>
      </c>
      <c r="N373" s="1">
        <v>33.0</v>
      </c>
      <c r="O373" s="1" t="s">
        <v>28</v>
      </c>
      <c r="P373" s="1">
        <v>2.00044394E8</v>
      </c>
      <c r="Q373" s="1" t="s">
        <v>35</v>
      </c>
      <c r="R373" s="1" t="s">
        <v>30</v>
      </c>
      <c r="S373">
        <f t="shared" si="1"/>
        <v>33111</v>
      </c>
      <c r="T373" t="str">
        <f t="array" ref="T373">iferror(index('Copie de Feuille tri Amandine'!B:C,MATCH(S373,'Copie de Feuille tri Amandine'!B:B,0),2),"")</f>
        <v/>
      </c>
    </row>
    <row r="374">
      <c r="A374" s="1" t="s">
        <v>970</v>
      </c>
      <c r="B374" s="1" t="s">
        <v>182</v>
      </c>
      <c r="C374" s="1" t="s">
        <v>22</v>
      </c>
      <c r="D374" s="2">
        <v>15687.0</v>
      </c>
      <c r="E374" s="1">
        <v>165.0</v>
      </c>
      <c r="F374" s="1" t="s">
        <v>208</v>
      </c>
      <c r="G374" s="2">
        <v>41721.0</v>
      </c>
      <c r="H374" s="1" t="s">
        <v>24</v>
      </c>
      <c r="I374" s="2">
        <v>41721.0</v>
      </c>
      <c r="J374" s="1" t="s">
        <v>25</v>
      </c>
      <c r="K374" s="1" t="s">
        <v>26</v>
      </c>
      <c r="L374" s="1">
        <v>122.0</v>
      </c>
      <c r="M374" s="1" t="s">
        <v>971</v>
      </c>
      <c r="N374" s="1">
        <v>33.0</v>
      </c>
      <c r="O374" s="1" t="s">
        <v>28</v>
      </c>
      <c r="P374" s="1">
        <v>2.43301165E8</v>
      </c>
      <c r="Q374" s="1" t="s">
        <v>191</v>
      </c>
      <c r="R374" s="1" t="s">
        <v>30</v>
      </c>
      <c r="S374">
        <f t="shared" si="1"/>
        <v>33122</v>
      </c>
      <c r="T374" t="str">
        <f t="array" ref="T374">iferror(index('Copie de Feuille tri Amandine'!B:C,MATCH(S374,'Copie de Feuille tri Amandine'!B:B,0),2),"")</f>
        <v/>
      </c>
    </row>
    <row r="375">
      <c r="A375" s="1" t="s">
        <v>972</v>
      </c>
      <c r="B375" s="1" t="s">
        <v>973</v>
      </c>
      <c r="C375" s="1" t="s">
        <v>53</v>
      </c>
      <c r="D375" s="2">
        <v>17232.0</v>
      </c>
      <c r="E375" s="1">
        <v>162.0</v>
      </c>
      <c r="F375" s="1" t="s">
        <v>76</v>
      </c>
      <c r="G375" s="2">
        <v>41721.0</v>
      </c>
      <c r="H375" s="1" t="s">
        <v>24</v>
      </c>
      <c r="I375" s="2">
        <v>41726.0</v>
      </c>
      <c r="J375" s="1" t="s">
        <v>25</v>
      </c>
      <c r="K375" s="1" t="s">
        <v>26</v>
      </c>
      <c r="L375" s="1">
        <v>135.0</v>
      </c>
      <c r="M375" s="1" t="s">
        <v>974</v>
      </c>
      <c r="N375" s="1">
        <v>33.0</v>
      </c>
      <c r="O375" s="1" t="s">
        <v>28</v>
      </c>
      <c r="P375" s="1">
        <v>2.00069599E8</v>
      </c>
      <c r="Q375" s="1" t="s">
        <v>60</v>
      </c>
      <c r="R375" s="1" t="s">
        <v>30</v>
      </c>
      <c r="S375">
        <f t="shared" si="1"/>
        <v>33135</v>
      </c>
      <c r="T375" t="str">
        <f t="array" ref="T375">iferror(index('Copie de Feuille tri Amandine'!B:C,MATCH(S375,'Copie de Feuille tri Amandine'!B:B,0),2),"")</f>
        <v/>
      </c>
    </row>
    <row r="376">
      <c r="A376" s="1" t="s">
        <v>975</v>
      </c>
      <c r="B376" s="1" t="s">
        <v>697</v>
      </c>
      <c r="C376" s="1" t="s">
        <v>53</v>
      </c>
      <c r="D376" s="2">
        <v>19069.0</v>
      </c>
      <c r="E376" s="1">
        <v>163.0</v>
      </c>
      <c r="F376" s="1" t="s">
        <v>58</v>
      </c>
      <c r="G376" s="2">
        <v>41721.0</v>
      </c>
      <c r="H376" s="1" t="s">
        <v>24</v>
      </c>
      <c r="I376" s="2">
        <v>41721.0</v>
      </c>
      <c r="J376" s="1" t="s">
        <v>25</v>
      </c>
      <c r="K376" s="1" t="s">
        <v>26</v>
      </c>
      <c r="L376" s="1">
        <v>261.0</v>
      </c>
      <c r="M376" s="1" t="s">
        <v>976</v>
      </c>
      <c r="N376" s="1">
        <v>33.0</v>
      </c>
      <c r="O376" s="1" t="s">
        <v>28</v>
      </c>
      <c r="P376" s="1">
        <v>2.00035533E8</v>
      </c>
      <c r="Q376" s="1" t="s">
        <v>146</v>
      </c>
      <c r="R376" s="1" t="s">
        <v>30</v>
      </c>
      <c r="S376">
        <f t="shared" si="1"/>
        <v>33261</v>
      </c>
      <c r="T376" t="str">
        <f t="array" ref="T376">iferror(index('Copie de Feuille tri Amandine'!B:C,MATCH(S376,'Copie de Feuille tri Amandine'!B:B,0),2),"")</f>
        <v/>
      </c>
    </row>
    <row r="377">
      <c r="A377" s="1" t="s">
        <v>977</v>
      </c>
      <c r="B377" s="1" t="s">
        <v>978</v>
      </c>
      <c r="C377" s="1" t="s">
        <v>53</v>
      </c>
      <c r="D377" s="2">
        <v>25684.0</v>
      </c>
      <c r="E377" s="1">
        <v>147.0</v>
      </c>
      <c r="F377" s="1" t="s">
        <v>38</v>
      </c>
      <c r="G377" s="2">
        <v>41721.0</v>
      </c>
      <c r="H377" s="1" t="s">
        <v>24</v>
      </c>
      <c r="I377" s="2">
        <v>41721.0</v>
      </c>
      <c r="J377" s="1" t="s">
        <v>25</v>
      </c>
      <c r="K377" s="1" t="s">
        <v>26</v>
      </c>
      <c r="L377" s="1">
        <v>262.0</v>
      </c>
      <c r="M377" s="1" t="s">
        <v>979</v>
      </c>
      <c r="N377" s="1">
        <v>33.0</v>
      </c>
      <c r="O377" s="1" t="s">
        <v>28</v>
      </c>
      <c r="P377" s="1">
        <v>2.43301447E8</v>
      </c>
      <c r="Q377" s="1" t="s">
        <v>45</v>
      </c>
      <c r="R377" s="1" t="s">
        <v>30</v>
      </c>
      <c r="S377">
        <f t="shared" si="1"/>
        <v>33262</v>
      </c>
      <c r="T377">
        <f t="array" ref="T377">iferror(index('Copie de Feuille tri Amandine'!B:C,MATCH(S377,'Copie de Feuille tri Amandine'!B:B,0),2),"")</f>
        <v>4225</v>
      </c>
    </row>
    <row r="378">
      <c r="A378" s="1" t="s">
        <v>980</v>
      </c>
      <c r="B378" s="1" t="s">
        <v>981</v>
      </c>
      <c r="C378" s="1" t="s">
        <v>22</v>
      </c>
      <c r="D378" s="2">
        <v>16130.0</v>
      </c>
      <c r="E378" s="1">
        <v>162.0</v>
      </c>
      <c r="F378" s="1" t="s">
        <v>76</v>
      </c>
      <c r="G378" s="2">
        <v>41721.0</v>
      </c>
      <c r="H378" s="1" t="s">
        <v>24</v>
      </c>
      <c r="I378" s="2">
        <v>41721.0</v>
      </c>
      <c r="J378" s="1" t="s">
        <v>25</v>
      </c>
      <c r="K378" s="1" t="s">
        <v>26</v>
      </c>
      <c r="L378" s="1">
        <v>264.0</v>
      </c>
      <c r="M378" s="1" t="s">
        <v>982</v>
      </c>
      <c r="N378" s="1">
        <v>33.0</v>
      </c>
      <c r="O378" s="1" t="s">
        <v>28</v>
      </c>
      <c r="P378" s="1">
        <v>2.00070092E8</v>
      </c>
      <c r="Q378" s="1" t="s">
        <v>50</v>
      </c>
      <c r="R378" s="1" t="s">
        <v>30</v>
      </c>
      <c r="S378">
        <f t="shared" si="1"/>
        <v>33264</v>
      </c>
      <c r="T378">
        <f t="array" ref="T378">iferror(index('Copie de Feuille tri Amandine'!B:C,MATCH(S378,'Copie de Feuille tri Amandine'!B:B,0),2),"")</f>
        <v>1016</v>
      </c>
    </row>
    <row r="379">
      <c r="A379" s="1" t="s">
        <v>167</v>
      </c>
      <c r="B379" s="1" t="s">
        <v>273</v>
      </c>
      <c r="C379" s="1" t="s">
        <v>22</v>
      </c>
      <c r="D379" s="2">
        <v>17371.0</v>
      </c>
      <c r="E379" s="1">
        <v>163.0</v>
      </c>
      <c r="F379" s="1" t="s">
        <v>58</v>
      </c>
      <c r="G379" s="2">
        <v>41721.0</v>
      </c>
      <c r="H379" s="1" t="s">
        <v>24</v>
      </c>
      <c r="I379" s="2">
        <v>41721.0</v>
      </c>
      <c r="J379" s="1" t="s">
        <v>25</v>
      </c>
      <c r="K379" s="1" t="s">
        <v>26</v>
      </c>
      <c r="L379" s="1">
        <v>301.0</v>
      </c>
      <c r="M379" s="1" t="s">
        <v>983</v>
      </c>
      <c r="N379" s="1">
        <v>33.0</v>
      </c>
      <c r="O379" s="1" t="s">
        <v>28</v>
      </c>
      <c r="P379" s="1">
        <v>2.43301454E8</v>
      </c>
      <c r="Q379" s="1" t="s">
        <v>94</v>
      </c>
      <c r="R379" s="1" t="s">
        <v>30</v>
      </c>
      <c r="S379">
        <f t="shared" si="1"/>
        <v>33301</v>
      </c>
      <c r="T379">
        <f t="array" ref="T379">iferror(index('Copie de Feuille tri Amandine'!B:C,MATCH(S379,'Copie de Feuille tri Amandine'!B:B,0),2),"")</f>
        <v>580</v>
      </c>
    </row>
    <row r="380">
      <c r="A380" s="1" t="s">
        <v>984</v>
      </c>
      <c r="B380" s="1" t="s">
        <v>985</v>
      </c>
      <c r="C380" s="1" t="s">
        <v>22</v>
      </c>
      <c r="D380" s="2">
        <v>19223.0</v>
      </c>
      <c r="E380" s="1">
        <v>110.0</v>
      </c>
      <c r="F380" s="1" t="s">
        <v>48</v>
      </c>
      <c r="G380" s="2">
        <v>41721.0</v>
      </c>
      <c r="H380" s="1" t="s">
        <v>24</v>
      </c>
      <c r="I380" s="2">
        <v>41721.0</v>
      </c>
      <c r="J380" s="1" t="s">
        <v>25</v>
      </c>
      <c r="K380" s="1" t="s">
        <v>26</v>
      </c>
      <c r="L380" s="1">
        <v>316.0</v>
      </c>
      <c r="M380" s="1" t="s">
        <v>986</v>
      </c>
      <c r="N380" s="1">
        <v>33.0</v>
      </c>
      <c r="O380" s="1" t="s">
        <v>28</v>
      </c>
      <c r="P380" s="1">
        <v>2.43301371E8</v>
      </c>
      <c r="Q380" s="1" t="s">
        <v>271</v>
      </c>
      <c r="R380" s="1" t="s">
        <v>30</v>
      </c>
      <c r="S380">
        <f t="shared" si="1"/>
        <v>33316</v>
      </c>
      <c r="T380">
        <f t="array" ref="T380">iferror(index('Copie de Feuille tri Amandine'!B:C,MATCH(S380,'Copie de Feuille tri Amandine'!B:B,0),2),"")</f>
        <v>1099</v>
      </c>
    </row>
    <row r="381">
      <c r="A381" s="1" t="s">
        <v>987</v>
      </c>
      <c r="B381" s="1" t="s">
        <v>988</v>
      </c>
      <c r="C381" s="1" t="s">
        <v>53</v>
      </c>
      <c r="D381" s="2">
        <v>16254.0</v>
      </c>
      <c r="E381" s="1">
        <v>162.0</v>
      </c>
      <c r="F381" s="1" t="s">
        <v>76</v>
      </c>
      <c r="G381" s="2">
        <v>41721.0</v>
      </c>
      <c r="H381" s="1" t="s">
        <v>24</v>
      </c>
      <c r="I381" s="2">
        <v>41721.0</v>
      </c>
      <c r="J381" s="1" t="s">
        <v>25</v>
      </c>
      <c r="K381" s="1" t="s">
        <v>26</v>
      </c>
      <c r="L381" s="1">
        <v>344.0</v>
      </c>
      <c r="M381" s="1" t="s">
        <v>989</v>
      </c>
      <c r="N381" s="1">
        <v>33.0</v>
      </c>
      <c r="O381" s="1" t="s">
        <v>28</v>
      </c>
      <c r="P381" s="1">
        <v>2.43301454E8</v>
      </c>
      <c r="Q381" s="1" t="s">
        <v>94</v>
      </c>
      <c r="R381" s="1" t="s">
        <v>30</v>
      </c>
      <c r="S381">
        <f t="shared" si="1"/>
        <v>33344</v>
      </c>
      <c r="T381">
        <f t="array" ref="T381">iferror(index('Copie de Feuille tri Amandine'!B:C,MATCH(S381,'Copie de Feuille tri Amandine'!B:B,0),2),"")</f>
        <v>538</v>
      </c>
    </row>
    <row r="382">
      <c r="A382" s="1" t="s">
        <v>970</v>
      </c>
      <c r="B382" s="1" t="s">
        <v>121</v>
      </c>
      <c r="C382" s="1" t="s">
        <v>53</v>
      </c>
      <c r="D382" s="2">
        <v>22565.0</v>
      </c>
      <c r="E382" s="1">
        <v>119.0</v>
      </c>
      <c r="F382" s="1" t="s">
        <v>109</v>
      </c>
      <c r="G382" s="2">
        <v>41721.0</v>
      </c>
      <c r="H382" s="1" t="s">
        <v>24</v>
      </c>
      <c r="I382" s="2">
        <v>41721.0</v>
      </c>
      <c r="J382" s="1" t="s">
        <v>25</v>
      </c>
      <c r="K382" s="1" t="s">
        <v>26</v>
      </c>
      <c r="L382" s="1">
        <v>389.0</v>
      </c>
      <c r="M382" s="1" t="s">
        <v>990</v>
      </c>
      <c r="N382" s="1">
        <v>33.0</v>
      </c>
      <c r="O382" s="1" t="s">
        <v>28</v>
      </c>
      <c r="P382" s="1">
        <v>2.43300811E8</v>
      </c>
      <c r="Q382" s="1" t="s">
        <v>201</v>
      </c>
      <c r="R382" s="1" t="s">
        <v>30</v>
      </c>
      <c r="S382">
        <f t="shared" si="1"/>
        <v>33389</v>
      </c>
      <c r="T382">
        <f t="array" ref="T382">iferror(index('Copie de Feuille tri Amandine'!B:C,MATCH(S382,'Copie de Feuille tri Amandine'!B:B,0),2),"")</f>
        <v>3012</v>
      </c>
    </row>
    <row r="383">
      <c r="A383" s="1" t="s">
        <v>991</v>
      </c>
      <c r="B383" s="1" t="s">
        <v>992</v>
      </c>
      <c r="C383" s="1" t="s">
        <v>22</v>
      </c>
      <c r="D383" s="2">
        <v>24374.0</v>
      </c>
      <c r="E383" s="1">
        <v>101.0</v>
      </c>
      <c r="F383" s="1" t="s">
        <v>33</v>
      </c>
      <c r="G383" s="2">
        <v>41721.0</v>
      </c>
      <c r="H383" s="1" t="s">
        <v>24</v>
      </c>
      <c r="I383" s="2">
        <v>41721.0</v>
      </c>
      <c r="J383" s="1" t="s">
        <v>25</v>
      </c>
      <c r="K383" s="1" t="s">
        <v>26</v>
      </c>
      <c r="L383" s="1">
        <v>411.0</v>
      </c>
      <c r="M383" s="1" t="s">
        <v>993</v>
      </c>
      <c r="N383" s="1">
        <v>33.0</v>
      </c>
      <c r="O383" s="1" t="s">
        <v>28</v>
      </c>
      <c r="P383" s="1">
        <v>2.00043974E8</v>
      </c>
      <c r="Q383" s="1" t="s">
        <v>78</v>
      </c>
      <c r="R383" s="1" t="s">
        <v>30</v>
      </c>
      <c r="S383">
        <f t="shared" si="1"/>
        <v>33411</v>
      </c>
      <c r="T383">
        <f t="array" ref="T383">iferror(index('Copie de Feuille tri Amandine'!B:C,MATCH(S383,'Copie de Feuille tri Amandine'!B:B,0),2),"")</f>
        <v>166</v>
      </c>
    </row>
    <row r="384">
      <c r="A384" s="1" t="s">
        <v>994</v>
      </c>
      <c r="B384" s="1" t="s">
        <v>182</v>
      </c>
      <c r="C384" s="1" t="s">
        <v>22</v>
      </c>
      <c r="D384" s="2">
        <v>18102.0</v>
      </c>
      <c r="E384" s="1">
        <v>162.0</v>
      </c>
      <c r="F384" s="1" t="s">
        <v>76</v>
      </c>
      <c r="G384" s="2">
        <v>41721.0</v>
      </c>
      <c r="H384" s="1" t="s">
        <v>24</v>
      </c>
      <c r="I384" s="2">
        <v>41721.0</v>
      </c>
      <c r="J384" s="1" t="s">
        <v>25</v>
      </c>
      <c r="K384" s="1" t="s">
        <v>26</v>
      </c>
      <c r="L384" s="1">
        <v>432.0</v>
      </c>
      <c r="M384" s="1" t="s">
        <v>995</v>
      </c>
      <c r="N384" s="1">
        <v>33.0</v>
      </c>
      <c r="O384" s="1" t="s">
        <v>28</v>
      </c>
      <c r="P384" s="1">
        <v>2.00043974E8</v>
      </c>
      <c r="Q384" s="1" t="s">
        <v>78</v>
      </c>
      <c r="R384" s="1" t="s">
        <v>30</v>
      </c>
      <c r="S384">
        <f t="shared" si="1"/>
        <v>33432</v>
      </c>
      <c r="T384">
        <f t="array" ref="T384">iferror(index('Copie de Feuille tri Amandine'!B:C,MATCH(S384,'Copie de Feuille tri Amandine'!B:B,0),2),"")</f>
        <v>228</v>
      </c>
    </row>
    <row r="385">
      <c r="A385" s="1" t="s">
        <v>996</v>
      </c>
      <c r="B385" s="1" t="s">
        <v>460</v>
      </c>
      <c r="C385" s="1" t="s">
        <v>22</v>
      </c>
      <c r="D385" s="2">
        <v>20373.0</v>
      </c>
      <c r="E385" s="1">
        <v>105.0</v>
      </c>
      <c r="F385" s="1" t="s">
        <v>23</v>
      </c>
      <c r="G385" s="2">
        <v>41721.0</v>
      </c>
      <c r="H385" s="1" t="s">
        <v>24</v>
      </c>
      <c r="I385" s="2">
        <v>43592.0</v>
      </c>
      <c r="J385" s="1" t="s">
        <v>25</v>
      </c>
      <c r="K385" s="1" t="s">
        <v>26</v>
      </c>
      <c r="L385" s="1">
        <v>451.0</v>
      </c>
      <c r="M385" s="1" t="s">
        <v>997</v>
      </c>
      <c r="N385" s="1">
        <v>33.0</v>
      </c>
      <c r="O385" s="1" t="s">
        <v>28</v>
      </c>
      <c r="P385" s="1">
        <v>2.43301397E8</v>
      </c>
      <c r="Q385" s="1" t="s">
        <v>158</v>
      </c>
      <c r="R385" s="1" t="s">
        <v>30</v>
      </c>
      <c r="S385">
        <f t="shared" si="1"/>
        <v>33451</v>
      </c>
      <c r="T385">
        <f t="array" ref="T385">iferror(index('Copie de Feuille tri Amandine'!B:C,MATCH(S385,'Copie de Feuille tri Amandine'!B:B,0),2),"")</f>
        <v>522</v>
      </c>
    </row>
    <row r="386">
      <c r="A386" s="1" t="s">
        <v>998</v>
      </c>
      <c r="B386" s="1" t="s">
        <v>121</v>
      </c>
      <c r="C386" s="1" t="s">
        <v>53</v>
      </c>
      <c r="D386" s="2">
        <v>22516.0</v>
      </c>
      <c r="E386" s="1">
        <v>147.0</v>
      </c>
      <c r="F386" s="1" t="s">
        <v>38</v>
      </c>
      <c r="G386" s="2">
        <v>42101.0</v>
      </c>
      <c r="H386" s="1" t="s">
        <v>24</v>
      </c>
      <c r="I386" s="2">
        <v>42101.0</v>
      </c>
      <c r="J386" s="1" t="s">
        <v>25</v>
      </c>
      <c r="K386" s="1" t="s">
        <v>26</v>
      </c>
      <c r="L386" s="1">
        <v>503.0</v>
      </c>
      <c r="M386" s="1" t="s">
        <v>999</v>
      </c>
      <c r="N386" s="1">
        <v>33.0</v>
      </c>
      <c r="O386" s="1" t="s">
        <v>28</v>
      </c>
      <c r="P386" s="1">
        <v>2.43301389E8</v>
      </c>
      <c r="Q386" s="1" t="s">
        <v>220</v>
      </c>
      <c r="R386" s="1" t="s">
        <v>30</v>
      </c>
      <c r="S386">
        <f t="shared" si="1"/>
        <v>33503</v>
      </c>
      <c r="T386">
        <f t="array" ref="T386">iferror(index('Copie de Feuille tri Amandine'!B:C,MATCH(S386,'Copie de Feuille tri Amandine'!B:B,0),2),"")</f>
        <v>532</v>
      </c>
    </row>
    <row r="387">
      <c r="A387" s="1" t="s">
        <v>507</v>
      </c>
      <c r="B387" s="1" t="s">
        <v>37</v>
      </c>
      <c r="C387" s="1" t="s">
        <v>22</v>
      </c>
      <c r="D387" s="2">
        <v>15996.0</v>
      </c>
      <c r="E387" s="1">
        <v>162.0</v>
      </c>
      <c r="F387" s="1" t="s">
        <v>76</v>
      </c>
      <c r="G387" s="2">
        <v>41721.0</v>
      </c>
      <c r="H387" s="1" t="s">
        <v>24</v>
      </c>
      <c r="I387" s="2">
        <v>41721.0</v>
      </c>
      <c r="J387" s="1" t="s">
        <v>25</v>
      </c>
      <c r="K387" s="1" t="s">
        <v>26</v>
      </c>
      <c r="L387" s="1">
        <v>521.0</v>
      </c>
      <c r="M387" s="1" t="s">
        <v>1000</v>
      </c>
      <c r="N387" s="1">
        <v>33.0</v>
      </c>
      <c r="O387" s="1" t="s">
        <v>28</v>
      </c>
      <c r="P387" s="1">
        <v>2.0007072E8</v>
      </c>
      <c r="Q387" s="1" t="s">
        <v>111</v>
      </c>
      <c r="R387" s="1" t="s">
        <v>30</v>
      </c>
      <c r="S387">
        <f t="shared" si="1"/>
        <v>33521</v>
      </c>
      <c r="T387">
        <f t="array" ref="T387">iferror(index('Copie de Feuille tri Amandine'!B:C,MATCH(S387,'Copie de Feuille tri Amandine'!B:B,0),2),"")</f>
        <v>741</v>
      </c>
    </row>
    <row r="388">
      <c r="A388" s="1" t="s">
        <v>1001</v>
      </c>
      <c r="B388" s="1" t="s">
        <v>953</v>
      </c>
      <c r="C388" s="1" t="s">
        <v>22</v>
      </c>
      <c r="D388" s="2">
        <v>22916.0</v>
      </c>
      <c r="E388" s="1">
        <v>113.0</v>
      </c>
      <c r="F388" s="1" t="s">
        <v>246</v>
      </c>
      <c r="G388" s="2">
        <v>41721.0</v>
      </c>
      <c r="H388" s="1" t="s">
        <v>24</v>
      </c>
      <c r="I388" s="2">
        <v>41721.0</v>
      </c>
      <c r="J388" s="1" t="s">
        <v>25</v>
      </c>
      <c r="K388" s="1" t="s">
        <v>26</v>
      </c>
      <c r="L388" s="1">
        <v>28.0</v>
      </c>
      <c r="M388" s="1" t="s">
        <v>1002</v>
      </c>
      <c r="N388" s="1">
        <v>33.0</v>
      </c>
      <c r="O388" s="1" t="s">
        <v>28</v>
      </c>
      <c r="P388" s="1">
        <v>2.43301215E8</v>
      </c>
      <c r="Q388" s="1" t="s">
        <v>136</v>
      </c>
      <c r="R388" s="1" t="s">
        <v>30</v>
      </c>
      <c r="S388">
        <f t="shared" si="1"/>
        <v>33028</v>
      </c>
      <c r="T388" t="str">
        <f t="array" ref="T388">iferror(index('Copie de Feuille tri Amandine'!B:C,MATCH(S388,'Copie de Feuille tri Amandine'!B:B,0),2),"")</f>
        <v/>
      </c>
    </row>
    <row r="389">
      <c r="A389" s="1" t="s">
        <v>1003</v>
      </c>
      <c r="B389" s="1" t="s">
        <v>352</v>
      </c>
      <c r="C389" s="1" t="s">
        <v>53</v>
      </c>
      <c r="D389" s="2">
        <v>25450.0</v>
      </c>
      <c r="E389" s="1">
        <v>101.0</v>
      </c>
      <c r="F389" s="1" t="s">
        <v>33</v>
      </c>
      <c r="G389" s="2">
        <v>41721.0</v>
      </c>
      <c r="H389" s="1" t="s">
        <v>24</v>
      </c>
      <c r="I389" s="2">
        <v>41728.0</v>
      </c>
      <c r="J389" s="1" t="s">
        <v>25</v>
      </c>
      <c r="K389" s="1" t="s">
        <v>26</v>
      </c>
      <c r="L389" s="1">
        <v>34.0</v>
      </c>
      <c r="M389" s="1" t="s">
        <v>1004</v>
      </c>
      <c r="N389" s="1">
        <v>33.0</v>
      </c>
      <c r="O389" s="1" t="s">
        <v>28</v>
      </c>
      <c r="P389" s="1">
        <v>2.00070092E8</v>
      </c>
      <c r="Q389" s="1" t="s">
        <v>50</v>
      </c>
      <c r="R389" s="1" t="s">
        <v>30</v>
      </c>
      <c r="S389">
        <f t="shared" si="1"/>
        <v>33034</v>
      </c>
      <c r="T389" t="str">
        <f t="array" ref="T389">iferror(index('Copie de Feuille tri Amandine'!B:C,MATCH(S389,'Copie de Feuille tri Amandine'!B:B,0),2),"")</f>
        <v/>
      </c>
    </row>
    <row r="390">
      <c r="A390" s="1" t="s">
        <v>1005</v>
      </c>
      <c r="B390" s="1" t="s">
        <v>692</v>
      </c>
      <c r="C390" s="1" t="s">
        <v>22</v>
      </c>
      <c r="D390" s="2">
        <v>17901.0</v>
      </c>
      <c r="E390" s="1">
        <v>101.0</v>
      </c>
      <c r="F390" s="1" t="s">
        <v>33</v>
      </c>
      <c r="G390" s="2">
        <v>41721.0</v>
      </c>
      <c r="H390" s="1" t="s">
        <v>24</v>
      </c>
      <c r="I390" s="2">
        <v>41721.0</v>
      </c>
      <c r="J390" s="1" t="s">
        <v>25</v>
      </c>
      <c r="K390" s="1" t="s">
        <v>26</v>
      </c>
      <c r="L390" s="1">
        <v>45.0</v>
      </c>
      <c r="M390" s="1" t="s">
        <v>1006</v>
      </c>
      <c r="N390" s="1">
        <v>33.0</v>
      </c>
      <c r="O390" s="1" t="s">
        <v>28</v>
      </c>
      <c r="P390" s="1">
        <v>2.00035533E8</v>
      </c>
      <c r="Q390" s="1" t="s">
        <v>146</v>
      </c>
      <c r="R390" s="1" t="s">
        <v>30</v>
      </c>
      <c r="S390">
        <f t="shared" si="1"/>
        <v>33045</v>
      </c>
      <c r="T390" t="str">
        <f t="array" ref="T390">iferror(index('Copie de Feuille tri Amandine'!B:C,MATCH(S390,'Copie de Feuille tri Amandine'!B:B,0),2),"")</f>
        <v/>
      </c>
    </row>
    <row r="391">
      <c r="A391" s="1" t="s">
        <v>1007</v>
      </c>
      <c r="B391" s="1" t="s">
        <v>1008</v>
      </c>
      <c r="C391" s="1" t="s">
        <v>22</v>
      </c>
      <c r="D391" s="2">
        <v>17077.0</v>
      </c>
      <c r="E391" s="1">
        <v>163.0</v>
      </c>
      <c r="F391" s="1" t="s">
        <v>58</v>
      </c>
      <c r="G391" s="2">
        <v>41994.0</v>
      </c>
      <c r="H391" s="1" t="s">
        <v>24</v>
      </c>
      <c r="I391" s="2">
        <v>42000.0</v>
      </c>
      <c r="J391" s="1" t="s">
        <v>25</v>
      </c>
      <c r="K391" s="1" t="s">
        <v>26</v>
      </c>
      <c r="L391" s="1">
        <v>81.0</v>
      </c>
      <c r="M391" s="1" t="s">
        <v>1009</v>
      </c>
      <c r="N391" s="1">
        <v>33.0</v>
      </c>
      <c r="O391" s="1" t="s">
        <v>28</v>
      </c>
      <c r="P391" s="1">
        <v>2.00069581E8</v>
      </c>
      <c r="Q391" s="1" t="s">
        <v>82</v>
      </c>
      <c r="R391" s="1" t="s">
        <v>30</v>
      </c>
      <c r="S391">
        <f t="shared" si="1"/>
        <v>33081</v>
      </c>
      <c r="T391" t="str">
        <f t="array" ref="T391">iferror(index('Copie de Feuille tri Amandine'!B:C,MATCH(S391,'Copie de Feuille tri Amandine'!B:B,0),2),"")</f>
        <v/>
      </c>
    </row>
    <row r="392">
      <c r="A392" s="1" t="s">
        <v>1010</v>
      </c>
      <c r="B392" s="1" t="s">
        <v>481</v>
      </c>
      <c r="C392" s="1" t="s">
        <v>53</v>
      </c>
      <c r="D392" s="2">
        <v>20358.0</v>
      </c>
      <c r="E392" s="1">
        <v>156.0</v>
      </c>
      <c r="F392" s="1" t="s">
        <v>293</v>
      </c>
      <c r="G392" s="2">
        <v>41721.0</v>
      </c>
      <c r="H392" s="1" t="s">
        <v>24</v>
      </c>
      <c r="I392" s="2">
        <v>41721.0</v>
      </c>
      <c r="J392" s="1" t="s">
        <v>25</v>
      </c>
      <c r="K392" s="1" t="s">
        <v>26</v>
      </c>
      <c r="L392" s="1">
        <v>207.0</v>
      </c>
      <c r="M392" s="1" t="s">
        <v>1011</v>
      </c>
      <c r="N392" s="1">
        <v>33.0</v>
      </c>
      <c r="O392" s="1" t="s">
        <v>28</v>
      </c>
      <c r="P392" s="1">
        <v>2.00070092E8</v>
      </c>
      <c r="Q392" s="1" t="s">
        <v>50</v>
      </c>
      <c r="R392" s="1" t="s">
        <v>30</v>
      </c>
      <c r="S392">
        <f t="shared" si="1"/>
        <v>33207</v>
      </c>
      <c r="T392" t="str">
        <f t="array" ref="T392">iferror(index('Copie de Feuille tri Amandine'!B:C,MATCH(S392,'Copie de Feuille tri Amandine'!B:B,0),2),"")</f>
        <v/>
      </c>
    </row>
    <row r="393">
      <c r="A393" s="1" t="s">
        <v>1012</v>
      </c>
      <c r="B393" s="1" t="s">
        <v>302</v>
      </c>
      <c r="C393" s="1" t="s">
        <v>22</v>
      </c>
      <c r="D393" s="2">
        <v>14003.0</v>
      </c>
      <c r="E393" s="1">
        <v>105.0</v>
      </c>
      <c r="F393" s="1" t="s">
        <v>23</v>
      </c>
      <c r="G393" s="2">
        <v>41721.0</v>
      </c>
      <c r="H393" s="1" t="s">
        <v>24</v>
      </c>
      <c r="I393" s="2">
        <v>41721.0</v>
      </c>
      <c r="J393" s="1" t="s">
        <v>25</v>
      </c>
      <c r="K393" s="1" t="s">
        <v>26</v>
      </c>
      <c r="L393" s="1">
        <v>1.0</v>
      </c>
      <c r="M393" s="1" t="s">
        <v>1013</v>
      </c>
      <c r="N393" s="1">
        <v>33.0</v>
      </c>
      <c r="O393" s="1" t="s">
        <v>28</v>
      </c>
      <c r="P393" s="1">
        <v>2.00070092E8</v>
      </c>
      <c r="Q393" s="1" t="s">
        <v>50</v>
      </c>
      <c r="R393" s="1" t="s">
        <v>30</v>
      </c>
      <c r="S393">
        <f t="shared" si="1"/>
        <v>33001</v>
      </c>
      <c r="T393" t="str">
        <f t="array" ref="T393">iferror(index('Copie de Feuille tri Amandine'!B:C,MATCH(S393,'Copie de Feuille tri Amandine'!B:B,0),2),"")</f>
        <v/>
      </c>
    </row>
    <row r="394">
      <c r="A394" s="1" t="s">
        <v>903</v>
      </c>
      <c r="B394" s="1" t="s">
        <v>175</v>
      </c>
      <c r="C394" s="1" t="s">
        <v>22</v>
      </c>
      <c r="D394" s="2">
        <v>21010.0</v>
      </c>
      <c r="E394" s="1">
        <v>148.0</v>
      </c>
      <c r="F394" s="1" t="s">
        <v>105</v>
      </c>
      <c r="G394" s="2">
        <v>41721.0</v>
      </c>
      <c r="H394" s="1" t="s">
        <v>24</v>
      </c>
      <c r="I394" s="2">
        <v>41721.0</v>
      </c>
      <c r="J394" s="1" t="s">
        <v>25</v>
      </c>
      <c r="K394" s="1" t="s">
        <v>26</v>
      </c>
      <c r="L394" s="1">
        <v>166.0</v>
      </c>
      <c r="M394" s="1" t="s">
        <v>1014</v>
      </c>
      <c r="N394" s="1">
        <v>33.0</v>
      </c>
      <c r="O394" s="1" t="s">
        <v>28</v>
      </c>
      <c r="P394" s="1">
        <v>2.00070092E8</v>
      </c>
      <c r="Q394" s="1" t="s">
        <v>50</v>
      </c>
      <c r="R394" s="1" t="s">
        <v>30</v>
      </c>
      <c r="S394">
        <f t="shared" si="1"/>
        <v>33166</v>
      </c>
      <c r="T394" t="str">
        <f t="array" ref="T394">iferror(index('Copie de Feuille tri Amandine'!B:C,MATCH(S394,'Copie de Feuille tri Amandine'!B:B,0),2),"")</f>
        <v/>
      </c>
    </row>
    <row r="395">
      <c r="A395" s="1" t="s">
        <v>1015</v>
      </c>
      <c r="B395" s="1" t="s">
        <v>600</v>
      </c>
      <c r="C395" s="1" t="s">
        <v>53</v>
      </c>
      <c r="D395" s="2">
        <v>22335.0</v>
      </c>
      <c r="E395" s="1">
        <v>109.0</v>
      </c>
      <c r="F395" s="1" t="s">
        <v>671</v>
      </c>
      <c r="G395" s="2">
        <v>41721.0</v>
      </c>
      <c r="H395" s="1" t="s">
        <v>24</v>
      </c>
      <c r="I395" s="2">
        <v>43608.0</v>
      </c>
      <c r="J395" s="1" t="s">
        <v>25</v>
      </c>
      <c r="K395" s="1" t="s">
        <v>26</v>
      </c>
      <c r="L395" s="1">
        <v>195.0</v>
      </c>
      <c r="M395" s="1" t="s">
        <v>1016</v>
      </c>
      <c r="N395" s="1">
        <v>33.0</v>
      </c>
      <c r="O395" s="1" t="s">
        <v>28</v>
      </c>
      <c r="P395" s="1">
        <v>2.00043982E8</v>
      </c>
      <c r="Q395" s="1" t="s">
        <v>124</v>
      </c>
      <c r="R395" s="1" t="s">
        <v>30</v>
      </c>
      <c r="S395">
        <f t="shared" si="1"/>
        <v>33195</v>
      </c>
      <c r="T395" t="str">
        <f t="array" ref="T395">iferror(index('Copie de Feuille tri Amandine'!B:C,MATCH(S395,'Copie de Feuille tri Amandine'!B:B,0),2),"")</f>
        <v/>
      </c>
    </row>
    <row r="396">
      <c r="A396" s="1" t="s">
        <v>1017</v>
      </c>
      <c r="B396" s="1" t="s">
        <v>493</v>
      </c>
      <c r="C396" s="1" t="s">
        <v>53</v>
      </c>
      <c r="D396" s="2">
        <v>22522.0</v>
      </c>
      <c r="E396" s="1">
        <v>148.0</v>
      </c>
      <c r="F396" s="1" t="s">
        <v>105</v>
      </c>
      <c r="G396" s="2">
        <v>41721.0</v>
      </c>
      <c r="H396" s="1" t="s">
        <v>24</v>
      </c>
      <c r="I396" s="2">
        <v>41721.0</v>
      </c>
      <c r="J396" s="1" t="s">
        <v>25</v>
      </c>
      <c r="K396" s="1" t="s">
        <v>26</v>
      </c>
      <c r="L396" s="1">
        <v>204.0</v>
      </c>
      <c r="M396" s="1" t="s">
        <v>1018</v>
      </c>
      <c r="N396" s="1">
        <v>33.0</v>
      </c>
      <c r="O396" s="1" t="s">
        <v>28</v>
      </c>
      <c r="P396" s="1">
        <v>2.00044394E8</v>
      </c>
      <c r="Q396" s="1" t="s">
        <v>35</v>
      </c>
      <c r="R396" s="1" t="s">
        <v>30</v>
      </c>
      <c r="S396">
        <f t="shared" si="1"/>
        <v>33204</v>
      </c>
      <c r="T396" t="str">
        <f t="array" ref="T396">iferror(index('Copie de Feuille tri Amandine'!B:C,MATCH(S396,'Copie de Feuille tri Amandine'!B:B,0),2),"")</f>
        <v/>
      </c>
    </row>
    <row r="397">
      <c r="A397" s="1" t="s">
        <v>1019</v>
      </c>
      <c r="B397" s="1" t="s">
        <v>84</v>
      </c>
      <c r="C397" s="1" t="s">
        <v>22</v>
      </c>
      <c r="D397" s="2">
        <v>25561.0</v>
      </c>
      <c r="E397" s="1">
        <v>139.0</v>
      </c>
      <c r="F397" s="1" t="s">
        <v>122</v>
      </c>
      <c r="G397" s="2">
        <v>41728.0</v>
      </c>
      <c r="H397" s="1" t="s">
        <v>24</v>
      </c>
      <c r="I397" s="2">
        <v>41728.0</v>
      </c>
      <c r="J397" s="1" t="s">
        <v>25</v>
      </c>
      <c r="K397" s="1" t="s">
        <v>26</v>
      </c>
      <c r="L397" s="1">
        <v>243.0</v>
      </c>
      <c r="M397" s="1" t="s">
        <v>1020</v>
      </c>
      <c r="N397" s="1">
        <v>33.0</v>
      </c>
      <c r="O397" s="1" t="s">
        <v>28</v>
      </c>
      <c r="P397" s="1">
        <v>2.00070092E8</v>
      </c>
      <c r="Q397" s="1" t="s">
        <v>50</v>
      </c>
      <c r="R397" s="1" t="s">
        <v>30</v>
      </c>
      <c r="S397">
        <f t="shared" si="1"/>
        <v>33243</v>
      </c>
      <c r="T397" t="str">
        <f t="array" ref="T397">iferror(index('Copie de Feuille tri Amandine'!B:C,MATCH(S397,'Copie de Feuille tri Amandine'!B:B,0),2),"")</f>
        <v/>
      </c>
    </row>
    <row r="398">
      <c r="A398" s="1" t="s">
        <v>1021</v>
      </c>
      <c r="B398" s="1" t="s">
        <v>189</v>
      </c>
      <c r="C398" s="1" t="s">
        <v>22</v>
      </c>
      <c r="D398" s="2">
        <v>18547.0</v>
      </c>
      <c r="E398" s="1">
        <v>159.0</v>
      </c>
      <c r="F398" s="1" t="s">
        <v>130</v>
      </c>
      <c r="G398" s="2">
        <v>41721.0</v>
      </c>
      <c r="H398" s="1" t="s">
        <v>24</v>
      </c>
      <c r="I398" s="2">
        <v>41728.0</v>
      </c>
      <c r="J398" s="1" t="s">
        <v>25</v>
      </c>
      <c r="K398" s="1" t="s">
        <v>26</v>
      </c>
      <c r="L398" s="1">
        <v>15.0</v>
      </c>
      <c r="M398" s="1" t="s">
        <v>1022</v>
      </c>
      <c r="N398" s="1">
        <v>33.0</v>
      </c>
      <c r="O398" s="1" t="s">
        <v>28</v>
      </c>
      <c r="P398" s="1">
        <v>2.00070092E8</v>
      </c>
      <c r="Q398" s="1" t="s">
        <v>50</v>
      </c>
      <c r="R398" s="1" t="s">
        <v>30</v>
      </c>
      <c r="S398">
        <f t="shared" si="1"/>
        <v>33015</v>
      </c>
      <c r="T398" t="str">
        <f t="array" ref="T398">iferror(index('Copie de Feuille tri Amandine'!B:C,MATCH(S398,'Copie de Feuille tri Amandine'!B:B,0),2),"")</f>
        <v/>
      </c>
    </row>
    <row r="399">
      <c r="A399" s="1" t="s">
        <v>1023</v>
      </c>
      <c r="B399" s="1" t="s">
        <v>655</v>
      </c>
      <c r="C399" s="1" t="s">
        <v>22</v>
      </c>
      <c r="D399" s="2">
        <v>14254.0</v>
      </c>
      <c r="E399" s="1">
        <v>159.0</v>
      </c>
      <c r="F399" s="1" t="s">
        <v>130</v>
      </c>
      <c r="G399" s="2">
        <v>41721.0</v>
      </c>
      <c r="H399" s="1" t="s">
        <v>24</v>
      </c>
      <c r="I399" s="2">
        <v>41721.0</v>
      </c>
      <c r="J399" s="1" t="s">
        <v>25</v>
      </c>
      <c r="K399" s="1" t="s">
        <v>26</v>
      </c>
      <c r="L399" s="1">
        <v>269.0</v>
      </c>
      <c r="M399" s="1" t="s">
        <v>1024</v>
      </c>
      <c r="N399" s="1">
        <v>33.0</v>
      </c>
      <c r="O399" s="1" t="s">
        <v>28</v>
      </c>
      <c r="P399" s="1">
        <v>2.43301371E8</v>
      </c>
      <c r="Q399" s="1" t="s">
        <v>271</v>
      </c>
      <c r="R399" s="1" t="s">
        <v>30</v>
      </c>
      <c r="S399">
        <f t="shared" si="1"/>
        <v>33269</v>
      </c>
      <c r="T399">
        <f t="array" ref="T399">iferror(index('Copie de Feuille tri Amandine'!B:C,MATCH(S399,'Copie de Feuille tri Amandine'!B:B,0),2),"")</f>
        <v>397</v>
      </c>
    </row>
    <row r="400">
      <c r="A400" s="1" t="s">
        <v>1025</v>
      </c>
      <c r="B400" s="1" t="s">
        <v>175</v>
      </c>
      <c r="C400" s="1" t="s">
        <v>22</v>
      </c>
      <c r="D400" s="2">
        <v>17913.0</v>
      </c>
      <c r="E400" s="1">
        <v>161.0</v>
      </c>
      <c r="F400" s="1" t="s">
        <v>72</v>
      </c>
      <c r="G400" s="2">
        <v>41721.0</v>
      </c>
      <c r="H400" s="1" t="s">
        <v>24</v>
      </c>
      <c r="I400" s="2">
        <v>41728.0</v>
      </c>
      <c r="J400" s="1" t="s">
        <v>25</v>
      </c>
      <c r="K400" s="1" t="s">
        <v>26</v>
      </c>
      <c r="L400" s="1">
        <v>279.0</v>
      </c>
      <c r="M400" s="1" t="s">
        <v>1026</v>
      </c>
      <c r="N400" s="1">
        <v>33.0</v>
      </c>
      <c r="O400" s="1" t="s">
        <v>28</v>
      </c>
      <c r="P400" s="1">
        <v>2.00043974E8</v>
      </c>
      <c r="Q400" s="1" t="s">
        <v>78</v>
      </c>
      <c r="R400" s="1" t="s">
        <v>30</v>
      </c>
      <c r="S400">
        <f t="shared" si="1"/>
        <v>33279</v>
      </c>
      <c r="T400">
        <f t="array" ref="T400">iferror(index('Copie de Feuille tri Amandine'!B:C,MATCH(S400,'Copie de Feuille tri Amandine'!B:B,0),2),"")</f>
        <v>761</v>
      </c>
    </row>
    <row r="401">
      <c r="A401" s="1" t="s">
        <v>1027</v>
      </c>
      <c r="B401" s="1" t="s">
        <v>1028</v>
      </c>
      <c r="C401" s="1" t="s">
        <v>22</v>
      </c>
      <c r="D401" s="2">
        <v>25202.0</v>
      </c>
      <c r="E401" s="1">
        <v>148.0</v>
      </c>
      <c r="F401" s="1" t="s">
        <v>105</v>
      </c>
      <c r="G401" s="2">
        <v>41721.0</v>
      </c>
      <c r="H401" s="1" t="s">
        <v>24</v>
      </c>
      <c r="I401" s="2">
        <v>41727.0</v>
      </c>
      <c r="J401" s="1" t="s">
        <v>25</v>
      </c>
      <c r="K401" s="1" t="s">
        <v>26</v>
      </c>
      <c r="L401" s="1">
        <v>293.0</v>
      </c>
      <c r="M401" s="1" t="s">
        <v>1029</v>
      </c>
      <c r="N401" s="1">
        <v>33.0</v>
      </c>
      <c r="O401" s="1" t="s">
        <v>28</v>
      </c>
      <c r="P401" s="1">
        <v>2.43301249E8</v>
      </c>
      <c r="Q401" s="1" t="s">
        <v>86</v>
      </c>
      <c r="R401" s="1" t="s">
        <v>30</v>
      </c>
      <c r="S401">
        <f t="shared" si="1"/>
        <v>33293</v>
      </c>
      <c r="T401">
        <f t="array" ref="T401">iferror(index('Copie de Feuille tri Amandine'!B:C,MATCH(S401,'Copie de Feuille tri Amandine'!B:B,0),2),"")</f>
        <v>3212</v>
      </c>
    </row>
    <row r="402">
      <c r="A402" s="1" t="s">
        <v>1030</v>
      </c>
      <c r="B402" s="1" t="s">
        <v>758</v>
      </c>
      <c r="C402" s="1" t="s">
        <v>22</v>
      </c>
      <c r="D402" s="2">
        <v>24118.0</v>
      </c>
      <c r="E402" s="1">
        <v>120.0</v>
      </c>
      <c r="F402" s="1" t="s">
        <v>241</v>
      </c>
      <c r="G402" s="2">
        <v>41721.0</v>
      </c>
      <c r="H402" s="1" t="s">
        <v>24</v>
      </c>
      <c r="I402" s="2">
        <v>41721.0</v>
      </c>
      <c r="J402" s="1" t="s">
        <v>25</v>
      </c>
      <c r="K402" s="1" t="s">
        <v>26</v>
      </c>
      <c r="L402" s="1">
        <v>304.0</v>
      </c>
      <c r="M402" s="1" t="s">
        <v>1031</v>
      </c>
      <c r="N402" s="1">
        <v>33.0</v>
      </c>
      <c r="O402" s="1" t="s">
        <v>28</v>
      </c>
      <c r="P402" s="1">
        <v>2.00069599E8</v>
      </c>
      <c r="Q402" s="1" t="s">
        <v>60</v>
      </c>
      <c r="R402" s="1" t="s">
        <v>30</v>
      </c>
      <c r="S402">
        <f t="shared" si="1"/>
        <v>33304</v>
      </c>
      <c r="T402">
        <f t="array" ref="T402">iferror(index('Copie de Feuille tri Amandine'!B:C,MATCH(S402,'Copie de Feuille tri Amandine'!B:B,0),2),"")</f>
        <v>150</v>
      </c>
    </row>
    <row r="403">
      <c r="A403" s="1" t="s">
        <v>1032</v>
      </c>
      <c r="B403" s="1" t="s">
        <v>189</v>
      </c>
      <c r="C403" s="1" t="s">
        <v>22</v>
      </c>
      <c r="D403" s="2">
        <v>19449.0</v>
      </c>
      <c r="E403" s="1">
        <v>148.0</v>
      </c>
      <c r="F403" s="1" t="s">
        <v>105</v>
      </c>
      <c r="G403" s="2">
        <v>41721.0</v>
      </c>
      <c r="H403" s="1" t="s">
        <v>24</v>
      </c>
      <c r="I403" s="2">
        <v>41721.0</v>
      </c>
      <c r="J403" s="1" t="s">
        <v>25</v>
      </c>
      <c r="K403" s="1" t="s">
        <v>26</v>
      </c>
      <c r="L403" s="1">
        <v>327.0</v>
      </c>
      <c r="M403" s="1" t="s">
        <v>1033</v>
      </c>
      <c r="N403" s="1">
        <v>33.0</v>
      </c>
      <c r="O403" s="1" t="s">
        <v>28</v>
      </c>
      <c r="P403" s="1">
        <v>2.00069581E8</v>
      </c>
      <c r="Q403" s="1" t="s">
        <v>82</v>
      </c>
      <c r="R403" s="1" t="s">
        <v>30</v>
      </c>
      <c r="S403">
        <f t="shared" si="1"/>
        <v>33327</v>
      </c>
      <c r="T403">
        <f t="array" ref="T403">iferror(index('Copie de Feuille tri Amandine'!B:C,MATCH(S403,'Copie de Feuille tri Amandine'!B:B,0),2),"")</f>
        <v>3215</v>
      </c>
    </row>
    <row r="404">
      <c r="A404" s="1" t="s">
        <v>1034</v>
      </c>
      <c r="B404" s="1" t="s">
        <v>84</v>
      </c>
      <c r="C404" s="1" t="s">
        <v>22</v>
      </c>
      <c r="D404" s="2">
        <v>22814.0</v>
      </c>
      <c r="E404" s="1">
        <v>120.0</v>
      </c>
      <c r="F404" s="1" t="s">
        <v>241</v>
      </c>
      <c r="G404" s="2">
        <v>43466.0</v>
      </c>
      <c r="H404" s="1" t="s">
        <v>24</v>
      </c>
      <c r="I404" s="2">
        <v>43647.0</v>
      </c>
      <c r="J404" s="1" t="s">
        <v>25</v>
      </c>
      <c r="K404" s="1" t="s">
        <v>26</v>
      </c>
      <c r="L404" s="1">
        <v>380.0</v>
      </c>
      <c r="M404" s="1" t="s">
        <v>1035</v>
      </c>
      <c r="N404" s="1">
        <v>33.0</v>
      </c>
      <c r="O404" s="1" t="s">
        <v>28</v>
      </c>
      <c r="P404" s="1">
        <v>2.43300811E8</v>
      </c>
      <c r="Q404" s="1" t="s">
        <v>201</v>
      </c>
      <c r="R404" s="1" t="s">
        <v>30</v>
      </c>
      <c r="S404">
        <f t="shared" si="1"/>
        <v>33380</v>
      </c>
      <c r="T404">
        <f t="array" ref="T404">iferror(index('Copie de Feuille tri Amandine'!B:C,MATCH(S404,'Copie de Feuille tri Amandine'!B:B,0),2),"")</f>
        <v>1744</v>
      </c>
    </row>
    <row r="405">
      <c r="A405" s="1" t="s">
        <v>1036</v>
      </c>
      <c r="B405" s="1" t="s">
        <v>224</v>
      </c>
      <c r="C405" s="1" t="s">
        <v>53</v>
      </c>
      <c r="D405" s="2">
        <v>21969.0</v>
      </c>
      <c r="E405" s="1">
        <v>157.0</v>
      </c>
      <c r="F405" s="1" t="s">
        <v>97</v>
      </c>
      <c r="G405" s="2">
        <v>41721.0</v>
      </c>
      <c r="H405" s="1" t="s">
        <v>24</v>
      </c>
      <c r="I405" s="2">
        <v>41728.0</v>
      </c>
      <c r="J405" s="1" t="s">
        <v>25</v>
      </c>
      <c r="K405" s="1" t="s">
        <v>26</v>
      </c>
      <c r="L405" s="1">
        <v>459.0</v>
      </c>
      <c r="M405" s="1" t="s">
        <v>1037</v>
      </c>
      <c r="N405" s="1">
        <v>33.0</v>
      </c>
      <c r="O405" s="1" t="s">
        <v>28</v>
      </c>
      <c r="P405" s="1">
        <v>2.00035533E8</v>
      </c>
      <c r="Q405" s="1" t="s">
        <v>146</v>
      </c>
      <c r="R405" s="1" t="s">
        <v>30</v>
      </c>
      <c r="S405">
        <f t="shared" si="1"/>
        <v>33459</v>
      </c>
      <c r="T405">
        <f t="array" ref="T405">iferror(index('Copie de Feuille tri Amandine'!B:C,MATCH(S405,'Copie de Feuille tri Amandine'!B:B,0),2),"")</f>
        <v>196</v>
      </c>
    </row>
    <row r="406">
      <c r="A406" s="1" t="s">
        <v>1038</v>
      </c>
      <c r="B406" s="1" t="s">
        <v>182</v>
      </c>
      <c r="C406" s="1" t="s">
        <v>22</v>
      </c>
      <c r="D406" s="2">
        <v>18388.0</v>
      </c>
      <c r="E406" s="1">
        <v>156.0</v>
      </c>
      <c r="F406" s="1" t="s">
        <v>293</v>
      </c>
      <c r="G406" s="2">
        <v>41721.0</v>
      </c>
      <c r="H406" s="1" t="s">
        <v>24</v>
      </c>
      <c r="I406" s="2">
        <v>41721.0</v>
      </c>
      <c r="J406" s="1" t="s">
        <v>25</v>
      </c>
      <c r="K406" s="1" t="s">
        <v>26</v>
      </c>
      <c r="L406" s="1">
        <v>477.0</v>
      </c>
      <c r="M406" s="1" t="s">
        <v>1039</v>
      </c>
      <c r="N406" s="1">
        <v>33.0</v>
      </c>
      <c r="O406" s="1" t="s">
        <v>28</v>
      </c>
      <c r="P406" s="1">
        <v>2.43300811E8</v>
      </c>
      <c r="Q406" s="1" t="s">
        <v>201</v>
      </c>
      <c r="R406" s="1" t="s">
        <v>30</v>
      </c>
      <c r="S406">
        <f t="shared" si="1"/>
        <v>33477</v>
      </c>
      <c r="T406">
        <f t="array" ref="T406">iferror(index('Copie de Feuille tri Amandine'!B:C,MATCH(S406,'Copie de Feuille tri Amandine'!B:B,0),2),"")</f>
        <v>774</v>
      </c>
    </row>
    <row r="407">
      <c r="A407" s="1" t="s">
        <v>1040</v>
      </c>
      <c r="B407" s="1" t="s">
        <v>1041</v>
      </c>
      <c r="C407" s="1" t="s">
        <v>53</v>
      </c>
      <c r="D407" s="2">
        <v>26555.0</v>
      </c>
      <c r="E407" s="1">
        <v>120.0</v>
      </c>
      <c r="F407" s="1" t="s">
        <v>241</v>
      </c>
      <c r="G407" s="2">
        <v>42007.0</v>
      </c>
      <c r="H407" s="1" t="s">
        <v>24</v>
      </c>
      <c r="I407" s="2">
        <v>42341.0</v>
      </c>
      <c r="J407" s="1" t="s">
        <v>25</v>
      </c>
      <c r="K407" s="1" t="s">
        <v>26</v>
      </c>
      <c r="L407" s="1">
        <v>479.0</v>
      </c>
      <c r="M407" s="1" t="s">
        <v>1042</v>
      </c>
      <c r="N407" s="1">
        <v>33.0</v>
      </c>
      <c r="O407" s="1" t="s">
        <v>28</v>
      </c>
      <c r="P407" s="1">
        <v>2.00044394E8</v>
      </c>
      <c r="Q407" s="1" t="s">
        <v>35</v>
      </c>
      <c r="R407" s="1" t="s">
        <v>30</v>
      </c>
      <c r="S407">
        <f t="shared" si="1"/>
        <v>33479</v>
      </c>
      <c r="T407">
        <f t="array" ref="T407">iferror(index('Copie de Feuille tri Amandine'!B:C,MATCH(S407,'Copie de Feuille tri Amandine'!B:B,0),2),"")</f>
        <v>254</v>
      </c>
    </row>
    <row r="408">
      <c r="A408" s="1" t="s">
        <v>1043</v>
      </c>
      <c r="B408" s="1" t="s">
        <v>404</v>
      </c>
      <c r="C408" s="1" t="s">
        <v>22</v>
      </c>
      <c r="D408" s="2">
        <v>19376.0</v>
      </c>
      <c r="E408" s="1">
        <v>118.0</v>
      </c>
      <c r="F408" s="1" t="s">
        <v>101</v>
      </c>
      <c r="G408" s="2">
        <v>41721.0</v>
      </c>
      <c r="H408" s="1" t="s">
        <v>24</v>
      </c>
      <c r="I408" s="2">
        <v>41721.0</v>
      </c>
      <c r="J408" s="1" t="s">
        <v>25</v>
      </c>
      <c r="K408" s="1" t="s">
        <v>26</v>
      </c>
      <c r="L408" s="1">
        <v>496.0</v>
      </c>
      <c r="M408" s="1" t="s">
        <v>1044</v>
      </c>
      <c r="N408" s="1">
        <v>33.0</v>
      </c>
      <c r="O408" s="1" t="s">
        <v>28</v>
      </c>
      <c r="P408" s="1">
        <v>2.43301355E8</v>
      </c>
      <c r="Q408" s="1" t="s">
        <v>132</v>
      </c>
      <c r="R408" s="1" t="s">
        <v>30</v>
      </c>
      <c r="S408">
        <f t="shared" si="1"/>
        <v>33496</v>
      </c>
      <c r="T408">
        <f t="array" ref="T408">iferror(index('Copie de Feuille tri Amandine'!B:C,MATCH(S408,'Copie de Feuille tri Amandine'!B:B,0),2),"")</f>
        <v>2490</v>
      </c>
    </row>
    <row r="409">
      <c r="A409" s="1" t="s">
        <v>1045</v>
      </c>
      <c r="B409" s="1" t="s">
        <v>273</v>
      </c>
      <c r="C409" s="1" t="s">
        <v>22</v>
      </c>
      <c r="D409" s="2">
        <v>20777.0</v>
      </c>
      <c r="E409" s="1">
        <v>133.0</v>
      </c>
      <c r="F409" s="1" t="s">
        <v>1046</v>
      </c>
      <c r="G409" s="2">
        <v>41721.0</v>
      </c>
      <c r="H409" s="1" t="s">
        <v>24</v>
      </c>
      <c r="I409" s="2">
        <v>41721.0</v>
      </c>
      <c r="J409" s="1" t="s">
        <v>25</v>
      </c>
      <c r="K409" s="1" t="s">
        <v>26</v>
      </c>
      <c r="L409" s="1">
        <v>527.0</v>
      </c>
      <c r="M409" s="1" t="s">
        <v>1047</v>
      </c>
      <c r="N409" s="1">
        <v>33.0</v>
      </c>
      <c r="O409" s="1" t="s">
        <v>28</v>
      </c>
      <c r="P409" s="1">
        <v>2.43300563E8</v>
      </c>
      <c r="Q409" s="1" t="s">
        <v>320</v>
      </c>
      <c r="R409" s="1" t="s">
        <v>30</v>
      </c>
      <c r="S409">
        <f t="shared" si="1"/>
        <v>33527</v>
      </c>
      <c r="T409" t="str">
        <f t="array" ref="T409">iferror(index('Copie de Feuille tri Amandine'!B:C,MATCH(S409,'Copie de Feuille tri Amandine'!B:B,0),2),"")</f>
        <v/>
      </c>
    </row>
    <row r="410">
      <c r="A410" s="1" t="s">
        <v>1048</v>
      </c>
      <c r="B410" s="1" t="s">
        <v>1049</v>
      </c>
      <c r="C410" s="1" t="s">
        <v>53</v>
      </c>
      <c r="D410" s="2">
        <v>22949.0</v>
      </c>
      <c r="E410" s="1">
        <v>101.0</v>
      </c>
      <c r="F410" s="1" t="s">
        <v>33</v>
      </c>
      <c r="G410" s="2">
        <v>41721.0</v>
      </c>
      <c r="H410" s="1" t="s">
        <v>24</v>
      </c>
      <c r="I410" s="2">
        <v>41721.0</v>
      </c>
      <c r="J410" s="1" t="s">
        <v>25</v>
      </c>
      <c r="K410" s="1" t="s">
        <v>26</v>
      </c>
      <c r="L410" s="1">
        <v>287.0</v>
      </c>
      <c r="M410" s="1" t="s">
        <v>1050</v>
      </c>
      <c r="N410" s="1">
        <v>33.0</v>
      </c>
      <c r="O410" s="1" t="s">
        <v>28</v>
      </c>
      <c r="P410" s="1">
        <v>2.00044394E8</v>
      </c>
      <c r="Q410" s="1" t="s">
        <v>35</v>
      </c>
      <c r="R410" s="1" t="s">
        <v>30</v>
      </c>
      <c r="S410">
        <f t="shared" si="1"/>
        <v>33287</v>
      </c>
      <c r="T410">
        <f t="array" ref="T410">iferror(index('Copie de Feuille tri Amandine'!B:C,MATCH(S410,'Copie de Feuille tri Amandine'!B:B,0),2),"")</f>
        <v>595</v>
      </c>
    </row>
    <row r="411">
      <c r="A411" s="1" t="s">
        <v>103</v>
      </c>
      <c r="B411" s="1" t="s">
        <v>503</v>
      </c>
      <c r="C411" s="1" t="s">
        <v>53</v>
      </c>
      <c r="D411" s="2">
        <v>19787.0</v>
      </c>
      <c r="E411" s="1">
        <v>163.0</v>
      </c>
      <c r="F411" s="1" t="s">
        <v>58</v>
      </c>
      <c r="G411" s="2">
        <v>41721.0</v>
      </c>
      <c r="H411" s="1" t="s">
        <v>24</v>
      </c>
      <c r="I411" s="2">
        <v>43084.0</v>
      </c>
      <c r="J411" s="1" t="s">
        <v>25</v>
      </c>
      <c r="K411" s="1" t="s">
        <v>26</v>
      </c>
      <c r="L411" s="1">
        <v>290.0</v>
      </c>
      <c r="M411" s="1" t="s">
        <v>1051</v>
      </c>
      <c r="N411" s="1">
        <v>33.0</v>
      </c>
      <c r="O411" s="1" t="s">
        <v>28</v>
      </c>
      <c r="P411" s="1">
        <v>2.00035533E8</v>
      </c>
      <c r="Q411" s="1" t="s">
        <v>146</v>
      </c>
      <c r="R411" s="1" t="s">
        <v>30</v>
      </c>
      <c r="S411">
        <f t="shared" si="1"/>
        <v>33290</v>
      </c>
      <c r="T411">
        <f t="array" ref="T411">iferror(index('Copie de Feuille tri Amandine'!B:C,MATCH(S411,'Copie de Feuille tri Amandine'!B:B,0),2),"")</f>
        <v>1524</v>
      </c>
    </row>
    <row r="412">
      <c r="A412" s="1" t="s">
        <v>1052</v>
      </c>
      <c r="B412" s="1" t="s">
        <v>1053</v>
      </c>
      <c r="C412" s="1" t="s">
        <v>22</v>
      </c>
      <c r="D412" s="2">
        <v>28268.0</v>
      </c>
      <c r="E412" s="1">
        <v>152.0</v>
      </c>
      <c r="F412" s="1" t="s">
        <v>176</v>
      </c>
      <c r="G412" s="2">
        <v>41721.0</v>
      </c>
      <c r="H412" s="1" t="s">
        <v>24</v>
      </c>
      <c r="I412" s="2">
        <v>41728.0</v>
      </c>
      <c r="J412" s="1" t="s">
        <v>25</v>
      </c>
      <c r="K412" s="1" t="s">
        <v>26</v>
      </c>
      <c r="L412" s="1">
        <v>310.0</v>
      </c>
      <c r="M412" s="1" t="s">
        <v>1054</v>
      </c>
      <c r="N412" s="1">
        <v>33.0</v>
      </c>
      <c r="O412" s="1" t="s">
        <v>28</v>
      </c>
      <c r="P412" s="1">
        <v>2.00043974E8</v>
      </c>
      <c r="Q412" s="1" t="s">
        <v>78</v>
      </c>
      <c r="R412" s="1" t="s">
        <v>30</v>
      </c>
      <c r="S412">
        <f t="shared" si="1"/>
        <v>33310</v>
      </c>
      <c r="T412">
        <f t="array" ref="T412">iferror(index('Copie de Feuille tri Amandine'!B:C,MATCH(S412,'Copie de Feuille tri Amandine'!B:B,0),2),"")</f>
        <v>182</v>
      </c>
    </row>
    <row r="413">
      <c r="A413" s="1" t="s">
        <v>1055</v>
      </c>
      <c r="B413" s="1" t="s">
        <v>365</v>
      </c>
      <c r="C413" s="1" t="s">
        <v>22</v>
      </c>
      <c r="D413" s="2">
        <v>17749.0</v>
      </c>
      <c r="E413" s="1">
        <v>105.0</v>
      </c>
      <c r="F413" s="1" t="s">
        <v>23</v>
      </c>
      <c r="G413" s="2">
        <v>41721.0</v>
      </c>
      <c r="H413" s="1" t="s">
        <v>24</v>
      </c>
      <c r="I413" s="2">
        <v>41721.0</v>
      </c>
      <c r="J413" s="1" t="s">
        <v>25</v>
      </c>
      <c r="K413" s="1" t="s">
        <v>26</v>
      </c>
      <c r="L413" s="1">
        <v>408.0</v>
      </c>
      <c r="M413" s="1" t="s">
        <v>1056</v>
      </c>
      <c r="N413" s="1">
        <v>33.0</v>
      </c>
      <c r="O413" s="1" t="s">
        <v>28</v>
      </c>
      <c r="P413" s="1">
        <v>2.43301215E8</v>
      </c>
      <c r="Q413" s="1" t="s">
        <v>136</v>
      </c>
      <c r="R413" s="1" t="s">
        <v>30</v>
      </c>
      <c r="S413">
        <f t="shared" si="1"/>
        <v>33408</v>
      </c>
      <c r="T413">
        <f t="array" ref="T413">iferror(index('Copie de Feuille tri Amandine'!B:C,MATCH(S413,'Copie de Feuille tri Amandine'!B:B,0),2),"")</f>
        <v>391</v>
      </c>
    </row>
    <row r="414">
      <c r="A414" s="1" t="s">
        <v>1057</v>
      </c>
      <c r="B414" s="1" t="s">
        <v>503</v>
      </c>
      <c r="C414" s="1" t="s">
        <v>53</v>
      </c>
      <c r="D414" s="2">
        <v>19676.0</v>
      </c>
      <c r="E414" s="1">
        <v>163.0</v>
      </c>
      <c r="F414" s="1" t="s">
        <v>58</v>
      </c>
      <c r="G414" s="2">
        <v>41721.0</v>
      </c>
      <c r="H414" s="1" t="s">
        <v>24</v>
      </c>
      <c r="I414" s="2">
        <v>41721.0</v>
      </c>
      <c r="J414" s="1" t="s">
        <v>25</v>
      </c>
      <c r="K414" s="1" t="s">
        <v>26</v>
      </c>
      <c r="L414" s="1">
        <v>413.0</v>
      </c>
      <c r="M414" s="1" t="s">
        <v>1058</v>
      </c>
      <c r="N414" s="1">
        <v>33.0</v>
      </c>
      <c r="O414" s="1" t="s">
        <v>28</v>
      </c>
      <c r="P414" s="1">
        <v>2.00070092E8</v>
      </c>
      <c r="Q414" s="1" t="s">
        <v>50</v>
      </c>
      <c r="R414" s="1" t="s">
        <v>30</v>
      </c>
      <c r="S414">
        <f t="shared" si="1"/>
        <v>33413</v>
      </c>
      <c r="T414">
        <f t="array" ref="T414">iferror(index('Copie de Feuille tri Amandine'!B:C,MATCH(S414,'Copie de Feuille tri Amandine'!B:B,0),2),"")</f>
        <v>2156</v>
      </c>
    </row>
    <row r="415">
      <c r="A415" s="1" t="s">
        <v>1059</v>
      </c>
      <c r="B415" s="1" t="s">
        <v>175</v>
      </c>
      <c r="C415" s="1" t="s">
        <v>22</v>
      </c>
      <c r="D415" s="2">
        <v>17636.0</v>
      </c>
      <c r="E415" s="1">
        <v>165.0</v>
      </c>
      <c r="F415" s="1" t="s">
        <v>208</v>
      </c>
      <c r="G415" s="2">
        <v>43667.0</v>
      </c>
      <c r="H415" s="1" t="s">
        <v>24</v>
      </c>
      <c r="I415" s="2">
        <v>43671.0</v>
      </c>
      <c r="J415" s="1" t="s">
        <v>25</v>
      </c>
      <c r="K415" s="1" t="s">
        <v>26</v>
      </c>
      <c r="L415" s="1">
        <v>450.0</v>
      </c>
      <c r="M415" s="1" t="s">
        <v>1060</v>
      </c>
      <c r="N415" s="1">
        <v>33.0</v>
      </c>
      <c r="O415" s="1" t="s">
        <v>28</v>
      </c>
      <c r="P415" s="1">
        <v>2.00043982E8</v>
      </c>
      <c r="Q415" s="1" t="s">
        <v>124</v>
      </c>
      <c r="R415" s="1" t="s">
        <v>30</v>
      </c>
      <c r="S415">
        <f t="shared" si="1"/>
        <v>33450</v>
      </c>
      <c r="T415">
        <f t="array" ref="T415">iferror(index('Copie de Feuille tri Amandine'!B:C,MATCH(S415,'Copie de Feuille tri Amandine'!B:B,0),2),"")</f>
        <v>237</v>
      </c>
    </row>
    <row r="416">
      <c r="A416" s="1" t="s">
        <v>1061</v>
      </c>
      <c r="B416" s="1" t="s">
        <v>1062</v>
      </c>
      <c r="C416" s="1" t="s">
        <v>53</v>
      </c>
      <c r="D416" s="2">
        <v>22956.0</v>
      </c>
      <c r="E416" s="1">
        <v>157.0</v>
      </c>
      <c r="F416" s="1" t="s">
        <v>97</v>
      </c>
      <c r="G416" s="2">
        <v>41721.0</v>
      </c>
      <c r="H416" s="1" t="s">
        <v>24</v>
      </c>
      <c r="I416" s="2">
        <v>41721.0</v>
      </c>
      <c r="J416" s="1" t="s">
        <v>25</v>
      </c>
      <c r="K416" s="1" t="s">
        <v>26</v>
      </c>
      <c r="L416" s="1">
        <v>460.0</v>
      </c>
      <c r="M416" s="1" t="s">
        <v>1063</v>
      </c>
      <c r="N416" s="1">
        <v>33.0</v>
      </c>
      <c r="O416" s="1" t="s">
        <v>28</v>
      </c>
      <c r="P416" s="1">
        <v>2.43301454E8</v>
      </c>
      <c r="Q416" s="1" t="s">
        <v>94</v>
      </c>
      <c r="R416" s="1" t="s">
        <v>30</v>
      </c>
      <c r="S416">
        <f t="shared" si="1"/>
        <v>33460</v>
      </c>
      <c r="T416">
        <f t="array" ref="T416">iferror(index('Copie de Feuille tri Amandine'!B:C,MATCH(S416,'Copie de Feuille tri Amandine'!B:B,0),2),"")</f>
        <v>622</v>
      </c>
    </row>
    <row r="417">
      <c r="A417" s="1" t="s">
        <v>1064</v>
      </c>
      <c r="B417" s="1" t="s">
        <v>1065</v>
      </c>
      <c r="C417" s="1" t="s">
        <v>22</v>
      </c>
      <c r="D417" s="2">
        <v>14285.0</v>
      </c>
      <c r="E417" s="1">
        <v>160.0</v>
      </c>
      <c r="F417" s="1" t="s">
        <v>253</v>
      </c>
      <c r="G417" s="2">
        <v>41721.0</v>
      </c>
      <c r="H417" s="1" t="s">
        <v>24</v>
      </c>
      <c r="I417" s="2">
        <v>41721.0</v>
      </c>
      <c r="J417" s="1" t="s">
        <v>25</v>
      </c>
      <c r="K417" s="1" t="s">
        <v>26</v>
      </c>
      <c r="L417" s="1">
        <v>545.0</v>
      </c>
      <c r="M417" s="1" t="s">
        <v>1066</v>
      </c>
      <c r="N417" s="1">
        <v>33.0</v>
      </c>
      <c r="O417" s="1" t="s">
        <v>28</v>
      </c>
      <c r="P417" s="1">
        <v>2.00069995E8</v>
      </c>
      <c r="Q417" s="1" t="s">
        <v>65</v>
      </c>
      <c r="R417" s="1" t="s">
        <v>30</v>
      </c>
      <c r="S417">
        <f t="shared" si="1"/>
        <v>33545</v>
      </c>
      <c r="T417">
        <f t="array" ref="T417">iferror(index('Copie de Feuille tri Amandine'!B:C,MATCH(S417,'Copie de Feuille tri Amandine'!B:B,0),2),"")</f>
        <v>1286</v>
      </c>
    </row>
    <row r="418">
      <c r="A418" s="1" t="s">
        <v>1067</v>
      </c>
      <c r="B418" s="1" t="s">
        <v>638</v>
      </c>
      <c r="C418" s="1" t="s">
        <v>22</v>
      </c>
      <c r="D418" s="2">
        <v>22825.0</v>
      </c>
      <c r="E418" s="1">
        <v>120.0</v>
      </c>
      <c r="F418" s="1" t="s">
        <v>241</v>
      </c>
      <c r="G418" s="2">
        <v>41728.0</v>
      </c>
      <c r="H418" s="1" t="s">
        <v>24</v>
      </c>
      <c r="I418" s="2">
        <v>41728.0</v>
      </c>
      <c r="J418" s="1" t="s">
        <v>25</v>
      </c>
      <c r="K418" s="1" t="s">
        <v>26</v>
      </c>
      <c r="L418" s="1">
        <v>104.0</v>
      </c>
      <c r="M418" s="1" t="s">
        <v>1068</v>
      </c>
      <c r="N418" s="1">
        <v>33.0</v>
      </c>
      <c r="O418" s="1" t="s">
        <v>28</v>
      </c>
      <c r="P418" s="1">
        <v>2.43301389E8</v>
      </c>
      <c r="Q418" s="1" t="s">
        <v>220</v>
      </c>
      <c r="R418" s="1" t="s">
        <v>30</v>
      </c>
      <c r="S418">
        <f t="shared" si="1"/>
        <v>33104</v>
      </c>
      <c r="T418" t="str">
        <f t="array" ref="T418">iferror(index('Copie de Feuille tri Amandine'!B:C,MATCH(S418,'Copie de Feuille tri Amandine'!B:B,0),2),"")</f>
        <v/>
      </c>
    </row>
    <row r="419">
      <c r="A419" s="1" t="s">
        <v>1069</v>
      </c>
      <c r="B419" s="1" t="s">
        <v>1070</v>
      </c>
      <c r="C419" s="1" t="s">
        <v>53</v>
      </c>
      <c r="D419" s="2">
        <v>20217.0</v>
      </c>
      <c r="E419" s="1">
        <v>139.0</v>
      </c>
      <c r="F419" s="1" t="s">
        <v>122</v>
      </c>
      <c r="G419" s="2">
        <v>41721.0</v>
      </c>
      <c r="H419" s="1" t="s">
        <v>24</v>
      </c>
      <c r="I419" s="2">
        <v>41721.0</v>
      </c>
      <c r="J419" s="1" t="s">
        <v>25</v>
      </c>
      <c r="K419" s="1" t="s">
        <v>26</v>
      </c>
      <c r="L419" s="1">
        <v>305.0</v>
      </c>
      <c r="M419" s="1" t="s">
        <v>1071</v>
      </c>
      <c r="N419" s="1">
        <v>33.0</v>
      </c>
      <c r="O419" s="1" t="s">
        <v>28</v>
      </c>
      <c r="P419" s="1">
        <v>2.00043982E8</v>
      </c>
      <c r="Q419" s="1" t="s">
        <v>124</v>
      </c>
      <c r="R419" s="1" t="s">
        <v>30</v>
      </c>
      <c r="S419">
        <f t="shared" si="1"/>
        <v>33305</v>
      </c>
      <c r="T419" t="str">
        <f t="array" ref="T419">iferror(index('Copie de Feuille tri Amandine'!B:C,MATCH(S419,'Copie de Feuille tri Amandine'!B:B,0),2),"")</f>
        <v/>
      </c>
    </row>
    <row r="420">
      <c r="A420" s="1" t="s">
        <v>1072</v>
      </c>
      <c r="B420" s="1" t="s">
        <v>478</v>
      </c>
      <c r="C420" s="1" t="s">
        <v>22</v>
      </c>
      <c r="D420" s="2">
        <v>24737.0</v>
      </c>
      <c r="E420" s="1">
        <v>148.0</v>
      </c>
      <c r="F420" s="1" t="s">
        <v>105</v>
      </c>
      <c r="G420" s="2">
        <v>41721.0</v>
      </c>
      <c r="H420" s="1" t="s">
        <v>24</v>
      </c>
      <c r="I420" s="2">
        <v>41721.0</v>
      </c>
      <c r="J420" s="1" t="s">
        <v>25</v>
      </c>
      <c r="K420" s="1" t="s">
        <v>26</v>
      </c>
      <c r="L420" s="1">
        <v>345.0</v>
      </c>
      <c r="M420" s="1" t="s">
        <v>1073</v>
      </c>
      <c r="N420" s="1">
        <v>33.0</v>
      </c>
      <c r="O420" s="1" t="s">
        <v>28</v>
      </c>
      <c r="P420" s="1">
        <v>2.00069599E8</v>
      </c>
      <c r="Q420" s="1" t="s">
        <v>60</v>
      </c>
      <c r="R420" s="1" t="s">
        <v>30</v>
      </c>
      <c r="S420">
        <f t="shared" si="1"/>
        <v>33345</v>
      </c>
      <c r="T420" t="str">
        <f t="array" ref="T420">iferror(index('Copie de Feuille tri Amandine'!B:C,MATCH(S420,'Copie de Feuille tri Amandine'!B:B,0),2),"")</f>
        <v/>
      </c>
    </row>
    <row r="421">
      <c r="A421" s="1" t="s">
        <v>1074</v>
      </c>
      <c r="B421" s="1" t="s">
        <v>318</v>
      </c>
      <c r="C421" s="1" t="s">
        <v>53</v>
      </c>
      <c r="D421" s="2">
        <v>21361.0</v>
      </c>
      <c r="E421" s="1">
        <v>101.0</v>
      </c>
      <c r="F421" s="1" t="s">
        <v>33</v>
      </c>
      <c r="G421" s="2">
        <v>41721.0</v>
      </c>
      <c r="H421" s="1" t="s">
        <v>24</v>
      </c>
      <c r="I421" s="2">
        <v>41721.0</v>
      </c>
      <c r="J421" s="1" t="s">
        <v>25</v>
      </c>
      <c r="K421" s="1" t="s">
        <v>26</v>
      </c>
      <c r="L421" s="1">
        <v>354.0</v>
      </c>
      <c r="M421" s="1" t="s">
        <v>1075</v>
      </c>
      <c r="N421" s="1">
        <v>33.0</v>
      </c>
      <c r="O421" s="1" t="s">
        <v>28</v>
      </c>
      <c r="P421" s="1">
        <v>2.43301371E8</v>
      </c>
      <c r="Q421" s="1" t="s">
        <v>271</v>
      </c>
      <c r="R421" s="1" t="s">
        <v>30</v>
      </c>
      <c r="S421">
        <f t="shared" si="1"/>
        <v>33354</v>
      </c>
      <c r="T421">
        <f t="array" ref="T421">iferror(index('Copie de Feuille tri Amandine'!B:C,MATCH(S421,'Copie de Feuille tri Amandine'!B:B,0),2),"")</f>
        <v>181</v>
      </c>
    </row>
    <row r="422">
      <c r="A422" s="1" t="s">
        <v>1076</v>
      </c>
      <c r="B422" s="1" t="s">
        <v>80</v>
      </c>
      <c r="C422" s="1" t="s">
        <v>22</v>
      </c>
      <c r="D422" s="2">
        <v>19634.0</v>
      </c>
      <c r="E422" s="1">
        <v>147.0</v>
      </c>
      <c r="F422" s="1" t="s">
        <v>38</v>
      </c>
      <c r="G422" s="2">
        <v>41721.0</v>
      </c>
      <c r="H422" s="1" t="s">
        <v>24</v>
      </c>
      <c r="I422" s="2">
        <v>41721.0</v>
      </c>
      <c r="J422" s="1" t="s">
        <v>25</v>
      </c>
      <c r="K422" s="1" t="s">
        <v>26</v>
      </c>
      <c r="L422" s="1">
        <v>356.0</v>
      </c>
      <c r="M422" s="1" t="s">
        <v>1077</v>
      </c>
      <c r="N422" s="1">
        <v>33.0</v>
      </c>
      <c r="O422" s="1" t="s">
        <v>28</v>
      </c>
      <c r="P422" s="1">
        <v>2.43301397E8</v>
      </c>
      <c r="Q422" s="1" t="s">
        <v>158</v>
      </c>
      <c r="R422" s="1" t="s">
        <v>30</v>
      </c>
      <c r="S422">
        <f t="shared" si="1"/>
        <v>33356</v>
      </c>
      <c r="T422" t="str">
        <f t="array" ref="T422">iferror(index('Copie de Feuille tri Amandine'!B:C,MATCH(S422,'Copie de Feuille tri Amandine'!B:B,0),2),"")</f>
        <v/>
      </c>
    </row>
    <row r="423">
      <c r="A423" s="1" t="s">
        <v>1078</v>
      </c>
      <c r="B423" s="1" t="s">
        <v>134</v>
      </c>
      <c r="C423" s="1" t="s">
        <v>22</v>
      </c>
      <c r="D423" s="2">
        <v>19056.0</v>
      </c>
      <c r="E423" s="1">
        <v>158.0</v>
      </c>
      <c r="F423" s="1" t="s">
        <v>274</v>
      </c>
      <c r="G423" s="2">
        <v>41721.0</v>
      </c>
      <c r="H423" s="1" t="s">
        <v>24</v>
      </c>
      <c r="I423" s="2">
        <v>41721.0</v>
      </c>
      <c r="J423" s="1" t="s">
        <v>25</v>
      </c>
      <c r="K423" s="1" t="s">
        <v>26</v>
      </c>
      <c r="L423" s="1">
        <v>378.0</v>
      </c>
      <c r="M423" s="1" t="s">
        <v>1079</v>
      </c>
      <c r="N423" s="1">
        <v>33.0</v>
      </c>
      <c r="O423" s="1" t="s">
        <v>28</v>
      </c>
      <c r="P423" s="1">
        <v>2.43301371E8</v>
      </c>
      <c r="Q423" s="1" t="s">
        <v>271</v>
      </c>
      <c r="R423" s="1" t="s">
        <v>30</v>
      </c>
      <c r="S423">
        <f t="shared" si="1"/>
        <v>33378</v>
      </c>
      <c r="T423">
        <f t="array" ref="T423">iferror(index('Copie de Feuille tri Amandine'!B:C,MATCH(S423,'Copie de Feuille tri Amandine'!B:B,0),2),"")</f>
        <v>1469</v>
      </c>
    </row>
    <row r="424">
      <c r="A424" s="1" t="s">
        <v>1080</v>
      </c>
      <c r="B424" s="1" t="s">
        <v>224</v>
      </c>
      <c r="C424" s="1" t="s">
        <v>53</v>
      </c>
      <c r="D424" s="2">
        <v>26125.0</v>
      </c>
      <c r="E424" s="1">
        <v>142.0</v>
      </c>
      <c r="F424" s="1" t="s">
        <v>141</v>
      </c>
      <c r="G424" s="2">
        <v>41721.0</v>
      </c>
      <c r="H424" s="1" t="s">
        <v>24</v>
      </c>
      <c r="I424" s="2">
        <v>41721.0</v>
      </c>
      <c r="J424" s="1" t="s">
        <v>25</v>
      </c>
      <c r="K424" s="1" t="s">
        <v>26</v>
      </c>
      <c r="L424" s="1">
        <v>56.0</v>
      </c>
      <c r="M424" s="1" t="s">
        <v>1081</v>
      </c>
      <c r="N424" s="1">
        <v>33.0</v>
      </c>
      <c r="O424" s="1" t="s">
        <v>28</v>
      </c>
      <c r="P424" s="1">
        <v>2.43300316E8</v>
      </c>
      <c r="Q424" s="1" t="s">
        <v>40</v>
      </c>
      <c r="R424" s="1" t="s">
        <v>30</v>
      </c>
      <c r="S424">
        <f t="shared" si="1"/>
        <v>33056</v>
      </c>
      <c r="T424" t="str">
        <f t="array" ref="T424">iferror(index('Copie de Feuille tri Amandine'!B:C,MATCH(S424,'Copie de Feuille tri Amandine'!B:B,0),2),"")</f>
        <v/>
      </c>
    </row>
    <row r="425">
      <c r="A425" s="1" t="s">
        <v>1082</v>
      </c>
      <c r="B425" s="1" t="s">
        <v>1070</v>
      </c>
      <c r="C425" s="1" t="s">
        <v>53</v>
      </c>
      <c r="D425" s="2">
        <v>20553.0</v>
      </c>
      <c r="E425" s="1">
        <v>157.0</v>
      </c>
      <c r="F425" s="1" t="s">
        <v>97</v>
      </c>
      <c r="G425" s="2">
        <v>41721.0</v>
      </c>
      <c r="H425" s="1" t="s">
        <v>24</v>
      </c>
      <c r="I425" s="2">
        <v>41721.0</v>
      </c>
      <c r="J425" s="1" t="s">
        <v>25</v>
      </c>
      <c r="K425" s="1" t="s">
        <v>26</v>
      </c>
      <c r="L425" s="1">
        <v>395.0</v>
      </c>
      <c r="M425" s="1" t="s">
        <v>1083</v>
      </c>
      <c r="N425" s="1">
        <v>33.0</v>
      </c>
      <c r="O425" s="1" t="s">
        <v>28</v>
      </c>
      <c r="P425" s="1">
        <v>2.00069995E8</v>
      </c>
      <c r="Q425" s="1" t="s">
        <v>65</v>
      </c>
      <c r="R425" s="1" t="s">
        <v>30</v>
      </c>
      <c r="S425">
        <f t="shared" si="1"/>
        <v>33395</v>
      </c>
      <c r="T425">
        <f t="array" ref="T425">iferror(index('Copie de Feuille tri Amandine'!B:C,MATCH(S425,'Copie de Feuille tri Amandine'!B:B,0),2),"")</f>
        <v>1615</v>
      </c>
    </row>
    <row r="426">
      <c r="A426" s="1" t="s">
        <v>1084</v>
      </c>
      <c r="B426" s="1" t="s">
        <v>286</v>
      </c>
      <c r="C426" s="1" t="s">
        <v>22</v>
      </c>
      <c r="D426" s="2">
        <v>18896.0</v>
      </c>
      <c r="E426" s="1">
        <v>124.0</v>
      </c>
      <c r="F426" s="1" t="s">
        <v>660</v>
      </c>
      <c r="G426" s="2">
        <v>41721.0</v>
      </c>
      <c r="H426" s="1" t="s">
        <v>24</v>
      </c>
      <c r="I426" s="2">
        <v>41721.0</v>
      </c>
      <c r="J426" s="1" t="s">
        <v>25</v>
      </c>
      <c r="K426" s="1" t="s">
        <v>26</v>
      </c>
      <c r="L426" s="1">
        <v>69.0</v>
      </c>
      <c r="M426" s="1" t="s">
        <v>1085</v>
      </c>
      <c r="N426" s="1">
        <v>33.0</v>
      </c>
      <c r="O426" s="1" t="s">
        <v>28</v>
      </c>
      <c r="P426" s="1">
        <v>2.43300316E8</v>
      </c>
      <c r="Q426" s="1" t="s">
        <v>40</v>
      </c>
      <c r="R426" s="1" t="s">
        <v>30</v>
      </c>
      <c r="S426">
        <f t="shared" si="1"/>
        <v>33069</v>
      </c>
      <c r="T426" t="str">
        <f t="array" ref="T426">iferror(index('Copie de Feuille tri Amandine'!B:C,MATCH(S426,'Copie de Feuille tri Amandine'!B:B,0),2),"")</f>
        <v/>
      </c>
    </row>
    <row r="427">
      <c r="A427" s="1" t="s">
        <v>1086</v>
      </c>
      <c r="B427" s="1" t="s">
        <v>175</v>
      </c>
      <c r="C427" s="1" t="s">
        <v>22</v>
      </c>
      <c r="D427" s="2">
        <v>19912.0</v>
      </c>
      <c r="E427" s="1">
        <v>164.0</v>
      </c>
      <c r="F427" s="1" t="s">
        <v>183</v>
      </c>
      <c r="G427" s="2">
        <v>41721.0</v>
      </c>
      <c r="H427" s="1" t="s">
        <v>24</v>
      </c>
      <c r="I427" s="2">
        <v>41721.0</v>
      </c>
      <c r="J427" s="1" t="s">
        <v>25</v>
      </c>
      <c r="K427" s="1" t="s">
        <v>26</v>
      </c>
      <c r="L427" s="1">
        <v>405.0</v>
      </c>
      <c r="M427" s="1" t="s">
        <v>1087</v>
      </c>
      <c r="N427" s="1">
        <v>33.0</v>
      </c>
      <c r="O427" s="1" t="s">
        <v>28</v>
      </c>
      <c r="P427" s="1">
        <v>2.00023794E8</v>
      </c>
      <c r="Q427" s="1" t="s">
        <v>243</v>
      </c>
      <c r="R427" s="1" t="s">
        <v>30</v>
      </c>
      <c r="S427">
        <f t="shared" si="1"/>
        <v>33405</v>
      </c>
      <c r="T427">
        <f t="array" ref="T427">iferror(index('Copie de Feuille tri Amandine'!B:C,MATCH(S427,'Copie de Feuille tri Amandine'!B:B,0),2),"")</f>
        <v>485</v>
      </c>
    </row>
    <row r="428">
      <c r="A428" s="1" t="s">
        <v>1088</v>
      </c>
      <c r="B428" s="1" t="s">
        <v>1028</v>
      </c>
      <c r="C428" s="1" t="s">
        <v>22</v>
      </c>
      <c r="D428" s="2">
        <v>26938.0</v>
      </c>
      <c r="E428" s="1">
        <v>154.0</v>
      </c>
      <c r="F428" s="1" t="s">
        <v>1089</v>
      </c>
      <c r="G428" s="2">
        <v>41721.0</v>
      </c>
      <c r="H428" s="1" t="s">
        <v>24</v>
      </c>
      <c r="I428" s="2">
        <v>41721.0</v>
      </c>
      <c r="J428" s="1" t="s">
        <v>25</v>
      </c>
      <c r="K428" s="1" t="s">
        <v>26</v>
      </c>
      <c r="L428" s="1">
        <v>93.0</v>
      </c>
      <c r="M428" s="1" t="s">
        <v>1090</v>
      </c>
      <c r="N428" s="1">
        <v>33.0</v>
      </c>
      <c r="O428" s="1" t="s">
        <v>28</v>
      </c>
      <c r="P428" s="1">
        <v>2.43301215E8</v>
      </c>
      <c r="Q428" s="1" t="s">
        <v>136</v>
      </c>
      <c r="R428" s="1" t="s">
        <v>30</v>
      </c>
      <c r="S428">
        <f t="shared" si="1"/>
        <v>33093</v>
      </c>
      <c r="T428" t="str">
        <f t="array" ref="T428">iferror(index('Copie de Feuille tri Amandine'!B:C,MATCH(S428,'Copie de Feuille tri Amandine'!B:B,0),2),"")</f>
        <v/>
      </c>
    </row>
    <row r="429">
      <c r="A429" s="1" t="s">
        <v>263</v>
      </c>
      <c r="B429" s="1" t="s">
        <v>342</v>
      </c>
      <c r="C429" s="1" t="s">
        <v>22</v>
      </c>
      <c r="D429" s="2">
        <v>22934.0</v>
      </c>
      <c r="E429" s="1">
        <v>101.0</v>
      </c>
      <c r="F429" s="1" t="s">
        <v>33</v>
      </c>
      <c r="G429" s="2">
        <v>41721.0</v>
      </c>
      <c r="H429" s="1" t="s">
        <v>24</v>
      </c>
      <c r="I429" s="2">
        <v>41721.0</v>
      </c>
      <c r="J429" s="1" t="s">
        <v>25</v>
      </c>
      <c r="K429" s="1" t="s">
        <v>26</v>
      </c>
      <c r="L429" s="1">
        <v>419.0</v>
      </c>
      <c r="M429" s="1" t="s">
        <v>1091</v>
      </c>
      <c r="N429" s="1">
        <v>33.0</v>
      </c>
      <c r="O429" s="1" t="s">
        <v>28</v>
      </c>
      <c r="P429" s="1">
        <v>2.00069599E8</v>
      </c>
      <c r="Q429" s="1" t="s">
        <v>60</v>
      </c>
      <c r="R429" s="1" t="s">
        <v>30</v>
      </c>
      <c r="S429">
        <f t="shared" si="1"/>
        <v>33419</v>
      </c>
      <c r="T429">
        <f t="array" ref="T429">iferror(index('Copie de Feuille tri Amandine'!B:C,MATCH(S429,'Copie de Feuille tri Amandine'!B:B,0),2),"")</f>
        <v>78</v>
      </c>
    </row>
    <row r="430">
      <c r="A430" s="1" t="s">
        <v>1092</v>
      </c>
      <c r="B430" s="1" t="s">
        <v>134</v>
      </c>
      <c r="C430" s="1" t="s">
        <v>22</v>
      </c>
      <c r="D430" s="2">
        <v>18953.0</v>
      </c>
      <c r="E430" s="1">
        <v>164.0</v>
      </c>
      <c r="F430" s="1" t="s">
        <v>183</v>
      </c>
      <c r="G430" s="2">
        <v>43058.0</v>
      </c>
      <c r="H430" s="1" t="s">
        <v>24</v>
      </c>
      <c r="I430" s="2">
        <v>43063.0</v>
      </c>
      <c r="J430" s="1" t="s">
        <v>25</v>
      </c>
      <c r="K430" s="1" t="s">
        <v>26</v>
      </c>
      <c r="L430" s="1">
        <v>425.0</v>
      </c>
      <c r="M430" s="1" t="s">
        <v>1093</v>
      </c>
      <c r="N430" s="1">
        <v>33.0</v>
      </c>
      <c r="O430" s="1" t="s">
        <v>28</v>
      </c>
      <c r="P430" s="1">
        <v>2.43301223E8</v>
      </c>
      <c r="Q430" s="1" t="s">
        <v>163</v>
      </c>
      <c r="R430" s="1" t="s">
        <v>30</v>
      </c>
      <c r="S430">
        <f t="shared" si="1"/>
        <v>33425</v>
      </c>
      <c r="T430">
        <f t="array" ref="T430">iferror(index('Copie de Feuille tri Amandine'!B:C,MATCH(S430,'Copie de Feuille tri Amandine'!B:B,0),2),"")</f>
        <v>1449</v>
      </c>
    </row>
    <row r="431">
      <c r="A431" s="1" t="s">
        <v>1094</v>
      </c>
      <c r="B431" s="1" t="s">
        <v>108</v>
      </c>
      <c r="C431" s="1" t="s">
        <v>22</v>
      </c>
      <c r="D431" s="2">
        <v>25084.0</v>
      </c>
      <c r="E431" s="1">
        <v>119.0</v>
      </c>
      <c r="F431" s="1" t="s">
        <v>109</v>
      </c>
      <c r="G431" s="2">
        <v>41721.0</v>
      </c>
      <c r="H431" s="1" t="s">
        <v>24</v>
      </c>
      <c r="I431" s="2">
        <v>41721.0</v>
      </c>
      <c r="J431" s="1" t="s">
        <v>25</v>
      </c>
      <c r="K431" s="1" t="s">
        <v>26</v>
      </c>
      <c r="L431" s="1">
        <v>524.0</v>
      </c>
      <c r="M431" s="1" t="s">
        <v>1095</v>
      </c>
      <c r="N431" s="1">
        <v>33.0</v>
      </c>
      <c r="O431" s="1" t="s">
        <v>28</v>
      </c>
      <c r="P431" s="1">
        <v>2.43301397E8</v>
      </c>
      <c r="Q431" s="1" t="s">
        <v>158</v>
      </c>
      <c r="R431" s="1" t="s">
        <v>30</v>
      </c>
      <c r="S431">
        <f t="shared" si="1"/>
        <v>33524</v>
      </c>
      <c r="T431">
        <f t="array" ref="T431">iferror(index('Copie de Feuille tri Amandine'!B:C,MATCH(S431,'Copie de Feuille tri Amandine'!B:B,0),2),"")</f>
        <v>325</v>
      </c>
    </row>
    <row r="432">
      <c r="A432" s="1" t="s">
        <v>139</v>
      </c>
      <c r="B432" s="1" t="s">
        <v>496</v>
      </c>
      <c r="C432" s="1" t="s">
        <v>22</v>
      </c>
      <c r="D432" s="2">
        <v>25779.0</v>
      </c>
      <c r="E432" s="1">
        <v>121.0</v>
      </c>
      <c r="F432" s="1" t="s">
        <v>878</v>
      </c>
      <c r="G432" s="2">
        <v>41721.0</v>
      </c>
      <c r="H432" s="1" t="s">
        <v>24</v>
      </c>
      <c r="I432" s="2">
        <v>41721.0</v>
      </c>
      <c r="J432" s="1" t="s">
        <v>25</v>
      </c>
      <c r="K432" s="1" t="s">
        <v>26</v>
      </c>
      <c r="L432" s="1">
        <v>31.0</v>
      </c>
      <c r="M432" s="1" t="s">
        <v>1096</v>
      </c>
      <c r="N432" s="1">
        <v>33.0</v>
      </c>
      <c r="O432" s="1" t="s">
        <v>28</v>
      </c>
      <c r="P432" s="1">
        <v>2.00044394E8</v>
      </c>
      <c r="Q432" s="1" t="s">
        <v>35</v>
      </c>
      <c r="R432" s="1" t="s">
        <v>30</v>
      </c>
      <c r="S432">
        <f t="shared" si="1"/>
        <v>33031</v>
      </c>
      <c r="T432" t="str">
        <f t="array" ref="T432">iferror(index('Copie de Feuille tri Amandine'!B:C,MATCH(S432,'Copie de Feuille tri Amandine'!B:B,0),2),"")</f>
        <v/>
      </c>
    </row>
    <row r="433">
      <c r="A433" s="1" t="s">
        <v>1097</v>
      </c>
      <c r="B433" s="1" t="s">
        <v>84</v>
      </c>
      <c r="C433" s="1" t="s">
        <v>22</v>
      </c>
      <c r="D433" s="2">
        <v>23810.0</v>
      </c>
      <c r="E433" s="1">
        <v>142.0</v>
      </c>
      <c r="F433" s="1" t="s">
        <v>141</v>
      </c>
      <c r="G433" s="2">
        <v>42957.0</v>
      </c>
      <c r="H433" s="1" t="s">
        <v>24</v>
      </c>
      <c r="I433" s="2">
        <v>43021.0</v>
      </c>
      <c r="J433" s="1" t="s">
        <v>25</v>
      </c>
      <c r="K433" s="1" t="s">
        <v>26</v>
      </c>
      <c r="L433" s="1">
        <v>46.0</v>
      </c>
      <c r="M433" s="1" t="s">
        <v>1098</v>
      </c>
      <c r="N433" s="1">
        <v>33.0</v>
      </c>
      <c r="O433" s="1" t="s">
        <v>28</v>
      </c>
      <c r="P433" s="1">
        <v>2.00043982E8</v>
      </c>
      <c r="Q433" s="1" t="s">
        <v>124</v>
      </c>
      <c r="R433" s="1" t="s">
        <v>30</v>
      </c>
      <c r="S433">
        <f t="shared" si="1"/>
        <v>33046</v>
      </c>
      <c r="T433" t="str">
        <f t="array" ref="T433">iferror(index('Copie de Feuille tri Amandine'!B:C,MATCH(S433,'Copie de Feuille tri Amandine'!B:B,0),2),"")</f>
        <v/>
      </c>
    </row>
    <row r="434">
      <c r="A434" s="1" t="s">
        <v>1099</v>
      </c>
      <c r="B434" s="1" t="s">
        <v>229</v>
      </c>
      <c r="C434" s="1" t="s">
        <v>22</v>
      </c>
      <c r="D434" s="2">
        <v>18507.0</v>
      </c>
      <c r="E434" s="1">
        <v>159.0</v>
      </c>
      <c r="F434" s="1" t="s">
        <v>130</v>
      </c>
      <c r="G434" s="2">
        <v>41721.0</v>
      </c>
      <c r="H434" s="1" t="s">
        <v>24</v>
      </c>
      <c r="I434" s="2">
        <v>41721.0</v>
      </c>
      <c r="J434" s="1" t="s">
        <v>25</v>
      </c>
      <c r="K434" s="1" t="s">
        <v>26</v>
      </c>
      <c r="L434" s="1">
        <v>212.0</v>
      </c>
      <c r="M434" s="1" t="s">
        <v>1100</v>
      </c>
      <c r="N434" s="1">
        <v>33.0</v>
      </c>
      <c r="O434" s="1" t="s">
        <v>28</v>
      </c>
      <c r="P434" s="1">
        <v>2.00043982E8</v>
      </c>
      <c r="Q434" s="1" t="s">
        <v>124</v>
      </c>
      <c r="R434" s="1" t="s">
        <v>30</v>
      </c>
      <c r="S434">
        <f t="shared" si="1"/>
        <v>33212</v>
      </c>
      <c r="T434" t="str">
        <f t="array" ref="T434">iferror(index('Copie de Feuille tri Amandine'!B:C,MATCH(S434,'Copie de Feuille tri Amandine'!B:B,0),2),"")</f>
        <v/>
      </c>
    </row>
    <row r="435">
      <c r="A435" s="1" t="s">
        <v>1101</v>
      </c>
      <c r="B435" s="1" t="s">
        <v>655</v>
      </c>
      <c r="C435" s="1" t="s">
        <v>22</v>
      </c>
      <c r="D435" s="2">
        <v>20297.0</v>
      </c>
      <c r="E435" s="1">
        <v>128.0</v>
      </c>
      <c r="F435" s="1" t="s">
        <v>380</v>
      </c>
      <c r="G435" s="2">
        <v>41721.0</v>
      </c>
      <c r="H435" s="1" t="s">
        <v>24</v>
      </c>
      <c r="I435" s="2">
        <v>41721.0</v>
      </c>
      <c r="J435" s="1" t="s">
        <v>25</v>
      </c>
      <c r="K435" s="1" t="s">
        <v>26</v>
      </c>
      <c r="L435" s="1">
        <v>219.0</v>
      </c>
      <c r="M435" s="1" t="s">
        <v>1102</v>
      </c>
      <c r="N435" s="1">
        <v>33.0</v>
      </c>
      <c r="O435" s="1" t="s">
        <v>28</v>
      </c>
      <c r="P435" s="1">
        <v>2.43301397E8</v>
      </c>
      <c r="Q435" s="1" t="s">
        <v>158</v>
      </c>
      <c r="R435" s="1" t="s">
        <v>30</v>
      </c>
      <c r="S435">
        <f t="shared" si="1"/>
        <v>33219</v>
      </c>
      <c r="T435" t="str">
        <f t="array" ref="T435">iferror(index('Copie de Feuille tri Amandine'!B:C,MATCH(S435,'Copie de Feuille tri Amandine'!B:B,0),2),"")</f>
        <v/>
      </c>
    </row>
    <row r="436">
      <c r="A436" s="1" t="s">
        <v>1103</v>
      </c>
      <c r="B436" s="1" t="s">
        <v>189</v>
      </c>
      <c r="C436" s="1" t="s">
        <v>22</v>
      </c>
      <c r="D436" s="2">
        <v>21211.0</v>
      </c>
      <c r="E436" s="1">
        <v>149.0</v>
      </c>
      <c r="F436" s="1" t="s">
        <v>257</v>
      </c>
      <c r="G436" s="2">
        <v>41728.0</v>
      </c>
      <c r="H436" s="1" t="s">
        <v>24</v>
      </c>
      <c r="I436" s="2">
        <v>41728.0</v>
      </c>
      <c r="J436" s="1" t="s">
        <v>25</v>
      </c>
      <c r="K436" s="1" t="s">
        <v>26</v>
      </c>
      <c r="L436" s="1">
        <v>240.0</v>
      </c>
      <c r="M436" s="1" t="s">
        <v>1104</v>
      </c>
      <c r="N436" s="1">
        <v>33.0</v>
      </c>
      <c r="O436" s="1" t="s">
        <v>28</v>
      </c>
      <c r="P436" s="1">
        <v>2.00069995E8</v>
      </c>
      <c r="Q436" s="1" t="s">
        <v>65</v>
      </c>
      <c r="R436" s="1" t="s">
        <v>30</v>
      </c>
      <c r="S436">
        <f t="shared" si="1"/>
        <v>33240</v>
      </c>
      <c r="T436" t="str">
        <f t="array" ref="T436">iferror(index('Copie de Feuille tri Amandine'!B:C,MATCH(S436,'Copie de Feuille tri Amandine'!B:B,0),2),"")</f>
        <v/>
      </c>
    </row>
    <row r="437">
      <c r="A437" s="1" t="s">
        <v>1105</v>
      </c>
      <c r="B437" s="1" t="s">
        <v>1106</v>
      </c>
      <c r="C437" s="1" t="s">
        <v>22</v>
      </c>
      <c r="D437" s="2">
        <v>20955.0</v>
      </c>
      <c r="E437" s="1">
        <v>113.0</v>
      </c>
      <c r="F437" s="1" t="s">
        <v>246</v>
      </c>
      <c r="G437" s="2">
        <v>41728.0</v>
      </c>
      <c r="H437" s="1" t="s">
        <v>24</v>
      </c>
      <c r="I437" s="2">
        <v>41728.0</v>
      </c>
      <c r="J437" s="1" t="s">
        <v>25</v>
      </c>
      <c r="K437" s="1" t="s">
        <v>26</v>
      </c>
      <c r="L437" s="1">
        <v>165.0</v>
      </c>
      <c r="M437" s="1" t="s">
        <v>1107</v>
      </c>
      <c r="N437" s="1">
        <v>33.0</v>
      </c>
      <c r="O437" s="1" t="s">
        <v>28</v>
      </c>
      <c r="P437" s="1">
        <v>2.43301355E8</v>
      </c>
      <c r="Q437" s="1" t="s">
        <v>132</v>
      </c>
      <c r="R437" s="1" t="s">
        <v>30</v>
      </c>
      <c r="S437">
        <f t="shared" si="1"/>
        <v>33165</v>
      </c>
      <c r="T437" t="str">
        <f t="array" ref="T437">iferror(index('Copie de Feuille tri Amandine'!B:C,MATCH(S437,'Copie de Feuille tri Amandine'!B:B,0),2),"")</f>
        <v/>
      </c>
    </row>
    <row r="438">
      <c r="A438" s="1" t="s">
        <v>1108</v>
      </c>
      <c r="B438" s="1" t="s">
        <v>520</v>
      </c>
      <c r="C438" s="1" t="s">
        <v>22</v>
      </c>
      <c r="D438" s="2">
        <v>18101.0</v>
      </c>
      <c r="E438" s="1">
        <v>101.0</v>
      </c>
      <c r="F438" s="1" t="s">
        <v>33</v>
      </c>
      <c r="G438" s="2">
        <v>41721.0</v>
      </c>
      <c r="H438" s="1" t="s">
        <v>24</v>
      </c>
      <c r="I438" s="2">
        <v>41721.0</v>
      </c>
      <c r="J438" s="1" t="s">
        <v>25</v>
      </c>
      <c r="K438" s="1" t="s">
        <v>26</v>
      </c>
      <c r="L438" s="1">
        <v>10.0</v>
      </c>
      <c r="M438" s="1" t="s">
        <v>1109</v>
      </c>
      <c r="N438" s="1">
        <v>33.0</v>
      </c>
      <c r="O438" s="1" t="s">
        <v>28</v>
      </c>
      <c r="P438" s="1">
        <v>2.43301447E8</v>
      </c>
      <c r="Q438" s="1" t="s">
        <v>45</v>
      </c>
      <c r="R438" s="1" t="s">
        <v>30</v>
      </c>
      <c r="S438">
        <f t="shared" si="1"/>
        <v>33010</v>
      </c>
      <c r="T438" t="str">
        <f t="array" ref="T438">iferror(index('Copie de Feuille tri Amandine'!B:C,MATCH(S438,'Copie de Feuille tri Amandine'!B:B,0),2),"")</f>
        <v/>
      </c>
    </row>
    <row r="439">
      <c r="A439" s="1" t="s">
        <v>1110</v>
      </c>
      <c r="B439" s="1" t="s">
        <v>42</v>
      </c>
      <c r="C439" s="1" t="s">
        <v>22</v>
      </c>
      <c r="D439" s="2">
        <v>25822.0</v>
      </c>
      <c r="E439" s="1">
        <v>110.0</v>
      </c>
      <c r="F439" s="1" t="s">
        <v>48</v>
      </c>
      <c r="G439" s="2">
        <v>41721.0</v>
      </c>
      <c r="H439" s="1" t="s">
        <v>24</v>
      </c>
      <c r="I439" s="2">
        <v>41721.0</v>
      </c>
      <c r="J439" s="1" t="s">
        <v>25</v>
      </c>
      <c r="K439" s="1" t="s">
        <v>26</v>
      </c>
      <c r="L439" s="1">
        <v>292.0</v>
      </c>
      <c r="M439" s="1" t="s">
        <v>1111</v>
      </c>
      <c r="N439" s="1">
        <v>33.0</v>
      </c>
      <c r="O439" s="1" t="s">
        <v>28</v>
      </c>
      <c r="P439" s="1">
        <v>2.00069599E8</v>
      </c>
      <c r="Q439" s="1" t="s">
        <v>60</v>
      </c>
      <c r="R439" s="1" t="s">
        <v>30</v>
      </c>
      <c r="S439">
        <f t="shared" si="1"/>
        <v>33292</v>
      </c>
      <c r="T439">
        <f t="array" ref="T439">iferror(index('Copie de Feuille tri Amandine'!B:C,MATCH(S439,'Copie de Feuille tri Amandine'!B:B,0),2),"")</f>
        <v>139</v>
      </c>
    </row>
    <row r="440">
      <c r="A440" s="1" t="s">
        <v>1112</v>
      </c>
      <c r="B440" s="1" t="s">
        <v>992</v>
      </c>
      <c r="C440" s="1" t="s">
        <v>22</v>
      </c>
      <c r="D440" s="2">
        <v>20779.0</v>
      </c>
      <c r="E440" s="1">
        <v>142.0</v>
      </c>
      <c r="F440" s="1" t="s">
        <v>141</v>
      </c>
      <c r="G440" s="2">
        <v>41721.0</v>
      </c>
      <c r="H440" s="1" t="s">
        <v>24</v>
      </c>
      <c r="I440" s="2">
        <v>41727.0</v>
      </c>
      <c r="J440" s="1" t="s">
        <v>25</v>
      </c>
      <c r="K440" s="1" t="s">
        <v>26</v>
      </c>
      <c r="L440" s="1">
        <v>342.0</v>
      </c>
      <c r="M440" s="1" t="s">
        <v>1113</v>
      </c>
      <c r="N440" s="1">
        <v>33.0</v>
      </c>
      <c r="O440" s="1" t="s">
        <v>28</v>
      </c>
      <c r="P440" s="1">
        <v>2.00035533E8</v>
      </c>
      <c r="Q440" s="1" t="s">
        <v>146</v>
      </c>
      <c r="R440" s="1" t="s">
        <v>30</v>
      </c>
      <c r="S440">
        <f t="shared" si="1"/>
        <v>33342</v>
      </c>
      <c r="T440">
        <f t="array" ref="T440">iferror(index('Copie de Feuille tri Amandine'!B:C,MATCH(S440,'Copie de Feuille tri Amandine'!B:B,0),2),"")</f>
        <v>856</v>
      </c>
    </row>
    <row r="441">
      <c r="A441" s="1" t="s">
        <v>1114</v>
      </c>
      <c r="B441" s="1" t="s">
        <v>186</v>
      </c>
      <c r="C441" s="1" t="s">
        <v>22</v>
      </c>
      <c r="D441" s="2">
        <v>19525.0</v>
      </c>
      <c r="E441" s="1">
        <v>101.0</v>
      </c>
      <c r="F441" s="1" t="s">
        <v>33</v>
      </c>
      <c r="G441" s="2">
        <v>41721.0</v>
      </c>
      <c r="H441" s="1" t="s">
        <v>24</v>
      </c>
      <c r="I441" s="2">
        <v>41728.0</v>
      </c>
      <c r="J441" s="1" t="s">
        <v>25</v>
      </c>
      <c r="K441" s="1" t="s">
        <v>26</v>
      </c>
      <c r="L441" s="1">
        <v>424.0</v>
      </c>
      <c r="M441" s="1" t="s">
        <v>1115</v>
      </c>
      <c r="N441" s="1">
        <v>33.0</v>
      </c>
      <c r="O441" s="1" t="s">
        <v>28</v>
      </c>
      <c r="P441" s="1">
        <v>2.00069995E8</v>
      </c>
      <c r="Q441" s="1" t="s">
        <v>65</v>
      </c>
      <c r="R441" s="1" t="s">
        <v>30</v>
      </c>
      <c r="S441">
        <f t="shared" si="1"/>
        <v>33424</v>
      </c>
      <c r="T441">
        <f t="array" ref="T441">iferror(index('Copie de Feuille tri Amandine'!B:C,MATCH(S441,'Copie de Feuille tri Amandine'!B:B,0),2),"")</f>
        <v>4673</v>
      </c>
    </row>
    <row r="442">
      <c r="A442" s="1" t="s">
        <v>1116</v>
      </c>
      <c r="B442" s="1" t="s">
        <v>57</v>
      </c>
      <c r="C442" s="1" t="s">
        <v>53</v>
      </c>
      <c r="D442" s="2">
        <v>18096.0</v>
      </c>
      <c r="E442" s="1">
        <v>161.0</v>
      </c>
      <c r="F442" s="1" t="s">
        <v>72</v>
      </c>
      <c r="G442" s="2">
        <v>41721.0</v>
      </c>
      <c r="H442" s="1" t="s">
        <v>24</v>
      </c>
      <c r="I442" s="2">
        <v>41721.0</v>
      </c>
      <c r="J442" s="1" t="s">
        <v>25</v>
      </c>
      <c r="K442" s="1" t="s">
        <v>26</v>
      </c>
      <c r="L442" s="1">
        <v>444.0</v>
      </c>
      <c r="M442" s="1" t="s">
        <v>1117</v>
      </c>
      <c r="N442" s="1">
        <v>33.0</v>
      </c>
      <c r="O442" s="1" t="s">
        <v>28</v>
      </c>
      <c r="P442" s="1">
        <v>2.00044394E8</v>
      </c>
      <c r="Q442" s="1" t="s">
        <v>35</v>
      </c>
      <c r="R442" s="1" t="s">
        <v>30</v>
      </c>
      <c r="S442">
        <f t="shared" si="1"/>
        <v>33444</v>
      </c>
      <c r="T442">
        <f t="array" ref="T442">iferror(index('Copie de Feuille tri Amandine'!B:C,MATCH(S442,'Copie de Feuille tri Amandine'!B:B,0),2),"")</f>
        <v>589</v>
      </c>
    </row>
    <row r="443">
      <c r="A443" s="1" t="s">
        <v>1118</v>
      </c>
      <c r="B443" s="1" t="s">
        <v>418</v>
      </c>
      <c r="C443" s="1" t="s">
        <v>22</v>
      </c>
      <c r="D443" s="2">
        <v>20782.0</v>
      </c>
      <c r="E443" s="1">
        <v>119.0</v>
      </c>
      <c r="F443" s="1" t="s">
        <v>109</v>
      </c>
      <c r="G443" s="2">
        <v>41721.0</v>
      </c>
      <c r="H443" s="1" t="s">
        <v>24</v>
      </c>
      <c r="I443" s="2">
        <v>41721.0</v>
      </c>
      <c r="J443" s="1" t="s">
        <v>25</v>
      </c>
      <c r="K443" s="1" t="s">
        <v>26</v>
      </c>
      <c r="L443" s="1">
        <v>501.0</v>
      </c>
      <c r="M443" s="1" t="s">
        <v>1119</v>
      </c>
      <c r="N443" s="1">
        <v>33.0</v>
      </c>
      <c r="O443" s="1" t="s">
        <v>28</v>
      </c>
      <c r="P443" s="1">
        <v>2.43301264E8</v>
      </c>
      <c r="Q443" s="1" t="s">
        <v>55</v>
      </c>
      <c r="R443" s="1" t="s">
        <v>30</v>
      </c>
      <c r="S443">
        <f t="shared" si="1"/>
        <v>33501</v>
      </c>
      <c r="T443">
        <f t="array" ref="T443">iferror(index('Copie de Feuille tri Amandine'!B:C,MATCH(S443,'Copie de Feuille tri Amandine'!B:B,0),2),"")</f>
        <v>3056</v>
      </c>
    </row>
    <row r="444">
      <c r="A444" s="1" t="s">
        <v>1120</v>
      </c>
      <c r="B444" s="1" t="s">
        <v>175</v>
      </c>
      <c r="C444" s="1" t="s">
        <v>22</v>
      </c>
      <c r="D444" s="2">
        <v>20187.0</v>
      </c>
      <c r="E444" s="1">
        <v>114.0</v>
      </c>
      <c r="F444" s="1" t="s">
        <v>777</v>
      </c>
      <c r="G444" s="2">
        <v>41721.0</v>
      </c>
      <c r="H444" s="1" t="s">
        <v>24</v>
      </c>
      <c r="I444" s="2">
        <v>41721.0</v>
      </c>
      <c r="J444" s="1" t="s">
        <v>25</v>
      </c>
      <c r="K444" s="1" t="s">
        <v>26</v>
      </c>
      <c r="L444" s="1">
        <v>507.0</v>
      </c>
      <c r="M444" s="1" t="s">
        <v>1121</v>
      </c>
      <c r="N444" s="1">
        <v>33.0</v>
      </c>
      <c r="O444" s="1" t="s">
        <v>28</v>
      </c>
      <c r="P444" s="1">
        <v>2.00043982E8</v>
      </c>
      <c r="Q444" s="1" t="s">
        <v>124</v>
      </c>
      <c r="R444" s="1" t="s">
        <v>30</v>
      </c>
      <c r="S444">
        <f t="shared" si="1"/>
        <v>33507</v>
      </c>
      <c r="T444">
        <f t="array" ref="T444">iferror(index('Copie de Feuille tri Amandine'!B:C,MATCH(S444,'Copie de Feuille tri Amandine'!B:B,0),2),"")</f>
        <v>327</v>
      </c>
    </row>
    <row r="445">
      <c r="A445" s="1" t="s">
        <v>1122</v>
      </c>
      <c r="B445" s="1" t="s">
        <v>52</v>
      </c>
      <c r="C445" s="1" t="s">
        <v>53</v>
      </c>
      <c r="D445" s="2">
        <v>24352.0</v>
      </c>
      <c r="E445" s="1">
        <v>147.0</v>
      </c>
      <c r="F445" s="1" t="s">
        <v>38</v>
      </c>
      <c r="G445" s="2">
        <v>41721.0</v>
      </c>
      <c r="H445" s="1" t="s">
        <v>24</v>
      </c>
      <c r="I445" s="2">
        <v>41728.0</v>
      </c>
      <c r="J445" s="1" t="s">
        <v>25</v>
      </c>
      <c r="K445" s="1" t="s">
        <v>26</v>
      </c>
      <c r="L445" s="1">
        <v>19.0</v>
      </c>
      <c r="M445" s="1" t="s">
        <v>1123</v>
      </c>
      <c r="N445" s="1">
        <v>33.0</v>
      </c>
      <c r="O445" s="1" t="s">
        <v>28</v>
      </c>
      <c r="P445" s="1">
        <v>2.43301504E8</v>
      </c>
      <c r="Q445" s="1" t="s">
        <v>29</v>
      </c>
      <c r="R445" s="1" t="s">
        <v>30</v>
      </c>
      <c r="S445">
        <f t="shared" si="1"/>
        <v>33019</v>
      </c>
      <c r="T445" t="str">
        <f t="array" ref="T445">iferror(index('Copie de Feuille tri Amandine'!B:C,MATCH(S445,'Copie de Feuille tri Amandine'!B:B,0),2),"")</f>
        <v/>
      </c>
    </row>
    <row r="446">
      <c r="A446" s="1" t="s">
        <v>1124</v>
      </c>
      <c r="B446" s="1" t="s">
        <v>80</v>
      </c>
      <c r="C446" s="1" t="s">
        <v>22</v>
      </c>
      <c r="D446" s="2">
        <v>22709.0</v>
      </c>
      <c r="E446" s="1">
        <v>120.0</v>
      </c>
      <c r="F446" s="1" t="s">
        <v>241</v>
      </c>
      <c r="G446" s="2">
        <v>41721.0</v>
      </c>
      <c r="H446" s="1" t="s">
        <v>24</v>
      </c>
      <c r="I446" s="2">
        <v>42552.0</v>
      </c>
      <c r="J446" s="1" t="s">
        <v>25</v>
      </c>
      <c r="K446" s="1" t="s">
        <v>26</v>
      </c>
      <c r="L446" s="1">
        <v>30.0</v>
      </c>
      <c r="M446" s="1" t="s">
        <v>1125</v>
      </c>
      <c r="N446" s="1">
        <v>33.0</v>
      </c>
      <c r="O446" s="1" t="s">
        <v>28</v>
      </c>
      <c r="P446" s="1">
        <v>2.00069581E8</v>
      </c>
      <c r="Q446" s="1" t="s">
        <v>82</v>
      </c>
      <c r="R446" s="1" t="s">
        <v>30</v>
      </c>
      <c r="S446">
        <f t="shared" si="1"/>
        <v>33030</v>
      </c>
      <c r="T446" t="str">
        <f t="array" ref="T446">iferror(index('Copie de Feuille tri Amandine'!B:C,MATCH(S446,'Copie de Feuille tri Amandine'!B:B,0),2),"")</f>
        <v/>
      </c>
    </row>
    <row r="447">
      <c r="A447" s="1" t="s">
        <v>1126</v>
      </c>
      <c r="B447" s="1" t="s">
        <v>154</v>
      </c>
      <c r="C447" s="1" t="s">
        <v>22</v>
      </c>
      <c r="D447" s="2">
        <v>17038.0</v>
      </c>
      <c r="E447" s="1">
        <v>158.0</v>
      </c>
      <c r="F447" s="1" t="s">
        <v>274</v>
      </c>
      <c r="G447" s="2">
        <v>41721.0</v>
      </c>
      <c r="H447" s="1" t="s">
        <v>24</v>
      </c>
      <c r="I447" s="2">
        <v>41727.0</v>
      </c>
      <c r="J447" s="1" t="s">
        <v>25</v>
      </c>
      <c r="K447" s="1" t="s">
        <v>26</v>
      </c>
      <c r="L447" s="1">
        <v>47.0</v>
      </c>
      <c r="M447" s="1" t="s">
        <v>1127</v>
      </c>
      <c r="N447" s="1">
        <v>33.0</v>
      </c>
      <c r="O447" s="1" t="s">
        <v>28</v>
      </c>
      <c r="P447" s="1">
        <v>2.00023794E8</v>
      </c>
      <c r="Q447" s="1" t="s">
        <v>243</v>
      </c>
      <c r="R447" s="1" t="s">
        <v>30</v>
      </c>
      <c r="S447">
        <f t="shared" si="1"/>
        <v>33047</v>
      </c>
      <c r="T447" t="str">
        <f t="array" ref="T447">iferror(index('Copie de Feuille tri Amandine'!B:C,MATCH(S447,'Copie de Feuille tri Amandine'!B:B,0),2),"")</f>
        <v/>
      </c>
    </row>
    <row r="448">
      <c r="A448" s="1" t="s">
        <v>1128</v>
      </c>
      <c r="B448" s="1" t="s">
        <v>687</v>
      </c>
      <c r="C448" s="1" t="s">
        <v>22</v>
      </c>
      <c r="D448" s="2">
        <v>21124.0</v>
      </c>
      <c r="E448" s="1">
        <v>119.0</v>
      </c>
      <c r="F448" s="1" t="s">
        <v>109</v>
      </c>
      <c r="G448" s="2">
        <v>41721.0</v>
      </c>
      <c r="H448" s="1" t="s">
        <v>24</v>
      </c>
      <c r="I448" s="2">
        <v>41721.0</v>
      </c>
      <c r="J448" s="1" t="s">
        <v>25</v>
      </c>
      <c r="K448" s="1" t="s">
        <v>26</v>
      </c>
      <c r="L448" s="1">
        <v>88.0</v>
      </c>
      <c r="M448" s="1" t="s">
        <v>1129</v>
      </c>
      <c r="N448" s="1">
        <v>33.0</v>
      </c>
      <c r="O448" s="1" t="s">
        <v>28</v>
      </c>
      <c r="P448" s="1">
        <v>2.00070092E8</v>
      </c>
      <c r="Q448" s="1" t="s">
        <v>50</v>
      </c>
      <c r="R448" s="1" t="s">
        <v>30</v>
      </c>
      <c r="S448">
        <f t="shared" si="1"/>
        <v>33088</v>
      </c>
      <c r="T448" t="str">
        <f t="array" ref="T448">iferror(index('Copie de Feuille tri Amandine'!B:C,MATCH(S448,'Copie de Feuille tri Amandine'!B:B,0),2),"")</f>
        <v/>
      </c>
    </row>
    <row r="449">
      <c r="A449" s="1" t="s">
        <v>1130</v>
      </c>
      <c r="B449" s="1" t="s">
        <v>655</v>
      </c>
      <c r="C449" s="1" t="s">
        <v>22</v>
      </c>
      <c r="D449" s="2">
        <v>14222.0</v>
      </c>
      <c r="E449" s="1">
        <v>159.0</v>
      </c>
      <c r="F449" s="1" t="s">
        <v>130</v>
      </c>
      <c r="G449" s="2">
        <v>41721.0</v>
      </c>
      <c r="H449" s="1" t="s">
        <v>24</v>
      </c>
      <c r="I449" s="2">
        <v>41721.0</v>
      </c>
      <c r="J449" s="1" t="s">
        <v>25</v>
      </c>
      <c r="K449" s="1" t="s">
        <v>26</v>
      </c>
      <c r="L449" s="1">
        <v>125.0</v>
      </c>
      <c r="M449" s="1" t="s">
        <v>1131</v>
      </c>
      <c r="N449" s="1">
        <v>33.0</v>
      </c>
      <c r="O449" s="1" t="s">
        <v>28</v>
      </c>
      <c r="P449" s="1">
        <v>2.00069995E8</v>
      </c>
      <c r="Q449" s="1" t="s">
        <v>65</v>
      </c>
      <c r="R449" s="1" t="s">
        <v>30</v>
      </c>
      <c r="S449">
        <f t="shared" si="1"/>
        <v>33125</v>
      </c>
      <c r="T449" t="str">
        <f t="array" ref="T449">iferror(index('Copie de Feuille tri Amandine'!B:C,MATCH(S449,'Copie de Feuille tri Amandine'!B:B,0),2),"")</f>
        <v/>
      </c>
    </row>
    <row r="450">
      <c r="A450" s="1" t="s">
        <v>1132</v>
      </c>
      <c r="B450" s="1" t="s">
        <v>273</v>
      </c>
      <c r="C450" s="1" t="s">
        <v>22</v>
      </c>
      <c r="D450" s="2">
        <v>16390.0</v>
      </c>
      <c r="E450" s="1">
        <v>158.0</v>
      </c>
      <c r="F450" s="1" t="s">
        <v>274</v>
      </c>
      <c r="G450" s="2">
        <v>41721.0</v>
      </c>
      <c r="H450" s="1" t="s">
        <v>24</v>
      </c>
      <c r="I450" s="2">
        <v>41721.0</v>
      </c>
      <c r="J450" s="1" t="s">
        <v>25</v>
      </c>
      <c r="K450" s="1" t="s">
        <v>26</v>
      </c>
      <c r="L450" s="1">
        <v>209.0</v>
      </c>
      <c r="M450" s="1" t="s">
        <v>1133</v>
      </c>
      <c r="N450" s="1">
        <v>33.0</v>
      </c>
      <c r="O450" s="1" t="s">
        <v>28</v>
      </c>
      <c r="P450" s="1">
        <v>2.43301454E8</v>
      </c>
      <c r="Q450" s="1" t="s">
        <v>94</v>
      </c>
      <c r="R450" s="1" t="s">
        <v>30</v>
      </c>
      <c r="S450">
        <f t="shared" si="1"/>
        <v>33209</v>
      </c>
      <c r="T450" t="str">
        <f t="array" ref="T450">iferror(index('Copie de Feuille tri Amandine'!B:C,MATCH(S450,'Copie de Feuille tri Amandine'!B:B,0),2),"")</f>
        <v/>
      </c>
    </row>
    <row r="451">
      <c r="A451" s="1" t="s">
        <v>1134</v>
      </c>
      <c r="B451" s="1" t="s">
        <v>1135</v>
      </c>
      <c r="C451" s="1" t="s">
        <v>22</v>
      </c>
      <c r="D451" s="2">
        <v>15727.0</v>
      </c>
      <c r="E451" s="1">
        <v>158.0</v>
      </c>
      <c r="F451" s="1" t="s">
        <v>274</v>
      </c>
      <c r="G451" s="2">
        <v>41721.0</v>
      </c>
      <c r="H451" s="1" t="s">
        <v>24</v>
      </c>
      <c r="I451" s="2">
        <v>41728.0</v>
      </c>
      <c r="J451" s="1" t="s">
        <v>25</v>
      </c>
      <c r="K451" s="1" t="s">
        <v>26</v>
      </c>
      <c r="L451" s="1">
        <v>210.0</v>
      </c>
      <c r="M451" s="1" t="s">
        <v>1136</v>
      </c>
      <c r="N451" s="1">
        <v>33.0</v>
      </c>
      <c r="O451" s="1" t="s">
        <v>28</v>
      </c>
      <c r="P451" s="1">
        <v>2.43301454E8</v>
      </c>
      <c r="Q451" s="1" t="s">
        <v>94</v>
      </c>
      <c r="R451" s="1" t="s">
        <v>30</v>
      </c>
      <c r="S451">
        <f t="shared" si="1"/>
        <v>33210</v>
      </c>
      <c r="T451" t="str">
        <f t="array" ref="T451">iferror(index('Copie de Feuille tri Amandine'!B:C,MATCH(S451,'Copie de Feuille tri Amandine'!B:B,0),2),"")</f>
        <v/>
      </c>
    </row>
    <row r="452">
      <c r="A452" s="1" t="s">
        <v>1137</v>
      </c>
      <c r="B452" s="1" t="s">
        <v>711</v>
      </c>
      <c r="C452" s="1" t="s">
        <v>22</v>
      </c>
      <c r="D452" s="2">
        <v>17635.0</v>
      </c>
      <c r="E452" s="1">
        <v>164.0</v>
      </c>
      <c r="F452" s="1" t="s">
        <v>183</v>
      </c>
      <c r="G452" s="2">
        <v>42370.0</v>
      </c>
      <c r="H452" s="1" t="s">
        <v>24</v>
      </c>
      <c r="I452" s="2">
        <v>42522.0</v>
      </c>
      <c r="J452" s="1" t="s">
        <v>25</v>
      </c>
      <c r="K452" s="1" t="s">
        <v>26</v>
      </c>
      <c r="L452" s="1">
        <v>18.0</v>
      </c>
      <c r="M452" s="1" t="s">
        <v>1138</v>
      </c>
      <c r="N452" s="1">
        <v>33.0</v>
      </c>
      <c r="O452" s="1" t="s">
        <v>28</v>
      </c>
      <c r="P452" s="1">
        <v>2.43301223E8</v>
      </c>
      <c r="Q452" s="1" t="s">
        <v>163</v>
      </c>
      <c r="R452" s="1" t="s">
        <v>30</v>
      </c>
      <c r="S452">
        <f t="shared" si="1"/>
        <v>33018</v>
      </c>
      <c r="T452">
        <f t="array" ref="T452">iferror(index('Copie de Feuille tri Amandine'!B:C,MATCH(S452,'Copie de Feuille tri Amandine'!B:B,0),2),"")</f>
        <v>3512</v>
      </c>
    </row>
    <row r="453">
      <c r="A453" s="1" t="s">
        <v>1139</v>
      </c>
      <c r="B453" s="1" t="s">
        <v>165</v>
      </c>
      <c r="C453" s="1" t="s">
        <v>22</v>
      </c>
      <c r="D453" s="2">
        <v>20031.0</v>
      </c>
      <c r="E453" s="1">
        <v>110.0</v>
      </c>
      <c r="F453" s="1" t="s">
        <v>48</v>
      </c>
      <c r="G453" s="2">
        <v>41721.0</v>
      </c>
      <c r="H453" s="1" t="s">
        <v>24</v>
      </c>
      <c r="I453" s="2">
        <v>41721.0</v>
      </c>
      <c r="J453" s="1" t="s">
        <v>25</v>
      </c>
      <c r="K453" s="1" t="s">
        <v>26</v>
      </c>
      <c r="L453" s="1">
        <v>283.0</v>
      </c>
      <c r="M453" s="1" t="s">
        <v>1140</v>
      </c>
      <c r="N453" s="1">
        <v>33.0</v>
      </c>
      <c r="O453" s="1" t="s">
        <v>28</v>
      </c>
      <c r="P453" s="1">
        <v>2.00069599E8</v>
      </c>
      <c r="Q453" s="1" t="s">
        <v>60</v>
      </c>
      <c r="R453" s="1" t="s">
        <v>30</v>
      </c>
      <c r="S453">
        <f t="shared" si="1"/>
        <v>33283</v>
      </c>
      <c r="T453">
        <f t="array" ref="T453">iferror(index('Copie de Feuille tri Amandine'!B:C,MATCH(S453,'Copie de Feuille tri Amandine'!B:B,0),2),"")</f>
        <v>222</v>
      </c>
    </row>
    <row r="454">
      <c r="A454" s="1" t="s">
        <v>1141</v>
      </c>
      <c r="B454" s="1" t="s">
        <v>1142</v>
      </c>
      <c r="C454" s="1" t="s">
        <v>22</v>
      </c>
      <c r="D454" s="2">
        <v>18215.0</v>
      </c>
      <c r="E454" s="1">
        <v>163.0</v>
      </c>
      <c r="F454" s="1" t="s">
        <v>58</v>
      </c>
      <c r="G454" s="2">
        <v>41721.0</v>
      </c>
      <c r="H454" s="1" t="s">
        <v>24</v>
      </c>
      <c r="I454" s="2">
        <v>41728.0</v>
      </c>
      <c r="J454" s="1" t="s">
        <v>25</v>
      </c>
      <c r="K454" s="1" t="s">
        <v>26</v>
      </c>
      <c r="L454" s="1">
        <v>300.0</v>
      </c>
      <c r="M454" s="1" t="s">
        <v>1143</v>
      </c>
      <c r="N454" s="1">
        <v>33.0</v>
      </c>
      <c r="O454" s="1" t="s">
        <v>28</v>
      </c>
      <c r="P454" s="1">
        <v>2.0007072E8</v>
      </c>
      <c r="Q454" s="1" t="s">
        <v>111</v>
      </c>
      <c r="R454" s="1" t="s">
        <v>30</v>
      </c>
      <c r="S454">
        <f t="shared" si="1"/>
        <v>33300</v>
      </c>
      <c r="T454">
        <f t="array" ref="T454">iferror(index('Copie de Feuille tri Amandine'!B:C,MATCH(S454,'Copie de Feuille tri Amandine'!B:B,0),2),"")</f>
        <v>1090</v>
      </c>
    </row>
    <row r="455">
      <c r="A455" s="1" t="s">
        <v>548</v>
      </c>
      <c r="B455" s="1" t="s">
        <v>418</v>
      </c>
      <c r="C455" s="1" t="s">
        <v>22</v>
      </c>
      <c r="D455" s="2">
        <v>26941.0</v>
      </c>
      <c r="E455" s="1">
        <v>142.0</v>
      </c>
      <c r="F455" s="1" t="s">
        <v>141</v>
      </c>
      <c r="G455" s="2">
        <v>41721.0</v>
      </c>
      <c r="H455" s="1" t="s">
        <v>24</v>
      </c>
      <c r="I455" s="2">
        <v>41721.0</v>
      </c>
      <c r="J455" s="1" t="s">
        <v>25</v>
      </c>
      <c r="K455" s="1" t="s">
        <v>26</v>
      </c>
      <c r="L455" s="1">
        <v>352.0</v>
      </c>
      <c r="M455" s="1" t="s">
        <v>1144</v>
      </c>
      <c r="N455" s="1">
        <v>33.0</v>
      </c>
      <c r="O455" s="1" t="s">
        <v>28</v>
      </c>
      <c r="P455" s="1">
        <v>2.00044394E8</v>
      </c>
      <c r="Q455" s="1" t="s">
        <v>35</v>
      </c>
      <c r="R455" s="1" t="s">
        <v>30</v>
      </c>
      <c r="S455">
        <f t="shared" si="1"/>
        <v>33352</v>
      </c>
      <c r="T455" t="str">
        <f t="array" ref="T455">iferror(index('Copie de Feuille tri Amandine'!B:C,MATCH(S455,'Copie de Feuille tri Amandine'!B:B,0),2),"")</f>
        <v/>
      </c>
    </row>
    <row r="456">
      <c r="A456" s="1" t="s">
        <v>139</v>
      </c>
      <c r="B456" s="1" t="s">
        <v>189</v>
      </c>
      <c r="C456" s="1" t="s">
        <v>22</v>
      </c>
      <c r="D456" s="2">
        <v>21589.0</v>
      </c>
      <c r="E456" s="1">
        <v>101.0</v>
      </c>
      <c r="F456" s="1" t="s">
        <v>33</v>
      </c>
      <c r="G456" s="2">
        <v>41721.0</v>
      </c>
      <c r="H456" s="1" t="s">
        <v>24</v>
      </c>
      <c r="I456" s="2">
        <v>41721.0</v>
      </c>
      <c r="J456" s="1" t="s">
        <v>25</v>
      </c>
      <c r="K456" s="1" t="s">
        <v>26</v>
      </c>
      <c r="L456" s="1">
        <v>421.0</v>
      </c>
      <c r="M456" s="1" t="s">
        <v>1145</v>
      </c>
      <c r="N456" s="1">
        <v>33.0</v>
      </c>
      <c r="O456" s="1" t="s">
        <v>28</v>
      </c>
      <c r="P456" s="1">
        <v>2.43301454E8</v>
      </c>
      <c r="Q456" s="1" t="s">
        <v>94</v>
      </c>
      <c r="R456" s="1" t="s">
        <v>30</v>
      </c>
      <c r="S456">
        <f t="shared" si="1"/>
        <v>33421</v>
      </c>
      <c r="T456">
        <f t="array" ref="T456">iferror(index('Copie de Feuille tri Amandine'!B:C,MATCH(S456,'Copie de Feuille tri Amandine'!B:B,0),2),"")</f>
        <v>440</v>
      </c>
    </row>
    <row r="457">
      <c r="A457" s="1" t="s">
        <v>1146</v>
      </c>
      <c r="B457" s="1" t="s">
        <v>134</v>
      </c>
      <c r="C457" s="1" t="s">
        <v>22</v>
      </c>
      <c r="D457" s="2">
        <v>17297.0</v>
      </c>
      <c r="E457" s="1">
        <v>163.0</v>
      </c>
      <c r="F457" s="1" t="s">
        <v>58</v>
      </c>
      <c r="G457" s="2">
        <v>41721.0</v>
      </c>
      <c r="H457" s="1" t="s">
        <v>24</v>
      </c>
      <c r="I457" s="2">
        <v>41721.0</v>
      </c>
      <c r="J457" s="1" t="s">
        <v>25</v>
      </c>
      <c r="K457" s="1" t="s">
        <v>26</v>
      </c>
      <c r="L457" s="1">
        <v>458.0</v>
      </c>
      <c r="M457" s="1" t="s">
        <v>1147</v>
      </c>
      <c r="N457" s="1">
        <v>33.0</v>
      </c>
      <c r="O457" s="1" t="s">
        <v>28</v>
      </c>
      <c r="P457" s="1">
        <v>2.00023794E8</v>
      </c>
      <c r="Q457" s="1" t="s">
        <v>243</v>
      </c>
      <c r="R457" s="1" t="s">
        <v>30</v>
      </c>
      <c r="S457">
        <f t="shared" si="1"/>
        <v>33458</v>
      </c>
      <c r="T457">
        <f t="array" ref="T457">iferror(index('Copie de Feuille tri Amandine'!B:C,MATCH(S457,'Copie de Feuille tri Amandine'!B:B,0),2),"")</f>
        <v>935</v>
      </c>
    </row>
    <row r="458">
      <c r="A458" s="1" t="s">
        <v>1148</v>
      </c>
      <c r="B458" s="1" t="s">
        <v>345</v>
      </c>
      <c r="C458" s="1" t="s">
        <v>22</v>
      </c>
      <c r="D458" s="2">
        <v>26321.0</v>
      </c>
      <c r="E458" s="1">
        <v>147.0</v>
      </c>
      <c r="F458" s="1" t="s">
        <v>38</v>
      </c>
      <c r="G458" s="2">
        <v>41721.0</v>
      </c>
      <c r="H458" s="1" t="s">
        <v>24</v>
      </c>
      <c r="I458" s="2">
        <v>41721.0</v>
      </c>
      <c r="J458" s="1" t="s">
        <v>25</v>
      </c>
      <c r="K458" s="1" t="s">
        <v>26</v>
      </c>
      <c r="L458" s="1">
        <v>463.0</v>
      </c>
      <c r="M458" s="1" t="s">
        <v>1149</v>
      </c>
      <c r="N458" s="1">
        <v>33.0</v>
      </c>
      <c r="O458" s="1" t="s">
        <v>28</v>
      </c>
      <c r="P458" s="1">
        <v>2.00044394E8</v>
      </c>
      <c r="Q458" s="1" t="s">
        <v>35</v>
      </c>
      <c r="R458" s="1" t="s">
        <v>30</v>
      </c>
      <c r="S458">
        <f t="shared" si="1"/>
        <v>33463</v>
      </c>
      <c r="T458">
        <f t="array" ref="T458">iferror(index('Copie de Feuille tri Amandine'!B:C,MATCH(S458,'Copie de Feuille tri Amandine'!B:B,0),2),"")</f>
        <v>1321</v>
      </c>
    </row>
    <row r="459">
      <c r="A459" s="1" t="s">
        <v>1150</v>
      </c>
      <c r="B459" s="1" t="s">
        <v>443</v>
      </c>
      <c r="C459" s="1" t="s">
        <v>53</v>
      </c>
      <c r="D459" s="2">
        <v>23651.0</v>
      </c>
      <c r="E459" s="1">
        <v>152.0</v>
      </c>
      <c r="F459" s="1" t="s">
        <v>176</v>
      </c>
      <c r="G459" s="2">
        <v>41721.0</v>
      </c>
      <c r="H459" s="1" t="s">
        <v>24</v>
      </c>
      <c r="I459" s="2">
        <v>41721.0</v>
      </c>
      <c r="J459" s="1" t="s">
        <v>25</v>
      </c>
      <c r="K459" s="1" t="s">
        <v>26</v>
      </c>
      <c r="L459" s="1">
        <v>499.0</v>
      </c>
      <c r="M459" s="1" t="s">
        <v>1151</v>
      </c>
      <c r="N459" s="1">
        <v>33.0</v>
      </c>
      <c r="O459" s="1" t="s">
        <v>28</v>
      </c>
      <c r="P459" s="1">
        <v>2.43301454E8</v>
      </c>
      <c r="Q459" s="1" t="s">
        <v>94</v>
      </c>
      <c r="R459" s="1" t="s">
        <v>30</v>
      </c>
      <c r="S459">
        <f t="shared" si="1"/>
        <v>33499</v>
      </c>
      <c r="T459" t="str">
        <f t="array" ref="T459">iferror(index('Copie de Feuille tri Amandine'!B:C,MATCH(S459,'Copie de Feuille tri Amandine'!B:B,0),2),"")</f>
        <v/>
      </c>
    </row>
    <row r="460">
      <c r="A460" s="1" t="s">
        <v>1152</v>
      </c>
      <c r="B460" s="1" t="s">
        <v>165</v>
      </c>
      <c r="C460" s="1" t="s">
        <v>22</v>
      </c>
      <c r="D460" s="2">
        <v>20307.0</v>
      </c>
      <c r="E460" s="1">
        <v>105.0</v>
      </c>
      <c r="F460" s="1" t="s">
        <v>23</v>
      </c>
      <c r="G460" s="2">
        <v>41721.0</v>
      </c>
      <c r="H460" s="1" t="s">
        <v>24</v>
      </c>
      <c r="I460" s="2">
        <v>41721.0</v>
      </c>
      <c r="J460" s="1" t="s">
        <v>25</v>
      </c>
      <c r="K460" s="1" t="s">
        <v>26</v>
      </c>
      <c r="L460" s="1">
        <v>505.0</v>
      </c>
      <c r="M460" s="1" t="s">
        <v>1153</v>
      </c>
      <c r="N460" s="1">
        <v>33.0</v>
      </c>
      <c r="O460" s="1" t="s">
        <v>28</v>
      </c>
      <c r="P460" s="1">
        <v>2.43301215E8</v>
      </c>
      <c r="Q460" s="1" t="s">
        <v>136</v>
      </c>
      <c r="R460" s="1" t="s">
        <v>30</v>
      </c>
      <c r="S460">
        <f t="shared" si="1"/>
        <v>33505</v>
      </c>
      <c r="T460" t="str">
        <f t="array" ref="T460">iferror(index('Copie de Feuille tri Amandine'!B:C,MATCH(S460,'Copie de Feuille tri Amandine'!B:B,0),2),"")</f>
        <v/>
      </c>
    </row>
    <row r="461">
      <c r="A461" s="1" t="s">
        <v>1154</v>
      </c>
      <c r="B461" s="1" t="s">
        <v>229</v>
      </c>
      <c r="C461" s="1" t="s">
        <v>22</v>
      </c>
      <c r="D461" s="2">
        <v>21697.0</v>
      </c>
      <c r="E461" s="1">
        <v>118.0</v>
      </c>
      <c r="F461" s="1" t="s">
        <v>101</v>
      </c>
      <c r="G461" s="2">
        <v>41721.0</v>
      </c>
      <c r="H461" s="1" t="s">
        <v>24</v>
      </c>
      <c r="I461" s="2">
        <v>41721.0</v>
      </c>
      <c r="J461" s="1" t="s">
        <v>25</v>
      </c>
      <c r="K461" s="1" t="s">
        <v>26</v>
      </c>
      <c r="L461" s="1">
        <v>533.0</v>
      </c>
      <c r="M461" s="1" t="s">
        <v>1155</v>
      </c>
      <c r="N461" s="1">
        <v>33.0</v>
      </c>
      <c r="O461" s="1" t="s">
        <v>28</v>
      </c>
      <c r="P461" s="1">
        <v>2.00043974E8</v>
      </c>
      <c r="Q461" s="1" t="s">
        <v>78</v>
      </c>
      <c r="R461" s="1" t="s">
        <v>30</v>
      </c>
      <c r="S461">
        <f t="shared" si="1"/>
        <v>33533</v>
      </c>
      <c r="T461">
        <f t="array" ref="T461">iferror(index('Copie de Feuille tri Amandine'!B:C,MATCH(S461,'Copie de Feuille tri Amandine'!B:B,0),2),"")</f>
        <v>2640</v>
      </c>
    </row>
    <row r="462">
      <c r="A462" s="1" t="s">
        <v>1156</v>
      </c>
      <c r="B462" s="1" t="s">
        <v>692</v>
      </c>
      <c r="C462" s="1" t="s">
        <v>22</v>
      </c>
      <c r="D462" s="2">
        <v>18374.0</v>
      </c>
      <c r="E462" s="1">
        <v>161.0</v>
      </c>
      <c r="F462" s="1" t="s">
        <v>72</v>
      </c>
      <c r="G462" s="2">
        <v>43478.0</v>
      </c>
      <c r="H462" s="1" t="s">
        <v>24</v>
      </c>
      <c r="I462" s="2">
        <v>43483.0</v>
      </c>
      <c r="J462" s="1" t="s">
        <v>25</v>
      </c>
      <c r="K462" s="1" t="s">
        <v>26</v>
      </c>
      <c r="L462" s="1">
        <v>184.0</v>
      </c>
      <c r="M462" s="1" t="s">
        <v>1157</v>
      </c>
      <c r="N462" s="1">
        <v>33.0</v>
      </c>
      <c r="O462" s="1" t="s">
        <v>28</v>
      </c>
      <c r="P462" s="1">
        <v>2.00023794E8</v>
      </c>
      <c r="Q462" s="1" t="s">
        <v>243</v>
      </c>
      <c r="R462" s="1" t="s">
        <v>30</v>
      </c>
      <c r="S462">
        <f t="shared" si="1"/>
        <v>33184</v>
      </c>
      <c r="T462" t="str">
        <f t="array" ref="T462">iferror(index('Copie de Feuille tri Amandine'!B:C,MATCH(S462,'Copie de Feuille tri Amandine'!B:B,0),2),"")</f>
        <v/>
      </c>
    </row>
    <row r="463">
      <c r="A463" s="1" t="s">
        <v>1158</v>
      </c>
      <c r="B463" s="1" t="s">
        <v>1159</v>
      </c>
      <c r="C463" s="1" t="s">
        <v>22</v>
      </c>
      <c r="D463" s="2">
        <v>26453.0</v>
      </c>
      <c r="E463" s="1">
        <v>120.0</v>
      </c>
      <c r="F463" s="1" t="s">
        <v>241</v>
      </c>
      <c r="G463" s="2">
        <v>41721.0</v>
      </c>
      <c r="H463" s="1" t="s">
        <v>24</v>
      </c>
      <c r="I463" s="2">
        <v>41733.0</v>
      </c>
      <c r="J463" s="1" t="s">
        <v>25</v>
      </c>
      <c r="K463" s="1" t="s">
        <v>26</v>
      </c>
      <c r="L463" s="1">
        <v>211.0</v>
      </c>
      <c r="M463" s="1" t="s">
        <v>1160</v>
      </c>
      <c r="N463" s="1">
        <v>33.0</v>
      </c>
      <c r="O463" s="1" t="s">
        <v>28</v>
      </c>
      <c r="P463" s="1">
        <v>2.43301447E8</v>
      </c>
      <c r="Q463" s="1" t="s">
        <v>45</v>
      </c>
      <c r="R463" s="1" t="s">
        <v>30</v>
      </c>
      <c r="S463">
        <f t="shared" si="1"/>
        <v>33211</v>
      </c>
      <c r="T463" t="str">
        <f t="array" ref="T463">iferror(index('Copie de Feuille tri Amandine'!B:C,MATCH(S463,'Copie de Feuille tri Amandine'!B:B,0),2),"")</f>
        <v/>
      </c>
    </row>
    <row r="464">
      <c r="A464" s="1" t="s">
        <v>1161</v>
      </c>
      <c r="B464" s="1" t="s">
        <v>365</v>
      </c>
      <c r="C464" s="1" t="s">
        <v>22</v>
      </c>
      <c r="D464" s="2">
        <v>19872.0</v>
      </c>
      <c r="E464" s="1">
        <v>101.0</v>
      </c>
      <c r="F464" s="1" t="s">
        <v>33</v>
      </c>
      <c r="G464" s="2">
        <v>41721.0</v>
      </c>
      <c r="H464" s="1" t="s">
        <v>24</v>
      </c>
      <c r="I464" s="2">
        <v>41721.0</v>
      </c>
      <c r="J464" s="1" t="s">
        <v>25</v>
      </c>
      <c r="K464" s="1" t="s">
        <v>26</v>
      </c>
      <c r="L464" s="1">
        <v>242.0</v>
      </c>
      <c r="M464" s="1" t="s">
        <v>1162</v>
      </c>
      <c r="N464" s="1">
        <v>33.0</v>
      </c>
      <c r="O464" s="1" t="s">
        <v>28</v>
      </c>
      <c r="P464" s="1">
        <v>2.43301371E8</v>
      </c>
      <c r="Q464" s="1" t="s">
        <v>271</v>
      </c>
      <c r="R464" s="1" t="s">
        <v>30</v>
      </c>
      <c r="S464">
        <f t="shared" si="1"/>
        <v>33242</v>
      </c>
      <c r="T464" t="str">
        <f t="array" ref="T464">iferror(index('Copie de Feuille tri Amandine'!B:C,MATCH(S464,'Copie de Feuille tri Amandine'!B:B,0),2),"")</f>
        <v/>
      </c>
    </row>
    <row r="465">
      <c r="A465" s="1" t="s">
        <v>1163</v>
      </c>
      <c r="B465" s="1" t="s">
        <v>189</v>
      </c>
      <c r="C465" s="1" t="s">
        <v>22</v>
      </c>
      <c r="D465" s="2">
        <v>18672.0</v>
      </c>
      <c r="E465" s="1">
        <v>164.0</v>
      </c>
      <c r="F465" s="1" t="s">
        <v>183</v>
      </c>
      <c r="G465" s="2">
        <v>41721.0</v>
      </c>
      <c r="H465" s="1" t="s">
        <v>24</v>
      </c>
      <c r="I465" s="2">
        <v>41721.0</v>
      </c>
      <c r="J465" s="1" t="s">
        <v>25</v>
      </c>
      <c r="K465" s="1" t="s">
        <v>26</v>
      </c>
      <c r="L465" s="1">
        <v>159.0</v>
      </c>
      <c r="M465" s="1" t="s">
        <v>1164</v>
      </c>
      <c r="N465" s="1">
        <v>33.0</v>
      </c>
      <c r="O465" s="1" t="s">
        <v>28</v>
      </c>
      <c r="P465" s="1">
        <v>2.43300811E8</v>
      </c>
      <c r="Q465" s="1" t="s">
        <v>201</v>
      </c>
      <c r="R465" s="1" t="s">
        <v>30</v>
      </c>
      <c r="S465">
        <f t="shared" si="1"/>
        <v>33159</v>
      </c>
      <c r="T465" t="str">
        <f t="array" ref="T465">iferror(index('Copie de Feuille tri Amandine'!B:C,MATCH(S465,'Copie de Feuille tri Amandine'!B:B,0),2),"")</f>
        <v/>
      </c>
    </row>
    <row r="466">
      <c r="A466" s="1" t="s">
        <v>1165</v>
      </c>
      <c r="B466" s="1" t="s">
        <v>168</v>
      </c>
      <c r="C466" s="1" t="s">
        <v>22</v>
      </c>
      <c r="D466" s="2">
        <v>18853.0</v>
      </c>
      <c r="E466" s="1">
        <v>143.0</v>
      </c>
      <c r="F466" s="1" t="s">
        <v>194</v>
      </c>
      <c r="G466" s="2">
        <v>41721.0</v>
      </c>
      <c r="H466" s="1" t="s">
        <v>24</v>
      </c>
      <c r="I466" s="2">
        <v>41728.0</v>
      </c>
      <c r="J466" s="1" t="s">
        <v>25</v>
      </c>
      <c r="K466" s="1" t="s">
        <v>26</v>
      </c>
      <c r="L466" s="1">
        <v>24.0</v>
      </c>
      <c r="M466" s="1" t="s">
        <v>1166</v>
      </c>
      <c r="N466" s="1">
        <v>33.0</v>
      </c>
      <c r="O466" s="1" t="s">
        <v>28</v>
      </c>
      <c r="P466" s="1">
        <v>2.00044394E8</v>
      </c>
      <c r="Q466" s="1" t="s">
        <v>35</v>
      </c>
      <c r="R466" s="1" t="s">
        <v>30</v>
      </c>
      <c r="S466">
        <f t="shared" si="1"/>
        <v>33024</v>
      </c>
      <c r="T466" t="str">
        <f t="array" ref="T466">iferror(index('Copie de Feuille tri Amandine'!B:C,MATCH(S466,'Copie de Feuille tri Amandine'!B:B,0),2),"")</f>
        <v/>
      </c>
    </row>
    <row r="467">
      <c r="A467" s="1" t="s">
        <v>1167</v>
      </c>
      <c r="B467" s="1" t="s">
        <v>1168</v>
      </c>
      <c r="C467" s="1" t="s">
        <v>22</v>
      </c>
      <c r="D467" s="2">
        <v>20590.0</v>
      </c>
      <c r="E467" s="1">
        <v>118.0</v>
      </c>
      <c r="F467" s="1" t="s">
        <v>101</v>
      </c>
      <c r="G467" s="2">
        <v>41721.0</v>
      </c>
      <c r="H467" s="1" t="s">
        <v>24</v>
      </c>
      <c r="I467" s="2">
        <v>41721.0</v>
      </c>
      <c r="J467" s="1" t="s">
        <v>25</v>
      </c>
      <c r="K467" s="1" t="s">
        <v>26</v>
      </c>
      <c r="L467" s="1">
        <v>85.0</v>
      </c>
      <c r="M467" s="1" t="s">
        <v>1169</v>
      </c>
      <c r="N467" s="1">
        <v>33.0</v>
      </c>
      <c r="O467" s="1" t="s">
        <v>28</v>
      </c>
      <c r="P467" s="1">
        <v>2.43301439E8</v>
      </c>
      <c r="Q467" s="1" t="s">
        <v>115</v>
      </c>
      <c r="R467" s="1" t="s">
        <v>30</v>
      </c>
      <c r="S467">
        <f t="shared" si="1"/>
        <v>33085</v>
      </c>
      <c r="T467" t="str">
        <f t="array" ref="T467">iferror(index('Copie de Feuille tri Amandine'!B:C,MATCH(S467,'Copie de Feuille tri Amandine'!B:B,0),2),"")</f>
        <v/>
      </c>
    </row>
    <row r="468">
      <c r="A468" s="1" t="s">
        <v>1170</v>
      </c>
      <c r="B468" s="1" t="s">
        <v>140</v>
      </c>
      <c r="C468" s="1" t="s">
        <v>22</v>
      </c>
      <c r="D468" s="2">
        <v>26700.0</v>
      </c>
      <c r="E468" s="1">
        <v>105.0</v>
      </c>
      <c r="F468" s="1" t="s">
        <v>23</v>
      </c>
      <c r="G468" s="2">
        <v>41728.0</v>
      </c>
      <c r="H468" s="1" t="s">
        <v>24</v>
      </c>
      <c r="I468" s="2">
        <v>41728.0</v>
      </c>
      <c r="J468" s="1" t="s">
        <v>25</v>
      </c>
      <c r="K468" s="1" t="s">
        <v>26</v>
      </c>
      <c r="L468" s="1">
        <v>138.0</v>
      </c>
      <c r="M468" s="1" t="s">
        <v>1171</v>
      </c>
      <c r="N468" s="1">
        <v>33.0</v>
      </c>
      <c r="O468" s="1" t="s">
        <v>28</v>
      </c>
      <c r="P468" s="1">
        <v>2.00070092E8</v>
      </c>
      <c r="Q468" s="1" t="s">
        <v>50</v>
      </c>
      <c r="R468" s="1" t="s">
        <v>30</v>
      </c>
      <c r="S468">
        <f t="shared" si="1"/>
        <v>33138</v>
      </c>
      <c r="T468" t="str">
        <f t="array" ref="T468">iferror(index('Copie de Feuille tri Amandine'!B:C,MATCH(S468,'Copie de Feuille tri Amandine'!B:B,0),2),"")</f>
        <v/>
      </c>
    </row>
    <row r="469">
      <c r="A469" s="1" t="s">
        <v>1172</v>
      </c>
      <c r="B469" s="1" t="s">
        <v>237</v>
      </c>
      <c r="C469" s="1" t="s">
        <v>22</v>
      </c>
      <c r="D469" s="2">
        <v>17559.0</v>
      </c>
      <c r="E469" s="1">
        <v>159.0</v>
      </c>
      <c r="F469" s="1" t="s">
        <v>130</v>
      </c>
      <c r="G469" s="2">
        <v>41721.0</v>
      </c>
      <c r="H469" s="1" t="s">
        <v>24</v>
      </c>
      <c r="I469" s="2">
        <v>41728.0</v>
      </c>
      <c r="J469" s="1" t="s">
        <v>25</v>
      </c>
      <c r="K469" s="1" t="s">
        <v>26</v>
      </c>
      <c r="L469" s="1">
        <v>44.0</v>
      </c>
      <c r="M469" s="1" t="s">
        <v>1173</v>
      </c>
      <c r="N469" s="1">
        <v>33.0</v>
      </c>
      <c r="O469" s="1" t="s">
        <v>28</v>
      </c>
      <c r="P469" s="1">
        <v>2.00069599E8</v>
      </c>
      <c r="Q469" s="1" t="s">
        <v>60</v>
      </c>
      <c r="R469" s="1" t="s">
        <v>30</v>
      </c>
      <c r="S469">
        <f t="shared" si="1"/>
        <v>33044</v>
      </c>
      <c r="T469" t="str">
        <f t="array" ref="T469">iferror(index('Copie de Feuille tri Amandine'!B:C,MATCH(S469,'Copie de Feuille tri Amandine'!B:B,0),2),"")</f>
        <v/>
      </c>
    </row>
    <row r="470">
      <c r="A470" s="1" t="s">
        <v>1174</v>
      </c>
      <c r="B470" s="1" t="s">
        <v>148</v>
      </c>
      <c r="C470" s="1" t="s">
        <v>22</v>
      </c>
      <c r="D470" s="2">
        <v>19163.0</v>
      </c>
      <c r="E470" s="1">
        <v>158.0</v>
      </c>
      <c r="F470" s="1" t="s">
        <v>274</v>
      </c>
      <c r="G470" s="2">
        <v>41721.0</v>
      </c>
      <c r="H470" s="1" t="s">
        <v>24</v>
      </c>
      <c r="I470" s="2">
        <v>41721.0</v>
      </c>
      <c r="J470" s="1" t="s">
        <v>25</v>
      </c>
      <c r="K470" s="1" t="s">
        <v>26</v>
      </c>
      <c r="L470" s="1">
        <v>98.0</v>
      </c>
      <c r="M470" s="1" t="s">
        <v>1175</v>
      </c>
      <c r="N470" s="1">
        <v>33.0</v>
      </c>
      <c r="O470" s="1" t="s">
        <v>28</v>
      </c>
      <c r="P470" s="1">
        <v>2.00069581E8</v>
      </c>
      <c r="Q470" s="1" t="s">
        <v>82</v>
      </c>
      <c r="R470" s="1" t="s">
        <v>30</v>
      </c>
      <c r="S470">
        <f t="shared" si="1"/>
        <v>33098</v>
      </c>
      <c r="T470" t="str">
        <f t="array" ref="T470">iferror(index('Copie de Feuille tri Amandine'!B:C,MATCH(S470,'Copie de Feuille tri Amandine'!B:B,0),2),"")</f>
        <v/>
      </c>
    </row>
    <row r="471">
      <c r="A471" s="1" t="s">
        <v>210</v>
      </c>
      <c r="B471" s="1" t="s">
        <v>42</v>
      </c>
      <c r="C471" s="1" t="s">
        <v>22</v>
      </c>
      <c r="D471" s="2">
        <v>26418.0</v>
      </c>
      <c r="E471" s="1">
        <v>105.0</v>
      </c>
      <c r="F471" s="1" t="s">
        <v>23</v>
      </c>
      <c r="G471" s="2">
        <v>41721.0</v>
      </c>
      <c r="H471" s="1" t="s">
        <v>24</v>
      </c>
      <c r="I471" s="2">
        <v>41721.0</v>
      </c>
      <c r="J471" s="1" t="s">
        <v>25</v>
      </c>
      <c r="K471" s="1" t="s">
        <v>26</v>
      </c>
      <c r="L471" s="1">
        <v>132.0</v>
      </c>
      <c r="M471" s="1" t="s">
        <v>1176</v>
      </c>
      <c r="N471" s="1">
        <v>33.0</v>
      </c>
      <c r="O471" s="1" t="s">
        <v>28</v>
      </c>
      <c r="P471" s="1">
        <v>2.00023794E8</v>
      </c>
      <c r="Q471" s="1" t="s">
        <v>243</v>
      </c>
      <c r="R471" s="1" t="s">
        <v>30</v>
      </c>
      <c r="S471">
        <f t="shared" si="1"/>
        <v>33132</v>
      </c>
      <c r="T471" t="str">
        <f t="array" ref="T471">iferror(index('Copie de Feuille tri Amandine'!B:C,MATCH(S471,'Copie de Feuille tri Amandine'!B:B,0),2),"")</f>
        <v/>
      </c>
    </row>
    <row r="472">
      <c r="A472" s="1" t="s">
        <v>1177</v>
      </c>
      <c r="B472" s="1" t="s">
        <v>342</v>
      </c>
      <c r="C472" s="1" t="s">
        <v>22</v>
      </c>
      <c r="D472" s="2">
        <v>17462.0</v>
      </c>
      <c r="E472" s="1">
        <v>161.0</v>
      </c>
      <c r="F472" s="1" t="s">
        <v>72</v>
      </c>
      <c r="G472" s="2">
        <v>41721.0</v>
      </c>
      <c r="H472" s="1" t="s">
        <v>24</v>
      </c>
      <c r="I472" s="2">
        <v>41727.0</v>
      </c>
      <c r="J472" s="1" t="s">
        <v>25</v>
      </c>
      <c r="K472" s="1" t="s">
        <v>26</v>
      </c>
      <c r="L472" s="1">
        <v>234.0</v>
      </c>
      <c r="M472" s="1" t="s">
        <v>1178</v>
      </c>
      <c r="N472" s="1">
        <v>33.0</v>
      </c>
      <c r="O472" s="1" t="s">
        <v>28</v>
      </c>
      <c r="P472" s="1">
        <v>2.43301439E8</v>
      </c>
      <c r="Q472" s="1" t="s">
        <v>115</v>
      </c>
      <c r="R472" s="1" t="s">
        <v>30</v>
      </c>
      <c r="S472">
        <f t="shared" si="1"/>
        <v>33234</v>
      </c>
      <c r="T472" t="str">
        <f t="array" ref="T472">iferror(index('Copie de Feuille tri Amandine'!B:C,MATCH(S472,'Copie de Feuille tri Amandine'!B:B,0),2),"")</f>
        <v/>
      </c>
    </row>
    <row r="473">
      <c r="A473" s="1" t="s">
        <v>1179</v>
      </c>
      <c r="B473" s="1" t="s">
        <v>175</v>
      </c>
      <c r="C473" s="1" t="s">
        <v>22</v>
      </c>
      <c r="D473" s="2">
        <v>15215.0</v>
      </c>
      <c r="E473" s="1">
        <v>157.0</v>
      </c>
      <c r="F473" s="1" t="s">
        <v>97</v>
      </c>
      <c r="G473" s="2">
        <v>41721.0</v>
      </c>
      <c r="H473" s="1" t="s">
        <v>24</v>
      </c>
      <c r="I473" s="2">
        <v>41721.0</v>
      </c>
      <c r="J473" s="1" t="s">
        <v>25</v>
      </c>
      <c r="K473" s="1" t="s">
        <v>26</v>
      </c>
      <c r="L473" s="1">
        <v>236.0</v>
      </c>
      <c r="M473" s="1" t="s">
        <v>1180</v>
      </c>
      <c r="N473" s="1">
        <v>33.0</v>
      </c>
      <c r="O473" s="1" t="s">
        <v>28</v>
      </c>
      <c r="P473" s="1">
        <v>2.43301504E8</v>
      </c>
      <c r="Q473" s="1" t="s">
        <v>29</v>
      </c>
      <c r="R473" s="1" t="s">
        <v>30</v>
      </c>
      <c r="S473">
        <f t="shared" si="1"/>
        <v>33236</v>
      </c>
      <c r="T473" t="str">
        <f t="array" ref="T473">iferror(index('Copie de Feuille tri Amandine'!B:C,MATCH(S473,'Copie de Feuille tri Amandine'!B:B,0),2),"")</f>
        <v/>
      </c>
    </row>
    <row r="474">
      <c r="A474" s="1" t="s">
        <v>1181</v>
      </c>
      <c r="B474" s="1" t="s">
        <v>1182</v>
      </c>
      <c r="C474" s="1" t="s">
        <v>53</v>
      </c>
      <c r="D474" s="2">
        <v>18550.0</v>
      </c>
      <c r="E474" s="1">
        <v>161.0</v>
      </c>
      <c r="F474" s="1" t="s">
        <v>72</v>
      </c>
      <c r="G474" s="2">
        <v>41721.0</v>
      </c>
      <c r="H474" s="1" t="s">
        <v>24</v>
      </c>
      <c r="I474" s="2">
        <v>41721.0</v>
      </c>
      <c r="J474" s="1" t="s">
        <v>25</v>
      </c>
      <c r="K474" s="1" t="s">
        <v>26</v>
      </c>
      <c r="L474" s="1">
        <v>158.0</v>
      </c>
      <c r="M474" s="1" t="s">
        <v>1183</v>
      </c>
      <c r="N474" s="1">
        <v>33.0</v>
      </c>
      <c r="O474" s="1" t="s">
        <v>28</v>
      </c>
      <c r="P474" s="1">
        <v>2.00044394E8</v>
      </c>
      <c r="Q474" s="1" t="s">
        <v>35</v>
      </c>
      <c r="R474" s="1" t="s">
        <v>30</v>
      </c>
      <c r="S474">
        <f t="shared" si="1"/>
        <v>33158</v>
      </c>
      <c r="T474" t="str">
        <f t="array" ref="T474">iferror(index('Copie de Feuille tri Amandine'!B:C,MATCH(S474,'Copie de Feuille tri Amandine'!B:B,0),2),"")</f>
        <v/>
      </c>
    </row>
    <row r="475">
      <c r="A475" s="1" t="s">
        <v>1184</v>
      </c>
      <c r="B475" s="1" t="s">
        <v>1185</v>
      </c>
      <c r="C475" s="1" t="s">
        <v>22</v>
      </c>
      <c r="D475" s="2">
        <v>15907.0</v>
      </c>
      <c r="E475" s="1">
        <v>159.0</v>
      </c>
      <c r="F475" s="1" t="s">
        <v>130</v>
      </c>
      <c r="G475" s="2">
        <v>41721.0</v>
      </c>
      <c r="H475" s="1" t="s">
        <v>24</v>
      </c>
      <c r="I475" s="2">
        <v>41721.0</v>
      </c>
      <c r="J475" s="1" t="s">
        <v>25</v>
      </c>
      <c r="K475" s="1" t="s">
        <v>26</v>
      </c>
      <c r="L475" s="1">
        <v>387.0</v>
      </c>
      <c r="M475" s="1" t="s">
        <v>1186</v>
      </c>
      <c r="N475" s="1">
        <v>33.0</v>
      </c>
      <c r="O475" s="1" t="s">
        <v>28</v>
      </c>
      <c r="P475" s="1">
        <v>2.00070092E8</v>
      </c>
      <c r="Q475" s="1" t="s">
        <v>50</v>
      </c>
      <c r="R475" s="1" t="s">
        <v>30</v>
      </c>
      <c r="S475">
        <f t="shared" si="1"/>
        <v>33387</v>
      </c>
      <c r="T475">
        <f t="array" ref="T475">iferror(index('Copie de Feuille tri Amandine'!B:C,MATCH(S475,'Copie de Feuille tri Amandine'!B:B,0),2),"")</f>
        <v>1446</v>
      </c>
    </row>
    <row r="476">
      <c r="A476" s="1" t="s">
        <v>1187</v>
      </c>
      <c r="B476" s="1" t="s">
        <v>189</v>
      </c>
      <c r="C476" s="1" t="s">
        <v>22</v>
      </c>
      <c r="D476" s="2">
        <v>19891.0</v>
      </c>
      <c r="E476" s="1">
        <v>101.0</v>
      </c>
      <c r="F476" s="1" t="s">
        <v>33</v>
      </c>
      <c r="G476" s="2">
        <v>41721.0</v>
      </c>
      <c r="H476" s="1" t="s">
        <v>24</v>
      </c>
      <c r="I476" s="2">
        <v>41721.0</v>
      </c>
      <c r="J476" s="1" t="s">
        <v>25</v>
      </c>
      <c r="K476" s="1" t="s">
        <v>26</v>
      </c>
      <c r="L476" s="1">
        <v>399.0</v>
      </c>
      <c r="M476" s="1" t="s">
        <v>1188</v>
      </c>
      <c r="N476" s="1">
        <v>33.0</v>
      </c>
      <c r="O476" s="1" t="s">
        <v>28</v>
      </c>
      <c r="P476" s="1">
        <v>2.00069599E8</v>
      </c>
      <c r="Q476" s="1" t="s">
        <v>60</v>
      </c>
      <c r="R476" s="1" t="s">
        <v>30</v>
      </c>
      <c r="S476">
        <f t="shared" si="1"/>
        <v>33399</v>
      </c>
      <c r="T476">
        <f t="array" ref="T476">iferror(index('Copie de Feuille tri Amandine'!B:C,MATCH(S476,'Copie de Feuille tri Amandine'!B:B,0),2),"")</f>
        <v>288</v>
      </c>
    </row>
    <row r="477">
      <c r="A477" s="1" t="s">
        <v>1189</v>
      </c>
      <c r="B477" s="1" t="s">
        <v>1065</v>
      </c>
      <c r="C477" s="1" t="s">
        <v>22</v>
      </c>
      <c r="D477" s="2">
        <v>23236.0</v>
      </c>
      <c r="E477" s="1">
        <v>101.0</v>
      </c>
      <c r="F477" s="1" t="s">
        <v>33</v>
      </c>
      <c r="G477" s="2">
        <v>41721.0</v>
      </c>
      <c r="H477" s="1" t="s">
        <v>24</v>
      </c>
      <c r="I477" s="2">
        <v>41721.0</v>
      </c>
      <c r="J477" s="1" t="s">
        <v>25</v>
      </c>
      <c r="K477" s="1" t="s">
        <v>26</v>
      </c>
      <c r="L477" s="1">
        <v>409.0</v>
      </c>
      <c r="M477" s="1" t="s">
        <v>1190</v>
      </c>
      <c r="N477" s="1">
        <v>33.0</v>
      </c>
      <c r="O477" s="1" t="s">
        <v>28</v>
      </c>
      <c r="P477" s="1">
        <v>2.00069599E8</v>
      </c>
      <c r="Q477" s="1" t="s">
        <v>60</v>
      </c>
      <c r="R477" s="1" t="s">
        <v>30</v>
      </c>
      <c r="S477">
        <f t="shared" si="1"/>
        <v>33409</v>
      </c>
      <c r="T477">
        <f t="array" ref="T477">iferror(index('Copie de Feuille tri Amandine'!B:C,MATCH(S477,'Copie de Feuille tri Amandine'!B:B,0),2),"")</f>
        <v>89</v>
      </c>
    </row>
    <row r="478">
      <c r="A478" s="1" t="s">
        <v>1191</v>
      </c>
      <c r="B478" s="1" t="s">
        <v>1192</v>
      </c>
      <c r="C478" s="1" t="s">
        <v>22</v>
      </c>
      <c r="D478" s="2">
        <v>28398.0</v>
      </c>
      <c r="E478" s="1">
        <v>119.0</v>
      </c>
      <c r="F478" s="1" t="s">
        <v>109</v>
      </c>
      <c r="G478" s="2">
        <v>41721.0</v>
      </c>
      <c r="H478" s="1" t="s">
        <v>24</v>
      </c>
      <c r="I478" s="2">
        <v>41721.0</v>
      </c>
      <c r="J478" s="1" t="s">
        <v>25</v>
      </c>
      <c r="K478" s="1" t="s">
        <v>26</v>
      </c>
      <c r="L478" s="1">
        <v>427.0</v>
      </c>
      <c r="M478" s="1" t="s">
        <v>1193</v>
      </c>
      <c r="N478" s="1">
        <v>33.0</v>
      </c>
      <c r="O478" s="1" t="s">
        <v>28</v>
      </c>
      <c r="P478" s="1">
        <v>2.00069599E8</v>
      </c>
      <c r="Q478" s="1" t="s">
        <v>60</v>
      </c>
      <c r="R478" s="1" t="s">
        <v>30</v>
      </c>
      <c r="S478">
        <f t="shared" si="1"/>
        <v>33427</v>
      </c>
      <c r="T478">
        <f t="array" ref="T478">iferror(index('Copie de Feuille tri Amandine'!B:C,MATCH(S478,'Copie de Feuille tri Amandine'!B:B,0),2),"")</f>
        <v>250</v>
      </c>
    </row>
    <row r="479">
      <c r="A479" s="1" t="s">
        <v>1194</v>
      </c>
      <c r="B479" s="1" t="s">
        <v>1195</v>
      </c>
      <c r="C479" s="1" t="s">
        <v>53</v>
      </c>
      <c r="D479" s="2">
        <v>26220.0</v>
      </c>
      <c r="E479" s="1">
        <v>123.0</v>
      </c>
      <c r="F479" s="1" t="s">
        <v>366</v>
      </c>
      <c r="G479" s="2">
        <v>42806.0</v>
      </c>
      <c r="H479" s="1" t="s">
        <v>24</v>
      </c>
      <c r="I479" s="2">
        <v>42959.0</v>
      </c>
      <c r="J479" s="1" t="s">
        <v>25</v>
      </c>
      <c r="K479" s="1" t="s">
        <v>26</v>
      </c>
      <c r="L479" s="1">
        <v>454.0</v>
      </c>
      <c r="M479" s="1" t="s">
        <v>1196</v>
      </c>
      <c r="N479" s="1">
        <v>33.0</v>
      </c>
      <c r="O479" s="1" t="s">
        <v>28</v>
      </c>
      <c r="P479" s="1">
        <v>2.43301264E8</v>
      </c>
      <c r="Q479" s="1" t="s">
        <v>55</v>
      </c>
      <c r="R479" s="1" t="s">
        <v>30</v>
      </c>
      <c r="S479">
        <f t="shared" si="1"/>
        <v>33454</v>
      </c>
      <c r="T479">
        <f t="array" ref="T479">iferror(index('Copie de Feuille tri Amandine'!B:C,MATCH(S479,'Copie de Feuille tri Amandine'!B:B,0),2),"")</f>
        <v>1694</v>
      </c>
    </row>
    <row r="480">
      <c r="A480" s="1" t="s">
        <v>1197</v>
      </c>
      <c r="B480" s="1" t="s">
        <v>437</v>
      </c>
      <c r="C480" s="1" t="s">
        <v>22</v>
      </c>
      <c r="D480" s="2">
        <v>19016.0</v>
      </c>
      <c r="E480" s="1">
        <v>161.0</v>
      </c>
      <c r="F480" s="1" t="s">
        <v>72</v>
      </c>
      <c r="G480" s="2">
        <v>41721.0</v>
      </c>
      <c r="H480" s="1" t="s">
        <v>24</v>
      </c>
      <c r="I480" s="2">
        <v>41721.0</v>
      </c>
      <c r="J480" s="1" t="s">
        <v>25</v>
      </c>
      <c r="K480" s="1" t="s">
        <v>26</v>
      </c>
      <c r="L480" s="1">
        <v>468.0</v>
      </c>
      <c r="M480" s="1" t="s">
        <v>1198</v>
      </c>
      <c r="N480" s="1">
        <v>33.0</v>
      </c>
      <c r="O480" s="1" t="s">
        <v>28</v>
      </c>
      <c r="P480" s="1">
        <v>2.43301454E8</v>
      </c>
      <c r="Q480" s="1" t="s">
        <v>94</v>
      </c>
      <c r="R480" s="1" t="s">
        <v>30</v>
      </c>
      <c r="S480">
        <f t="shared" si="1"/>
        <v>33468</v>
      </c>
      <c r="T480">
        <f t="array" ref="T480">iferror(index('Copie de Feuille tri Amandine'!B:C,MATCH(S480,'Copie de Feuille tri Amandine'!B:B,0),2),"")</f>
        <v>457</v>
      </c>
    </row>
    <row r="481">
      <c r="A481" s="1" t="s">
        <v>1199</v>
      </c>
      <c r="B481" s="1" t="s">
        <v>1200</v>
      </c>
      <c r="C481" s="1" t="s">
        <v>22</v>
      </c>
      <c r="D481" s="2">
        <v>22976.0</v>
      </c>
      <c r="E481" s="1">
        <v>110.0</v>
      </c>
      <c r="F481" s="1" t="s">
        <v>48</v>
      </c>
      <c r="G481" s="2">
        <v>41721.0</v>
      </c>
      <c r="H481" s="1" t="s">
        <v>24</v>
      </c>
      <c r="I481" s="2">
        <v>41721.0</v>
      </c>
      <c r="J481" s="1" t="s">
        <v>25</v>
      </c>
      <c r="K481" s="1" t="s">
        <v>26</v>
      </c>
      <c r="L481" s="1">
        <v>511.0</v>
      </c>
      <c r="M481" s="1" t="s">
        <v>1201</v>
      </c>
      <c r="N481" s="1">
        <v>33.0</v>
      </c>
      <c r="O481" s="1" t="s">
        <v>28</v>
      </c>
      <c r="P481" s="1">
        <v>2.00043982E8</v>
      </c>
      <c r="Q481" s="1" t="s">
        <v>124</v>
      </c>
      <c r="R481" s="1" t="s">
        <v>30</v>
      </c>
      <c r="S481">
        <f t="shared" si="1"/>
        <v>33511</v>
      </c>
      <c r="T481">
        <f t="array" ref="T481">iferror(index('Copie de Feuille tri Amandine'!B:C,MATCH(S481,'Copie de Feuille tri Amandine'!B:B,0),2),"")</f>
        <v>334</v>
      </c>
    </row>
    <row r="482">
      <c r="A482" s="1" t="s">
        <v>1202</v>
      </c>
      <c r="B482" s="1" t="s">
        <v>47</v>
      </c>
      <c r="C482" s="1" t="s">
        <v>22</v>
      </c>
      <c r="D482" s="2">
        <v>22358.0</v>
      </c>
      <c r="E482" s="1">
        <v>101.0</v>
      </c>
      <c r="F482" s="1" t="s">
        <v>33</v>
      </c>
      <c r="G482" s="2">
        <v>41721.0</v>
      </c>
      <c r="H482" s="1" t="s">
        <v>24</v>
      </c>
      <c r="I482" s="2">
        <v>41728.0</v>
      </c>
      <c r="J482" s="1" t="s">
        <v>25</v>
      </c>
      <c r="K482" s="1" t="s">
        <v>26</v>
      </c>
      <c r="L482" s="1">
        <v>528.0</v>
      </c>
      <c r="M482" s="1" t="s">
        <v>1203</v>
      </c>
      <c r="N482" s="1">
        <v>33.0</v>
      </c>
      <c r="O482" s="1" t="s">
        <v>28</v>
      </c>
      <c r="P482" s="1">
        <v>2.43301389E8</v>
      </c>
      <c r="Q482" s="1" t="s">
        <v>220</v>
      </c>
      <c r="R482" s="1" t="s">
        <v>30</v>
      </c>
      <c r="S482">
        <f t="shared" si="1"/>
        <v>33528</v>
      </c>
      <c r="T482" t="str">
        <f t="array" ref="T482">iferror(index('Copie de Feuille tri Amandine'!B:C,MATCH(S482,'Copie de Feuille tri Amandine'!B:B,0),2),"")</f>
        <v/>
      </c>
    </row>
    <row r="483">
      <c r="A483" s="1" t="s">
        <v>1204</v>
      </c>
      <c r="B483" s="1" t="s">
        <v>47</v>
      </c>
      <c r="C483" s="1" t="s">
        <v>22</v>
      </c>
      <c r="D483" s="2">
        <v>21231.0</v>
      </c>
      <c r="E483" s="1">
        <v>165.0</v>
      </c>
      <c r="F483" s="1" t="s">
        <v>208</v>
      </c>
      <c r="G483" s="2">
        <v>41721.0</v>
      </c>
      <c r="H483" s="1" t="s">
        <v>24</v>
      </c>
      <c r="I483" s="2">
        <v>41721.0</v>
      </c>
      <c r="J483" s="1" t="s">
        <v>25</v>
      </c>
      <c r="K483" s="1" t="s">
        <v>26</v>
      </c>
      <c r="L483" s="1">
        <v>541.0</v>
      </c>
      <c r="M483" s="1" t="s">
        <v>1205</v>
      </c>
      <c r="N483" s="1">
        <v>33.0</v>
      </c>
      <c r="O483" s="1" t="s">
        <v>28</v>
      </c>
      <c r="P483" s="1">
        <v>2.0007072E8</v>
      </c>
      <c r="Q483" s="1" t="s">
        <v>111</v>
      </c>
      <c r="R483" s="1" t="s">
        <v>30</v>
      </c>
      <c r="S483">
        <f t="shared" si="1"/>
        <v>33541</v>
      </c>
      <c r="T483">
        <f t="array" ref="T483">iferror(index('Copie de Feuille tri Amandine'!B:C,MATCH(S483,'Copie de Feuille tri Amandine'!B:B,0),2),"")</f>
        <v>986</v>
      </c>
    </row>
    <row r="484">
      <c r="A484" s="1" t="s">
        <v>1206</v>
      </c>
      <c r="B484" s="1" t="s">
        <v>342</v>
      </c>
      <c r="C484" s="1" t="s">
        <v>22</v>
      </c>
      <c r="D484" s="2">
        <v>19099.0</v>
      </c>
      <c r="E484" s="1">
        <v>163.0</v>
      </c>
      <c r="F484" s="1" t="s">
        <v>58</v>
      </c>
      <c r="G484" s="2">
        <v>41721.0</v>
      </c>
      <c r="H484" s="1" t="s">
        <v>24</v>
      </c>
      <c r="I484" s="2">
        <v>41721.0</v>
      </c>
      <c r="J484" s="1" t="s">
        <v>25</v>
      </c>
      <c r="K484" s="1" t="s">
        <v>26</v>
      </c>
      <c r="L484" s="1">
        <v>270.0</v>
      </c>
      <c r="M484" s="1" t="s">
        <v>1207</v>
      </c>
      <c r="N484" s="1">
        <v>33.0</v>
      </c>
      <c r="O484" s="1" t="s">
        <v>28</v>
      </c>
      <c r="P484" s="1">
        <v>2.00043982E8</v>
      </c>
      <c r="Q484" s="1" t="s">
        <v>124</v>
      </c>
      <c r="R484" s="1" t="s">
        <v>30</v>
      </c>
      <c r="S484">
        <f t="shared" si="1"/>
        <v>33270</v>
      </c>
      <c r="T484">
        <f t="array" ref="T484">iferror(index('Copie de Feuille tri Amandine'!B:C,MATCH(S484,'Copie de Feuille tri Amandine'!B:B,0),2),"")</f>
        <v>186</v>
      </c>
    </row>
    <row r="485">
      <c r="A485" s="1" t="s">
        <v>1208</v>
      </c>
      <c r="B485" s="1" t="s">
        <v>281</v>
      </c>
      <c r="C485" s="1" t="s">
        <v>53</v>
      </c>
      <c r="D485" s="2">
        <v>19168.0</v>
      </c>
      <c r="E485" s="1">
        <v>161.0</v>
      </c>
      <c r="F485" s="1" t="s">
        <v>72</v>
      </c>
      <c r="G485" s="2">
        <v>41721.0</v>
      </c>
      <c r="H485" s="1" t="s">
        <v>24</v>
      </c>
      <c r="I485" s="2">
        <v>41721.0</v>
      </c>
      <c r="J485" s="1" t="s">
        <v>25</v>
      </c>
      <c r="K485" s="1" t="s">
        <v>26</v>
      </c>
      <c r="L485" s="1">
        <v>280.0</v>
      </c>
      <c r="M485" s="1" t="s">
        <v>1209</v>
      </c>
      <c r="N485" s="1">
        <v>33.0</v>
      </c>
      <c r="O485" s="1" t="s">
        <v>28</v>
      </c>
      <c r="P485" s="1">
        <v>2.43300811E8</v>
      </c>
      <c r="Q485" s="1" t="s">
        <v>201</v>
      </c>
      <c r="R485" s="1" t="s">
        <v>30</v>
      </c>
      <c r="S485">
        <f t="shared" si="1"/>
        <v>33280</v>
      </c>
      <c r="T485">
        <f t="array" ref="T485">iferror(index('Copie de Feuille tri Amandine'!B:C,MATCH(S485,'Copie de Feuille tri Amandine'!B:B,0),2),"")</f>
        <v>525</v>
      </c>
    </row>
    <row r="486">
      <c r="A486" s="1" t="s">
        <v>1210</v>
      </c>
      <c r="B486" s="1" t="s">
        <v>1211</v>
      </c>
      <c r="C486" s="1" t="s">
        <v>22</v>
      </c>
      <c r="D486" s="2">
        <v>23411.0</v>
      </c>
      <c r="E486" s="1">
        <v>101.0</v>
      </c>
      <c r="F486" s="1" t="s">
        <v>33</v>
      </c>
      <c r="G486" s="2">
        <v>41721.0</v>
      </c>
      <c r="H486" s="1" t="s">
        <v>24</v>
      </c>
      <c r="I486" s="2">
        <v>41721.0</v>
      </c>
      <c r="J486" s="1" t="s">
        <v>25</v>
      </c>
      <c r="K486" s="1" t="s">
        <v>26</v>
      </c>
      <c r="L486" s="1">
        <v>298.0</v>
      </c>
      <c r="M486" s="1" t="s">
        <v>1212</v>
      </c>
      <c r="N486" s="1">
        <v>33.0</v>
      </c>
      <c r="O486" s="1" t="s">
        <v>28</v>
      </c>
      <c r="P486" s="1">
        <v>2.00070092E8</v>
      </c>
      <c r="Q486" s="1" t="s">
        <v>50</v>
      </c>
      <c r="R486" s="1" t="s">
        <v>30</v>
      </c>
      <c r="S486">
        <f t="shared" si="1"/>
        <v>33298</v>
      </c>
      <c r="T486">
        <f t="array" ref="T486">iferror(index('Copie de Feuille tri Amandine'!B:C,MATCH(S486,'Copie de Feuille tri Amandine'!B:B,0),2),"")</f>
        <v>999</v>
      </c>
    </row>
    <row r="487">
      <c r="A487" s="1" t="s">
        <v>1213</v>
      </c>
      <c r="B487" s="1" t="s">
        <v>1214</v>
      </c>
      <c r="C487" s="1" t="s">
        <v>53</v>
      </c>
      <c r="D487" s="2">
        <v>23870.0</v>
      </c>
      <c r="E487" s="1">
        <v>120.0</v>
      </c>
      <c r="F487" s="1" t="s">
        <v>241</v>
      </c>
      <c r="G487" s="2">
        <v>41721.0</v>
      </c>
      <c r="H487" s="1" t="s">
        <v>24</v>
      </c>
      <c r="I487" s="2">
        <v>41721.0</v>
      </c>
      <c r="J487" s="1" t="s">
        <v>25</v>
      </c>
      <c r="K487" s="1" t="s">
        <v>26</v>
      </c>
      <c r="L487" s="1">
        <v>329.0</v>
      </c>
      <c r="M487" s="1" t="s">
        <v>1215</v>
      </c>
      <c r="N487" s="1">
        <v>33.0</v>
      </c>
      <c r="O487" s="1" t="s">
        <v>28</v>
      </c>
      <c r="P487" s="1">
        <v>2.00043974E8</v>
      </c>
      <c r="Q487" s="1" t="s">
        <v>78</v>
      </c>
      <c r="R487" s="1" t="s">
        <v>30</v>
      </c>
      <c r="S487">
        <f t="shared" si="1"/>
        <v>33329</v>
      </c>
      <c r="T487">
        <f t="array" ref="T487">iferror(index('Copie de Feuille tri Amandine'!B:C,MATCH(S487,'Copie de Feuille tri Amandine'!B:B,0),2),"")</f>
        <v>260</v>
      </c>
    </row>
    <row r="488">
      <c r="A488" s="1" t="s">
        <v>1216</v>
      </c>
      <c r="B488" s="1" t="s">
        <v>655</v>
      </c>
      <c r="C488" s="1" t="s">
        <v>22</v>
      </c>
      <c r="D488" s="2">
        <v>18096.0</v>
      </c>
      <c r="E488" s="1">
        <v>163.0</v>
      </c>
      <c r="F488" s="1" t="s">
        <v>58</v>
      </c>
      <c r="G488" s="2">
        <v>41721.0</v>
      </c>
      <c r="H488" s="1" t="s">
        <v>24</v>
      </c>
      <c r="I488" s="2">
        <v>41721.0</v>
      </c>
      <c r="J488" s="1" t="s">
        <v>25</v>
      </c>
      <c r="K488" s="1" t="s">
        <v>26</v>
      </c>
      <c r="L488" s="1">
        <v>249.0</v>
      </c>
      <c r="M488" s="1" t="s">
        <v>1217</v>
      </c>
      <c r="N488" s="1">
        <v>33.0</v>
      </c>
      <c r="O488" s="1" t="s">
        <v>28</v>
      </c>
      <c r="P488" s="1">
        <v>2.43300316E8</v>
      </c>
      <c r="Q488" s="1" t="s">
        <v>40</v>
      </c>
      <c r="R488" s="1" t="s">
        <v>30</v>
      </c>
      <c r="S488">
        <f t="shared" si="1"/>
        <v>33249</v>
      </c>
      <c r="T488" t="str">
        <f t="array" ref="T488">iferror(index('Copie de Feuille tri Amandine'!B:C,MATCH(S488,'Copie de Feuille tri Amandine'!B:B,0),2),"")</f>
        <v/>
      </c>
    </row>
    <row r="489">
      <c r="A489" s="1" t="s">
        <v>1218</v>
      </c>
      <c r="B489" s="1" t="s">
        <v>281</v>
      </c>
      <c r="C489" s="1" t="s">
        <v>53</v>
      </c>
      <c r="D489" s="2">
        <v>21905.0</v>
      </c>
      <c r="E489" s="1">
        <v>148.0</v>
      </c>
      <c r="F489" s="1" t="s">
        <v>105</v>
      </c>
      <c r="G489" s="2">
        <v>41721.0</v>
      </c>
      <c r="H489" s="1" t="s">
        <v>24</v>
      </c>
      <c r="I489" s="2">
        <v>41728.0</v>
      </c>
      <c r="J489" s="1" t="s">
        <v>25</v>
      </c>
      <c r="K489" s="1" t="s">
        <v>26</v>
      </c>
      <c r="L489" s="1">
        <v>255.0</v>
      </c>
      <c r="M489" s="1" t="s">
        <v>1219</v>
      </c>
      <c r="N489" s="1">
        <v>33.0</v>
      </c>
      <c r="O489" s="1" t="s">
        <v>28</v>
      </c>
      <c r="P489" s="1">
        <v>2.00043974E8</v>
      </c>
      <c r="Q489" s="1" t="s">
        <v>78</v>
      </c>
      <c r="R489" s="1" t="s">
        <v>30</v>
      </c>
      <c r="S489">
        <f t="shared" si="1"/>
        <v>33255</v>
      </c>
      <c r="T489" t="str">
        <f t="array" ref="T489">iferror(index('Copie de Feuille tri Amandine'!B:C,MATCH(S489,'Copie de Feuille tri Amandine'!B:B,0),2),"")</f>
        <v/>
      </c>
    </row>
    <row r="490">
      <c r="A490" s="1" t="s">
        <v>1220</v>
      </c>
      <c r="B490" s="1" t="s">
        <v>478</v>
      </c>
      <c r="C490" s="1" t="s">
        <v>22</v>
      </c>
      <c r="D490" s="2">
        <v>19298.0</v>
      </c>
      <c r="E490" s="1">
        <v>161.0</v>
      </c>
      <c r="F490" s="1" t="s">
        <v>72</v>
      </c>
      <c r="G490" s="2">
        <v>41721.0</v>
      </c>
      <c r="H490" s="1" t="s">
        <v>24</v>
      </c>
      <c r="I490" s="2">
        <v>41721.0</v>
      </c>
      <c r="J490" s="1" t="s">
        <v>25</v>
      </c>
      <c r="K490" s="1" t="s">
        <v>26</v>
      </c>
      <c r="L490" s="1">
        <v>347.0</v>
      </c>
      <c r="M490" s="1" t="s">
        <v>1221</v>
      </c>
      <c r="N490" s="1">
        <v>33.0</v>
      </c>
      <c r="O490" s="1" t="s">
        <v>28</v>
      </c>
      <c r="P490" s="1">
        <v>2.00070092E8</v>
      </c>
      <c r="Q490" s="1" t="s">
        <v>50</v>
      </c>
      <c r="R490" s="1" t="s">
        <v>30</v>
      </c>
      <c r="S490">
        <f t="shared" si="1"/>
        <v>33347</v>
      </c>
      <c r="T490">
        <f t="array" ref="T490">iferror(index('Copie de Feuille tri Amandine'!B:C,MATCH(S490,'Copie de Feuille tri Amandine'!B:B,0),2),"")</f>
        <v>302</v>
      </c>
    </row>
    <row r="491">
      <c r="A491" s="1" t="s">
        <v>1222</v>
      </c>
      <c r="B491" s="1" t="s">
        <v>473</v>
      </c>
      <c r="C491" s="1" t="s">
        <v>22</v>
      </c>
      <c r="D491" s="2">
        <v>22013.0</v>
      </c>
      <c r="E491" s="1">
        <v>157.0</v>
      </c>
      <c r="F491" s="1" t="s">
        <v>97</v>
      </c>
      <c r="G491" s="2">
        <v>41721.0</v>
      </c>
      <c r="H491" s="1" t="s">
        <v>24</v>
      </c>
      <c r="I491" s="2">
        <v>41727.0</v>
      </c>
      <c r="J491" s="1" t="s">
        <v>25</v>
      </c>
      <c r="K491" s="1" t="s">
        <v>26</v>
      </c>
      <c r="L491" s="1">
        <v>349.0</v>
      </c>
      <c r="M491" s="1" t="s">
        <v>1223</v>
      </c>
      <c r="N491" s="1">
        <v>33.0</v>
      </c>
      <c r="O491" s="1" t="s">
        <v>28</v>
      </c>
      <c r="P491" s="1">
        <v>2.43301439E8</v>
      </c>
      <c r="Q491" s="1" t="s">
        <v>115</v>
      </c>
      <c r="R491" s="1" t="s">
        <v>30</v>
      </c>
      <c r="S491">
        <f t="shared" si="1"/>
        <v>33349</v>
      </c>
      <c r="T491">
        <f t="array" ref="T491">iferror(index('Copie de Feuille tri Amandine'!B:C,MATCH(S491,'Copie de Feuille tri Amandine'!B:B,0),2),"")</f>
        <v>2189</v>
      </c>
    </row>
    <row r="492">
      <c r="A492" s="1" t="s">
        <v>1224</v>
      </c>
      <c r="B492" s="1" t="s">
        <v>692</v>
      </c>
      <c r="C492" s="1" t="s">
        <v>22</v>
      </c>
      <c r="D492" s="2">
        <v>16899.0</v>
      </c>
      <c r="E492" s="1">
        <v>101.0</v>
      </c>
      <c r="F492" s="1" t="s">
        <v>33</v>
      </c>
      <c r="G492" s="2">
        <v>41721.0</v>
      </c>
      <c r="H492" s="1" t="s">
        <v>24</v>
      </c>
      <c r="I492" s="2">
        <v>41721.0</v>
      </c>
      <c r="J492" s="1" t="s">
        <v>25</v>
      </c>
      <c r="K492" s="1" t="s">
        <v>26</v>
      </c>
      <c r="L492" s="1">
        <v>372.0</v>
      </c>
      <c r="M492" s="1" t="s">
        <v>1225</v>
      </c>
      <c r="N492" s="1">
        <v>33.0</v>
      </c>
      <c r="O492" s="1" t="s">
        <v>28</v>
      </c>
      <c r="P492" s="1">
        <v>2.00069599E8</v>
      </c>
      <c r="Q492" s="1" t="s">
        <v>60</v>
      </c>
      <c r="R492" s="1" t="s">
        <v>30</v>
      </c>
      <c r="S492">
        <f t="shared" si="1"/>
        <v>33372</v>
      </c>
      <c r="T492">
        <f t="array" ref="T492">iferror(index('Copie de Feuille tri Amandine'!B:C,MATCH(S492,'Copie de Feuille tri Amandine'!B:B,0),2),"")</f>
        <v>59</v>
      </c>
    </row>
    <row r="493">
      <c r="A493" s="1" t="s">
        <v>1226</v>
      </c>
      <c r="B493" s="1" t="s">
        <v>193</v>
      </c>
      <c r="C493" s="1" t="s">
        <v>22</v>
      </c>
      <c r="D493" s="2">
        <v>20496.0</v>
      </c>
      <c r="E493" s="1">
        <v>164.0</v>
      </c>
      <c r="F493" s="1" t="s">
        <v>183</v>
      </c>
      <c r="G493" s="2">
        <v>41721.0</v>
      </c>
      <c r="H493" s="1" t="s">
        <v>24</v>
      </c>
      <c r="I493" s="2">
        <v>41721.0</v>
      </c>
      <c r="J493" s="1" t="s">
        <v>25</v>
      </c>
      <c r="K493" s="1" t="s">
        <v>26</v>
      </c>
      <c r="L493" s="1">
        <v>375.0</v>
      </c>
      <c r="M493" s="1" t="s">
        <v>1227</v>
      </c>
      <c r="N493" s="1">
        <v>33.0</v>
      </c>
      <c r="O493" s="1" t="s">
        <v>28</v>
      </c>
      <c r="P493" s="1">
        <v>2.43301454E8</v>
      </c>
      <c r="Q493" s="1" t="s">
        <v>94</v>
      </c>
      <c r="R493" s="1" t="s">
        <v>30</v>
      </c>
      <c r="S493">
        <f t="shared" si="1"/>
        <v>33375</v>
      </c>
      <c r="T493">
        <f t="array" ref="T493">iferror(index('Copie de Feuille tri Amandine'!B:C,MATCH(S493,'Copie de Feuille tri Amandine'!B:B,0),2),"")</f>
        <v>351</v>
      </c>
    </row>
    <row r="494">
      <c r="A494" s="1" t="s">
        <v>1228</v>
      </c>
      <c r="B494" s="1" t="s">
        <v>758</v>
      </c>
      <c r="C494" s="1" t="s">
        <v>22</v>
      </c>
      <c r="D494" s="2">
        <v>22538.0</v>
      </c>
      <c r="E494" s="1">
        <v>152.0</v>
      </c>
      <c r="F494" s="1" t="s">
        <v>176</v>
      </c>
      <c r="G494" s="2">
        <v>41721.0</v>
      </c>
      <c r="H494" s="1" t="s">
        <v>24</v>
      </c>
      <c r="I494" s="2">
        <v>41721.0</v>
      </c>
      <c r="J494" s="1" t="s">
        <v>25</v>
      </c>
      <c r="K494" s="1" t="s">
        <v>26</v>
      </c>
      <c r="L494" s="1">
        <v>398.0</v>
      </c>
      <c r="M494" s="1" t="s">
        <v>1229</v>
      </c>
      <c r="N494" s="1">
        <v>33.0</v>
      </c>
      <c r="O494" s="1" t="s">
        <v>28</v>
      </c>
      <c r="P494" s="1">
        <v>2.00044394E8</v>
      </c>
      <c r="Q494" s="1" t="s">
        <v>35</v>
      </c>
      <c r="R494" s="1" t="s">
        <v>30</v>
      </c>
      <c r="S494">
        <f t="shared" si="1"/>
        <v>33398</v>
      </c>
      <c r="T494">
        <f t="array" ref="T494">iferror(index('Copie de Feuille tri Amandine'!B:C,MATCH(S494,'Copie de Feuille tri Amandine'!B:B,0),2),"")</f>
        <v>168</v>
      </c>
    </row>
    <row r="495">
      <c r="A495" s="1" t="s">
        <v>1230</v>
      </c>
      <c r="B495" s="1" t="s">
        <v>237</v>
      </c>
      <c r="C495" s="1" t="s">
        <v>22</v>
      </c>
      <c r="D495" s="2">
        <v>18570.0</v>
      </c>
      <c r="E495" s="1">
        <v>162.0</v>
      </c>
      <c r="F495" s="1" t="s">
        <v>76</v>
      </c>
      <c r="G495" s="2">
        <v>42773.0</v>
      </c>
      <c r="H495" s="1" t="s">
        <v>24</v>
      </c>
      <c r="I495" s="2">
        <v>42923.0</v>
      </c>
      <c r="J495" s="1" t="s">
        <v>25</v>
      </c>
      <c r="K495" s="1" t="s">
        <v>26</v>
      </c>
      <c r="L495" s="1">
        <v>439.0</v>
      </c>
      <c r="M495" s="1" t="s">
        <v>1231</v>
      </c>
      <c r="N495" s="1">
        <v>33.0</v>
      </c>
      <c r="O495" s="1" t="s">
        <v>28</v>
      </c>
      <c r="P495" s="1">
        <v>2.43301181E8</v>
      </c>
      <c r="Q495" s="1" t="s">
        <v>316</v>
      </c>
      <c r="R495" s="1" t="s">
        <v>30</v>
      </c>
      <c r="S495">
        <f t="shared" si="1"/>
        <v>33439</v>
      </c>
      <c r="T495">
        <f t="array" ref="T495">iferror(index('Copie de Feuille tri Amandine'!B:C,MATCH(S495,'Copie de Feuille tri Amandine'!B:B,0),2),"")</f>
        <v>1602</v>
      </c>
    </row>
    <row r="496">
      <c r="A496" s="1" t="s">
        <v>1232</v>
      </c>
      <c r="B496" s="1" t="s">
        <v>992</v>
      </c>
      <c r="C496" s="1" t="s">
        <v>22</v>
      </c>
      <c r="D496" s="2">
        <v>19798.0</v>
      </c>
      <c r="E496" s="1">
        <v>150.0</v>
      </c>
      <c r="F496" s="1" t="s">
        <v>43</v>
      </c>
      <c r="G496" s="2">
        <v>41721.0</v>
      </c>
      <c r="H496" s="1" t="s">
        <v>24</v>
      </c>
      <c r="I496" s="2">
        <v>41721.0</v>
      </c>
      <c r="J496" s="1" t="s">
        <v>25</v>
      </c>
      <c r="K496" s="1" t="s">
        <v>26</v>
      </c>
      <c r="L496" s="1">
        <v>514.0</v>
      </c>
      <c r="M496" s="1" t="s">
        <v>1233</v>
      </c>
      <c r="N496" s="1">
        <v>33.0</v>
      </c>
      <c r="O496" s="1" t="s">
        <v>28</v>
      </c>
      <c r="P496" s="1">
        <v>2.0007072E8</v>
      </c>
      <c r="Q496" s="1" t="s">
        <v>111</v>
      </c>
      <c r="R496" s="1" t="s">
        <v>30</v>
      </c>
      <c r="S496">
        <f t="shared" si="1"/>
        <v>33514</v>
      </c>
      <c r="T496">
        <f t="array" ref="T496">iferror(index('Copie de Feuille tri Amandine'!B:C,MATCH(S496,'Copie de Feuille tri Amandine'!B:B,0),2),"")</f>
        <v>2811</v>
      </c>
    </row>
    <row r="497">
      <c r="A497" s="1" t="s">
        <v>1234</v>
      </c>
      <c r="B497" s="1" t="s">
        <v>189</v>
      </c>
      <c r="C497" s="1" t="s">
        <v>22</v>
      </c>
      <c r="D497" s="2">
        <v>19196.0</v>
      </c>
      <c r="E497" s="1">
        <v>158.0</v>
      </c>
      <c r="F497" s="1" t="s">
        <v>274</v>
      </c>
      <c r="G497" s="2">
        <v>41721.0</v>
      </c>
      <c r="H497" s="1" t="s">
        <v>24</v>
      </c>
      <c r="I497" s="2">
        <v>41721.0</v>
      </c>
      <c r="J497" s="1" t="s">
        <v>25</v>
      </c>
      <c r="K497" s="1" t="s">
        <v>26</v>
      </c>
      <c r="L497" s="1">
        <v>27.0</v>
      </c>
      <c r="M497" s="1" t="s">
        <v>1235</v>
      </c>
      <c r="N497" s="1">
        <v>33.0</v>
      </c>
      <c r="O497" s="1" t="s">
        <v>28</v>
      </c>
      <c r="P497" s="1">
        <v>2.00044394E8</v>
      </c>
      <c r="Q497" s="1" t="s">
        <v>35</v>
      </c>
      <c r="R497" s="1" t="s">
        <v>30</v>
      </c>
      <c r="S497">
        <f t="shared" si="1"/>
        <v>33027</v>
      </c>
      <c r="T497" t="str">
        <f t="array" ref="T497">iferror(index('Copie de Feuille tri Amandine'!B:C,MATCH(S497,'Copie de Feuille tri Amandine'!B:B,0),2),"")</f>
        <v/>
      </c>
    </row>
    <row r="498">
      <c r="A498" s="1" t="s">
        <v>987</v>
      </c>
      <c r="B498" s="1" t="s">
        <v>697</v>
      </c>
      <c r="C498" s="1" t="s">
        <v>53</v>
      </c>
      <c r="D498" s="2">
        <v>19855.0</v>
      </c>
      <c r="E498" s="1">
        <v>149.0</v>
      </c>
      <c r="F498" s="1" t="s">
        <v>257</v>
      </c>
      <c r="G498" s="2">
        <v>41896.0</v>
      </c>
      <c r="H498" s="1" t="s">
        <v>24</v>
      </c>
      <c r="I498" s="2">
        <v>41901.0</v>
      </c>
      <c r="J498" s="1" t="s">
        <v>25</v>
      </c>
      <c r="K498" s="1" t="s">
        <v>26</v>
      </c>
      <c r="L498" s="1">
        <v>38.0</v>
      </c>
      <c r="M498" s="1" t="s">
        <v>1236</v>
      </c>
      <c r="N498" s="1">
        <v>33.0</v>
      </c>
      <c r="O498" s="1" t="s">
        <v>28</v>
      </c>
      <c r="P498" s="1">
        <v>2.00069995E8</v>
      </c>
      <c r="Q498" s="1" t="s">
        <v>65</v>
      </c>
      <c r="R498" s="1" t="s">
        <v>30</v>
      </c>
      <c r="S498">
        <f t="shared" si="1"/>
        <v>33038</v>
      </c>
      <c r="T498" t="str">
        <f t="array" ref="T498">iferror(index('Copie de Feuille tri Amandine'!B:C,MATCH(S498,'Copie de Feuille tri Amandine'!B:B,0),2),"")</f>
        <v/>
      </c>
    </row>
    <row r="499">
      <c r="A499" s="1" t="s">
        <v>1237</v>
      </c>
      <c r="B499" s="1" t="s">
        <v>1238</v>
      </c>
      <c r="C499" s="1" t="s">
        <v>53</v>
      </c>
      <c r="D499" s="2">
        <v>17812.0</v>
      </c>
      <c r="E499" s="1">
        <v>165.0</v>
      </c>
      <c r="F499" s="1" t="s">
        <v>208</v>
      </c>
      <c r="G499" s="2">
        <v>41721.0</v>
      </c>
      <c r="H499" s="1" t="s">
        <v>24</v>
      </c>
      <c r="I499" s="2">
        <v>41721.0</v>
      </c>
      <c r="J499" s="1" t="s">
        <v>25</v>
      </c>
      <c r="K499" s="1" t="s">
        <v>26</v>
      </c>
      <c r="L499" s="1">
        <v>68.0</v>
      </c>
      <c r="M499" s="1" t="s">
        <v>1239</v>
      </c>
      <c r="N499" s="1">
        <v>33.0</v>
      </c>
      <c r="O499" s="1" t="s">
        <v>28</v>
      </c>
      <c r="P499" s="1">
        <v>2.00043974E8</v>
      </c>
      <c r="Q499" s="1" t="s">
        <v>78</v>
      </c>
      <c r="R499" s="1" t="s">
        <v>30</v>
      </c>
      <c r="S499">
        <f t="shared" si="1"/>
        <v>33068</v>
      </c>
      <c r="T499" t="str">
        <f t="array" ref="T499">iferror(index('Copie de Feuille tri Amandine'!B:C,MATCH(S499,'Copie de Feuille tri Amandine'!B:B,0),2),"")</f>
        <v/>
      </c>
    </row>
    <row r="500">
      <c r="A500" s="1" t="s">
        <v>1240</v>
      </c>
      <c r="B500" s="1" t="s">
        <v>1241</v>
      </c>
      <c r="C500" s="1" t="s">
        <v>22</v>
      </c>
      <c r="D500" s="2">
        <v>20187.0</v>
      </c>
      <c r="E500" s="1">
        <v>118.0</v>
      </c>
      <c r="F500" s="1" t="s">
        <v>101</v>
      </c>
      <c r="G500" s="2">
        <v>41721.0</v>
      </c>
      <c r="H500" s="1" t="s">
        <v>24</v>
      </c>
      <c r="I500" s="2">
        <v>41721.0</v>
      </c>
      <c r="J500" s="1" t="s">
        <v>25</v>
      </c>
      <c r="K500" s="1" t="s">
        <v>26</v>
      </c>
      <c r="L500" s="1">
        <v>206.0</v>
      </c>
      <c r="M500" s="1" t="s">
        <v>1242</v>
      </c>
      <c r="N500" s="1">
        <v>33.0</v>
      </c>
      <c r="O500" s="1" t="s">
        <v>28</v>
      </c>
      <c r="P500" s="1">
        <v>2.43301264E8</v>
      </c>
      <c r="Q500" s="1" t="s">
        <v>55</v>
      </c>
      <c r="R500" s="1" t="s">
        <v>30</v>
      </c>
      <c r="S500">
        <f t="shared" si="1"/>
        <v>33206</v>
      </c>
      <c r="T500" t="str">
        <f t="array" ref="T500">iferror(index('Copie de Feuille tri Amandine'!B:C,MATCH(S500,'Copie de Feuille tri Amandine'!B:B,0),2),"")</f>
        <v/>
      </c>
    </row>
    <row r="501">
      <c r="A501" s="1" t="s">
        <v>1243</v>
      </c>
      <c r="B501" s="1" t="s">
        <v>1200</v>
      </c>
      <c r="C501" s="1" t="s">
        <v>22</v>
      </c>
      <c r="D501" s="2">
        <v>26021.0</v>
      </c>
      <c r="E501" s="1">
        <v>121.0</v>
      </c>
      <c r="F501" s="1" t="s">
        <v>878</v>
      </c>
      <c r="G501" s="2">
        <v>41721.0</v>
      </c>
      <c r="H501" s="1" t="s">
        <v>24</v>
      </c>
      <c r="I501" s="2">
        <v>41728.0</v>
      </c>
      <c r="J501" s="1" t="s">
        <v>25</v>
      </c>
      <c r="K501" s="1" t="s">
        <v>26</v>
      </c>
      <c r="L501" s="1">
        <v>228.0</v>
      </c>
      <c r="M501" s="1" t="s">
        <v>1244</v>
      </c>
      <c r="N501" s="1">
        <v>33.0</v>
      </c>
      <c r="O501" s="1" t="s">
        <v>28</v>
      </c>
      <c r="P501" s="1">
        <v>2.43301223E8</v>
      </c>
      <c r="Q501" s="1" t="s">
        <v>163</v>
      </c>
      <c r="R501" s="1" t="s">
        <v>30</v>
      </c>
      <c r="S501">
        <f t="shared" si="1"/>
        <v>33228</v>
      </c>
      <c r="T501" t="str">
        <f t="array" ref="T501">iferror(index('Copie de Feuille tri Amandine'!B:C,MATCH(S501,'Copie de Feuille tri Amandine'!B:B,0),2),"")</f>
        <v/>
      </c>
    </row>
    <row r="502">
      <c r="A502" s="1" t="s">
        <v>1245</v>
      </c>
      <c r="B502" s="1" t="s">
        <v>549</v>
      </c>
      <c r="C502" s="1" t="s">
        <v>22</v>
      </c>
      <c r="D502" s="2">
        <v>17798.0</v>
      </c>
      <c r="E502" s="1">
        <v>165.0</v>
      </c>
      <c r="F502" s="1" t="s">
        <v>208</v>
      </c>
      <c r="G502" s="2">
        <v>41721.0</v>
      </c>
      <c r="H502" s="1" t="s">
        <v>24</v>
      </c>
      <c r="I502" s="2">
        <v>41721.0</v>
      </c>
      <c r="J502" s="1" t="s">
        <v>25</v>
      </c>
      <c r="K502" s="1" t="s">
        <v>26</v>
      </c>
      <c r="L502" s="1">
        <v>241.0</v>
      </c>
      <c r="M502" s="1" t="s">
        <v>1246</v>
      </c>
      <c r="N502" s="1">
        <v>33.0</v>
      </c>
      <c r="O502" s="1" t="s">
        <v>28</v>
      </c>
      <c r="P502" s="1">
        <v>2.00069581E8</v>
      </c>
      <c r="Q502" s="1" t="s">
        <v>82</v>
      </c>
      <c r="R502" s="1" t="s">
        <v>30</v>
      </c>
      <c r="S502">
        <f t="shared" si="1"/>
        <v>33241</v>
      </c>
      <c r="T502" t="str">
        <f t="array" ref="T502">iferror(index('Copie de Feuille tri Amandine'!B:C,MATCH(S502,'Copie de Feuille tri Amandine'!B:B,0),2),"")</f>
        <v/>
      </c>
    </row>
    <row r="503">
      <c r="A503" s="1" t="s">
        <v>1247</v>
      </c>
      <c r="B503" s="1" t="s">
        <v>655</v>
      </c>
      <c r="C503" s="1" t="s">
        <v>22</v>
      </c>
      <c r="D503" s="2">
        <v>17596.0</v>
      </c>
      <c r="E503" s="1">
        <v>159.0</v>
      </c>
      <c r="F503" s="1" t="s">
        <v>130</v>
      </c>
      <c r="G503" s="2">
        <v>41721.0</v>
      </c>
      <c r="H503" s="1" t="s">
        <v>24</v>
      </c>
      <c r="I503" s="2">
        <v>41721.0</v>
      </c>
      <c r="J503" s="1" t="s">
        <v>25</v>
      </c>
      <c r="K503" s="1" t="s">
        <v>26</v>
      </c>
      <c r="L503" s="1">
        <v>16.0</v>
      </c>
      <c r="M503" s="1" t="s">
        <v>1248</v>
      </c>
      <c r="N503" s="1">
        <v>33.0</v>
      </c>
      <c r="O503" s="1" t="s">
        <v>28</v>
      </c>
      <c r="P503" s="1">
        <v>2.43301397E8</v>
      </c>
      <c r="Q503" s="1" t="s">
        <v>158</v>
      </c>
      <c r="R503" s="1" t="s">
        <v>30</v>
      </c>
      <c r="S503">
        <f t="shared" si="1"/>
        <v>33016</v>
      </c>
      <c r="T503" t="str">
        <f t="array" ref="T503">iferror(index('Copie de Feuille tri Amandine'!B:C,MATCH(S503,'Copie de Feuille tri Amandine'!B:B,0),2),"")</f>
        <v/>
      </c>
    </row>
    <row r="504">
      <c r="A504" s="1" t="s">
        <v>1249</v>
      </c>
      <c r="B504" s="1" t="s">
        <v>549</v>
      </c>
      <c r="C504" s="1" t="s">
        <v>22</v>
      </c>
      <c r="D504" s="2">
        <v>13782.0</v>
      </c>
      <c r="E504" s="1">
        <v>158.0</v>
      </c>
      <c r="F504" s="1" t="s">
        <v>274</v>
      </c>
      <c r="G504" s="2">
        <v>41721.0</v>
      </c>
      <c r="H504" s="1" t="s">
        <v>24</v>
      </c>
      <c r="I504" s="2">
        <v>41721.0</v>
      </c>
      <c r="J504" s="1" t="s">
        <v>25</v>
      </c>
      <c r="K504" s="1" t="s">
        <v>26</v>
      </c>
      <c r="L504" s="1">
        <v>168.0</v>
      </c>
      <c r="M504" s="1" t="s">
        <v>1250</v>
      </c>
      <c r="N504" s="1">
        <v>33.0</v>
      </c>
      <c r="O504" s="1" t="s">
        <v>28</v>
      </c>
      <c r="P504" s="1">
        <v>2.43301454E8</v>
      </c>
      <c r="Q504" s="1" t="s">
        <v>94</v>
      </c>
      <c r="R504" s="1" t="s">
        <v>30</v>
      </c>
      <c r="S504">
        <f t="shared" si="1"/>
        <v>33168</v>
      </c>
      <c r="T504" t="str">
        <f t="array" ref="T504">iferror(index('Copie de Feuille tri Amandine'!B:C,MATCH(S504,'Copie de Feuille tri Amandine'!B:B,0),2),"")</f>
        <v/>
      </c>
    </row>
    <row r="505">
      <c r="A505" s="1" t="s">
        <v>103</v>
      </c>
      <c r="B505" s="1" t="s">
        <v>1251</v>
      </c>
      <c r="C505" s="1" t="s">
        <v>22</v>
      </c>
      <c r="D505" s="2">
        <v>17207.0</v>
      </c>
      <c r="E505" s="1">
        <v>160.0</v>
      </c>
      <c r="F505" s="1" t="s">
        <v>253</v>
      </c>
      <c r="G505" s="2">
        <v>41721.0</v>
      </c>
      <c r="H505" s="1" t="s">
        <v>24</v>
      </c>
      <c r="I505" s="2">
        <v>41728.0</v>
      </c>
      <c r="J505" s="1" t="s">
        <v>25</v>
      </c>
      <c r="K505" s="1" t="s">
        <v>26</v>
      </c>
      <c r="L505" s="1">
        <v>177.0</v>
      </c>
      <c r="M505" s="1" t="s">
        <v>1252</v>
      </c>
      <c r="N505" s="1">
        <v>33.0</v>
      </c>
      <c r="O505" s="1" t="s">
        <v>28</v>
      </c>
      <c r="P505" s="1">
        <v>2.00069995E8</v>
      </c>
      <c r="Q505" s="1" t="s">
        <v>65</v>
      </c>
      <c r="R505" s="1" t="s">
        <v>30</v>
      </c>
      <c r="S505">
        <f t="shared" si="1"/>
        <v>33177</v>
      </c>
      <c r="T505" t="str">
        <f t="array" ref="T505">iferror(index('Copie de Feuille tri Amandine'!B:C,MATCH(S505,'Copie de Feuille tri Amandine'!B:B,0),2),"")</f>
        <v/>
      </c>
    </row>
    <row r="506">
      <c r="A506" s="1" t="s">
        <v>1253</v>
      </c>
      <c r="B506" s="1" t="s">
        <v>286</v>
      </c>
      <c r="C506" s="1" t="s">
        <v>22</v>
      </c>
      <c r="D506" s="2">
        <v>16999.0</v>
      </c>
      <c r="E506" s="1">
        <v>161.0</v>
      </c>
      <c r="F506" s="1" t="s">
        <v>72</v>
      </c>
      <c r="G506" s="2">
        <v>41721.0</v>
      </c>
      <c r="H506" s="1" t="s">
        <v>24</v>
      </c>
      <c r="I506" s="2">
        <v>41721.0</v>
      </c>
      <c r="J506" s="1" t="s">
        <v>25</v>
      </c>
      <c r="K506" s="1" t="s">
        <v>26</v>
      </c>
      <c r="L506" s="1">
        <v>465.0</v>
      </c>
      <c r="M506" s="1" t="s">
        <v>1254</v>
      </c>
      <c r="N506" s="1">
        <v>33.0</v>
      </c>
      <c r="O506" s="1" t="s">
        <v>28</v>
      </c>
      <c r="P506" s="1">
        <v>2.00043974E8</v>
      </c>
      <c r="Q506" s="1" t="s">
        <v>78</v>
      </c>
      <c r="R506" s="1" t="s">
        <v>30</v>
      </c>
      <c r="S506">
        <f t="shared" si="1"/>
        <v>33465</v>
      </c>
      <c r="T506">
        <f t="array" ref="T506">iferror(index('Copie de Feuille tri Amandine'!B:C,MATCH(S506,'Copie de Feuille tri Amandine'!B:B,0),2),"")</f>
        <v>1198</v>
      </c>
    </row>
    <row r="507">
      <c r="A507" s="1" t="s">
        <v>1255</v>
      </c>
      <c r="B507" s="1" t="s">
        <v>165</v>
      </c>
      <c r="C507" s="1" t="s">
        <v>22</v>
      </c>
      <c r="D507" s="2">
        <v>17878.0</v>
      </c>
      <c r="E507" s="1">
        <v>162.0</v>
      </c>
      <c r="F507" s="1" t="s">
        <v>76</v>
      </c>
      <c r="G507" s="2">
        <v>41721.0</v>
      </c>
      <c r="H507" s="1" t="s">
        <v>24</v>
      </c>
      <c r="I507" s="2">
        <v>41728.0</v>
      </c>
      <c r="J507" s="1" t="s">
        <v>25</v>
      </c>
      <c r="K507" s="1" t="s">
        <v>26</v>
      </c>
      <c r="L507" s="1">
        <v>250.0</v>
      </c>
      <c r="M507" s="1" t="s">
        <v>1256</v>
      </c>
      <c r="N507" s="1">
        <v>33.0</v>
      </c>
      <c r="O507" s="1" t="s">
        <v>28</v>
      </c>
      <c r="P507" s="1">
        <v>2.00044394E8</v>
      </c>
      <c r="Q507" s="1" t="s">
        <v>35</v>
      </c>
      <c r="R507" s="1" t="s">
        <v>30</v>
      </c>
      <c r="S507">
        <f t="shared" si="1"/>
        <v>33250</v>
      </c>
      <c r="T507" t="str">
        <f t="array" ref="T507">iferror(index('Copie de Feuille tri Amandine'!B:C,MATCH(S507,'Copie de Feuille tri Amandine'!B:B,0),2),"")</f>
        <v/>
      </c>
    </row>
    <row r="508">
      <c r="A508" s="1" t="s">
        <v>1257</v>
      </c>
      <c r="B508" s="1" t="s">
        <v>84</v>
      </c>
      <c r="C508" s="1" t="s">
        <v>22</v>
      </c>
      <c r="D508" s="2">
        <v>24930.0</v>
      </c>
      <c r="E508" s="1">
        <v>101.0</v>
      </c>
      <c r="F508" s="1" t="s">
        <v>33</v>
      </c>
      <c r="G508" s="2">
        <v>41721.0</v>
      </c>
      <c r="H508" s="1" t="s">
        <v>24</v>
      </c>
      <c r="I508" s="2">
        <v>41728.0</v>
      </c>
      <c r="J508" s="1" t="s">
        <v>25</v>
      </c>
      <c r="K508" s="1" t="s">
        <v>26</v>
      </c>
      <c r="L508" s="1">
        <v>412.0</v>
      </c>
      <c r="M508" s="1" t="s">
        <v>1258</v>
      </c>
      <c r="N508" s="1">
        <v>33.0</v>
      </c>
      <c r="O508" s="1" t="s">
        <v>28</v>
      </c>
      <c r="P508" s="1">
        <v>2.00069995E8</v>
      </c>
      <c r="Q508" s="1" t="s">
        <v>65</v>
      </c>
      <c r="R508" s="1" t="s">
        <v>30</v>
      </c>
      <c r="S508">
        <f t="shared" si="1"/>
        <v>33412</v>
      </c>
      <c r="T508">
        <f t="array" ref="T508">iferror(index('Copie de Feuille tri Amandine'!B:C,MATCH(S508,'Copie de Feuille tri Amandine'!B:B,0),2),"")</f>
        <v>1234</v>
      </c>
    </row>
    <row r="509">
      <c r="A509" s="1" t="s">
        <v>1259</v>
      </c>
      <c r="B509" s="1" t="s">
        <v>1260</v>
      </c>
      <c r="C509" s="1" t="s">
        <v>53</v>
      </c>
      <c r="D509" s="2">
        <v>20020.0</v>
      </c>
      <c r="E509" s="1">
        <v>119.0</v>
      </c>
      <c r="F509" s="1" t="s">
        <v>109</v>
      </c>
      <c r="G509" s="2">
        <v>41721.0</v>
      </c>
      <c r="H509" s="1" t="s">
        <v>24</v>
      </c>
      <c r="I509" s="2">
        <v>41721.0</v>
      </c>
      <c r="J509" s="1" t="s">
        <v>25</v>
      </c>
      <c r="K509" s="1" t="s">
        <v>26</v>
      </c>
      <c r="L509" s="1">
        <v>447.0</v>
      </c>
      <c r="M509" s="1" t="s">
        <v>1261</v>
      </c>
      <c r="N509" s="1">
        <v>33.0</v>
      </c>
      <c r="O509" s="1" t="s">
        <v>28</v>
      </c>
      <c r="P509" s="1">
        <v>2.00070092E8</v>
      </c>
      <c r="Q509" s="1" t="s">
        <v>50</v>
      </c>
      <c r="R509" s="1" t="s">
        <v>30</v>
      </c>
      <c r="S509">
        <f t="shared" si="1"/>
        <v>33447</v>
      </c>
      <c r="T509">
        <f t="array" ref="T509">iferror(index('Copie de Feuille tri Amandine'!B:C,MATCH(S509,'Copie de Feuille tri Amandine'!B:B,0),2),"")</f>
        <v>2380</v>
      </c>
    </row>
    <row r="510">
      <c r="A510" s="1" t="s">
        <v>1262</v>
      </c>
      <c r="B510" s="1" t="s">
        <v>1263</v>
      </c>
      <c r="C510" s="1" t="s">
        <v>22</v>
      </c>
      <c r="D510" s="2">
        <v>16250.0</v>
      </c>
      <c r="E510" s="1">
        <v>165.0</v>
      </c>
      <c r="F510" s="1" t="s">
        <v>208</v>
      </c>
      <c r="G510" s="2">
        <v>41721.0</v>
      </c>
      <c r="H510" s="1" t="s">
        <v>24</v>
      </c>
      <c r="I510" s="2">
        <v>41721.0</v>
      </c>
      <c r="J510" s="1" t="s">
        <v>25</v>
      </c>
      <c r="K510" s="1" t="s">
        <v>26</v>
      </c>
      <c r="L510" s="1">
        <v>480.0</v>
      </c>
      <c r="M510" s="1" t="s">
        <v>1264</v>
      </c>
      <c r="N510" s="1">
        <v>33.0</v>
      </c>
      <c r="O510" s="1" t="s">
        <v>28</v>
      </c>
      <c r="P510" s="1">
        <v>2.00035533E8</v>
      </c>
      <c r="Q510" s="1" t="s">
        <v>146</v>
      </c>
      <c r="R510" s="1" t="s">
        <v>30</v>
      </c>
      <c r="S510">
        <f t="shared" si="1"/>
        <v>33480</v>
      </c>
      <c r="T510">
        <f t="array" ref="T510">iferror(index('Copie de Feuille tri Amandine'!B:C,MATCH(S510,'Copie de Feuille tri Amandine'!B:B,0),2),"")</f>
        <v>1348</v>
      </c>
    </row>
    <row r="511">
      <c r="A511" s="1" t="s">
        <v>801</v>
      </c>
      <c r="B511" s="1" t="s">
        <v>692</v>
      </c>
      <c r="C511" s="1" t="s">
        <v>22</v>
      </c>
      <c r="D511" s="2">
        <v>23499.0</v>
      </c>
      <c r="E511" s="1">
        <v>152.0</v>
      </c>
      <c r="F511" s="1" t="s">
        <v>176</v>
      </c>
      <c r="G511" s="2">
        <v>41721.0</v>
      </c>
      <c r="H511" s="1" t="s">
        <v>24</v>
      </c>
      <c r="I511" s="2">
        <v>41721.0</v>
      </c>
      <c r="J511" s="1" t="s">
        <v>25</v>
      </c>
      <c r="K511" s="1" t="s">
        <v>26</v>
      </c>
      <c r="L511" s="1">
        <v>57.0</v>
      </c>
      <c r="M511" s="1" t="s">
        <v>1265</v>
      </c>
      <c r="N511" s="1">
        <v>33.0</v>
      </c>
      <c r="O511" s="1" t="s">
        <v>28</v>
      </c>
      <c r="P511" s="1">
        <v>2.00069599E8</v>
      </c>
      <c r="Q511" s="1" t="s">
        <v>60</v>
      </c>
      <c r="R511" s="1" t="s">
        <v>30</v>
      </c>
      <c r="S511">
        <f t="shared" si="1"/>
        <v>33057</v>
      </c>
      <c r="T511" t="str">
        <f t="array" ref="T511">iferror(index('Copie de Feuille tri Amandine'!B:C,MATCH(S511,'Copie de Feuille tri Amandine'!B:B,0),2),"")</f>
        <v/>
      </c>
    </row>
    <row r="512">
      <c r="A512" s="1" t="s">
        <v>1266</v>
      </c>
      <c r="B512" s="1" t="s">
        <v>365</v>
      </c>
      <c r="C512" s="1" t="s">
        <v>22</v>
      </c>
      <c r="D512" s="2">
        <v>18576.0</v>
      </c>
      <c r="E512" s="1">
        <v>160.0</v>
      </c>
      <c r="F512" s="1" t="s">
        <v>253</v>
      </c>
      <c r="G512" s="2">
        <v>41728.0</v>
      </c>
      <c r="H512" s="1" t="s">
        <v>24</v>
      </c>
      <c r="I512" s="2">
        <v>41728.0</v>
      </c>
      <c r="J512" s="1" t="s">
        <v>25</v>
      </c>
      <c r="K512" s="1" t="s">
        <v>26</v>
      </c>
      <c r="L512" s="1">
        <v>73.0</v>
      </c>
      <c r="M512" s="1" t="s">
        <v>1267</v>
      </c>
      <c r="N512" s="1">
        <v>33.0</v>
      </c>
      <c r="O512" s="1" t="s">
        <v>28</v>
      </c>
      <c r="P512" s="1">
        <v>2.43300811E8</v>
      </c>
      <c r="Q512" s="1" t="s">
        <v>201</v>
      </c>
      <c r="R512" s="1" t="s">
        <v>30</v>
      </c>
      <c r="S512">
        <f t="shared" si="1"/>
        <v>33073</v>
      </c>
      <c r="T512" t="str">
        <f t="array" ref="T512">iferror(index('Copie de Feuille tri Amandine'!B:C,MATCH(S512,'Copie de Feuille tri Amandine'!B:B,0),2),"")</f>
        <v/>
      </c>
    </row>
    <row r="513">
      <c r="A513" s="1" t="s">
        <v>1268</v>
      </c>
      <c r="B513" s="1" t="s">
        <v>758</v>
      </c>
      <c r="C513" s="1" t="s">
        <v>22</v>
      </c>
      <c r="D513" s="2">
        <v>22160.0</v>
      </c>
      <c r="E513" s="1">
        <v>101.0</v>
      </c>
      <c r="F513" s="1" t="s">
        <v>33</v>
      </c>
      <c r="G513" s="2">
        <v>41721.0</v>
      </c>
      <c r="H513" s="1" t="s">
        <v>24</v>
      </c>
      <c r="I513" s="2">
        <v>41721.0</v>
      </c>
      <c r="J513" s="1" t="s">
        <v>25</v>
      </c>
      <c r="K513" s="1" t="s">
        <v>26</v>
      </c>
      <c r="L513" s="1">
        <v>134.0</v>
      </c>
      <c r="M513" s="1" t="s">
        <v>1269</v>
      </c>
      <c r="N513" s="1">
        <v>33.0</v>
      </c>
      <c r="O513" s="1" t="s">
        <v>28</v>
      </c>
      <c r="P513" s="1">
        <v>2.00069995E8</v>
      </c>
      <c r="Q513" s="1" t="s">
        <v>65</v>
      </c>
      <c r="R513" s="1" t="s">
        <v>30</v>
      </c>
      <c r="S513">
        <f t="shared" si="1"/>
        <v>33134</v>
      </c>
      <c r="T513" t="str">
        <f t="array" ref="T513">iferror(index('Copie de Feuille tri Amandine'!B:C,MATCH(S513,'Copie de Feuille tri Amandine'!B:B,0),2),"")</f>
        <v/>
      </c>
    </row>
    <row r="514">
      <c r="A514" s="1" t="s">
        <v>1270</v>
      </c>
      <c r="B514" s="1" t="s">
        <v>160</v>
      </c>
      <c r="C514" s="1" t="s">
        <v>22</v>
      </c>
      <c r="D514" s="2">
        <v>18637.0</v>
      </c>
      <c r="E514" s="1">
        <v>162.0</v>
      </c>
      <c r="F514" s="1" t="s">
        <v>76</v>
      </c>
      <c r="G514" s="2">
        <v>41721.0</v>
      </c>
      <c r="H514" s="1" t="s">
        <v>24</v>
      </c>
      <c r="I514" s="2">
        <v>41721.0</v>
      </c>
      <c r="J514" s="1" t="s">
        <v>25</v>
      </c>
      <c r="K514" s="1" t="s">
        <v>26</v>
      </c>
      <c r="L514" s="1">
        <v>186.0</v>
      </c>
      <c r="M514" s="1" t="s">
        <v>1271</v>
      </c>
      <c r="N514" s="1">
        <v>33.0</v>
      </c>
      <c r="O514" s="1" t="s">
        <v>28</v>
      </c>
      <c r="P514" s="1">
        <v>2.43301454E8</v>
      </c>
      <c r="Q514" s="1" t="s">
        <v>94</v>
      </c>
      <c r="R514" s="1" t="s">
        <v>30</v>
      </c>
      <c r="S514">
        <f t="shared" si="1"/>
        <v>33186</v>
      </c>
      <c r="T514" t="str">
        <f t="array" ref="T514">iferror(index('Copie de Feuille tri Amandine'!B:C,MATCH(S514,'Copie de Feuille tri Amandine'!B:B,0),2),"")</f>
        <v/>
      </c>
    </row>
    <row r="515">
      <c r="A515" s="1" t="s">
        <v>572</v>
      </c>
      <c r="B515" s="1" t="s">
        <v>692</v>
      </c>
      <c r="C515" s="1" t="s">
        <v>22</v>
      </c>
      <c r="D515" s="2">
        <v>17830.0</v>
      </c>
      <c r="E515" s="1">
        <v>163.0</v>
      </c>
      <c r="F515" s="1" t="s">
        <v>58</v>
      </c>
      <c r="G515" s="2">
        <v>41721.0</v>
      </c>
      <c r="H515" s="1" t="s">
        <v>24</v>
      </c>
      <c r="I515" s="2">
        <v>41721.0</v>
      </c>
      <c r="J515" s="1" t="s">
        <v>25</v>
      </c>
      <c r="K515" s="1" t="s">
        <v>26</v>
      </c>
      <c r="L515" s="1">
        <v>7.0</v>
      </c>
      <c r="M515" s="1" t="s">
        <v>1272</v>
      </c>
      <c r="N515" s="1">
        <v>33.0</v>
      </c>
      <c r="O515" s="1" t="s">
        <v>28</v>
      </c>
      <c r="P515" s="1">
        <v>2.00069581E8</v>
      </c>
      <c r="Q515" s="1" t="s">
        <v>82</v>
      </c>
      <c r="R515" s="1" t="s">
        <v>30</v>
      </c>
      <c r="S515">
        <f t="shared" si="1"/>
        <v>33007</v>
      </c>
      <c r="T515" t="str">
        <f t="array" ref="T515">iferror(index('Copie de Feuille tri Amandine'!B:C,MATCH(S515,'Copie de Feuille tri Amandine'!B:B,0),2),"")</f>
        <v/>
      </c>
    </row>
    <row r="516">
      <c r="A516" s="1" t="s">
        <v>1273</v>
      </c>
      <c r="B516" s="1" t="s">
        <v>1200</v>
      </c>
      <c r="C516" s="1" t="s">
        <v>22</v>
      </c>
      <c r="D516" s="2">
        <v>24496.0</v>
      </c>
      <c r="E516" s="1">
        <v>101.0</v>
      </c>
      <c r="F516" s="1" t="s">
        <v>33</v>
      </c>
      <c r="G516" s="2">
        <v>43466.0</v>
      </c>
      <c r="H516" s="1" t="s">
        <v>24</v>
      </c>
      <c r="I516" s="2">
        <v>43647.0</v>
      </c>
      <c r="J516" s="1" t="s">
        <v>25</v>
      </c>
      <c r="K516" s="1" t="s">
        <v>26</v>
      </c>
      <c r="L516" s="1">
        <v>8.0</v>
      </c>
      <c r="M516" s="1" t="s">
        <v>1274</v>
      </c>
      <c r="N516" s="1">
        <v>33.0</v>
      </c>
      <c r="O516" s="1" t="s">
        <v>28</v>
      </c>
      <c r="P516" s="1">
        <v>2.00069599E8</v>
      </c>
      <c r="Q516" s="1" t="s">
        <v>60</v>
      </c>
      <c r="R516" s="1" t="s">
        <v>30</v>
      </c>
      <c r="S516">
        <f t="shared" si="1"/>
        <v>33008</v>
      </c>
      <c r="T516">
        <f t="array" ref="T516">iferror(index('Copie de Feuille tri Amandine'!B:C,MATCH(S516,'Copie de Feuille tri Amandine'!B:B,0),2),"")</f>
        <v>505</v>
      </c>
    </row>
    <row r="517">
      <c r="A517" s="1" t="s">
        <v>1275</v>
      </c>
      <c r="B517" s="1" t="s">
        <v>305</v>
      </c>
      <c r="C517" s="1" t="s">
        <v>53</v>
      </c>
      <c r="D517" s="2">
        <v>23169.0</v>
      </c>
      <c r="E517" s="1">
        <v>157.0</v>
      </c>
      <c r="F517" s="1" t="s">
        <v>97</v>
      </c>
      <c r="G517" s="2">
        <v>41721.0</v>
      </c>
      <c r="H517" s="1" t="s">
        <v>24</v>
      </c>
      <c r="I517" s="2">
        <v>41721.0</v>
      </c>
      <c r="J517" s="1" t="s">
        <v>25</v>
      </c>
      <c r="K517" s="1" t="s">
        <v>26</v>
      </c>
      <c r="L517" s="1">
        <v>272.0</v>
      </c>
      <c r="M517" s="1" t="s">
        <v>1276</v>
      </c>
      <c r="N517" s="1">
        <v>33.0</v>
      </c>
      <c r="O517" s="1" t="s">
        <v>28</v>
      </c>
      <c r="P517" s="1">
        <v>2.43301181E8</v>
      </c>
      <c r="Q517" s="1" t="s">
        <v>316</v>
      </c>
      <c r="R517" s="1" t="s">
        <v>30</v>
      </c>
      <c r="S517">
        <f t="shared" si="1"/>
        <v>33272</v>
      </c>
      <c r="T517">
        <f t="array" ref="T517">iferror(index('Copie de Feuille tri Amandine'!B:C,MATCH(S517,'Copie de Feuille tri Amandine'!B:B,0),2),"")</f>
        <v>1204</v>
      </c>
    </row>
    <row r="518">
      <c r="A518" s="1" t="s">
        <v>1277</v>
      </c>
      <c r="B518" s="1" t="s">
        <v>1278</v>
      </c>
      <c r="C518" s="1" t="s">
        <v>53</v>
      </c>
      <c r="D518" s="2">
        <v>17929.0</v>
      </c>
      <c r="E518" s="1">
        <v>161.0</v>
      </c>
      <c r="F518" s="1" t="s">
        <v>72</v>
      </c>
      <c r="G518" s="2">
        <v>41721.0</v>
      </c>
      <c r="H518" s="1" t="s">
        <v>24</v>
      </c>
      <c r="I518" s="2">
        <v>41721.0</v>
      </c>
      <c r="J518" s="1" t="s">
        <v>25</v>
      </c>
      <c r="K518" s="1" t="s">
        <v>26</v>
      </c>
      <c r="L518" s="1">
        <v>277.0</v>
      </c>
      <c r="M518" s="1" t="s">
        <v>1279</v>
      </c>
      <c r="N518" s="1">
        <v>33.0</v>
      </c>
      <c r="O518" s="1" t="s">
        <v>28</v>
      </c>
      <c r="P518" s="1">
        <v>2.43301371E8</v>
      </c>
      <c r="Q518" s="1" t="s">
        <v>271</v>
      </c>
      <c r="R518" s="1" t="s">
        <v>30</v>
      </c>
      <c r="S518">
        <f t="shared" si="1"/>
        <v>33277</v>
      </c>
      <c r="T518">
        <f t="array" ref="T518">iferror(index('Copie de Feuille tri Amandine'!B:C,MATCH(S518,'Copie de Feuille tri Amandine'!B:B,0),2),"")</f>
        <v>227</v>
      </c>
    </row>
    <row r="519">
      <c r="A519" s="1" t="s">
        <v>1280</v>
      </c>
      <c r="B519" s="1" t="s">
        <v>113</v>
      </c>
      <c r="C519" s="1" t="s">
        <v>22</v>
      </c>
      <c r="D519" s="2">
        <v>18573.0</v>
      </c>
      <c r="E519" s="1">
        <v>163.0</v>
      </c>
      <c r="F519" s="1" t="s">
        <v>58</v>
      </c>
      <c r="G519" s="2">
        <v>41721.0</v>
      </c>
      <c r="H519" s="1" t="s">
        <v>24</v>
      </c>
      <c r="I519" s="2">
        <v>41721.0</v>
      </c>
      <c r="J519" s="1" t="s">
        <v>25</v>
      </c>
      <c r="K519" s="1" t="s">
        <v>26</v>
      </c>
      <c r="L519" s="1">
        <v>308.0</v>
      </c>
      <c r="M519" s="1" t="s">
        <v>1281</v>
      </c>
      <c r="N519" s="1">
        <v>33.0</v>
      </c>
      <c r="O519" s="1" t="s">
        <v>28</v>
      </c>
      <c r="P519" s="1">
        <v>2.00069581E8</v>
      </c>
      <c r="Q519" s="1" t="s">
        <v>82</v>
      </c>
      <c r="R519" s="1" t="s">
        <v>30</v>
      </c>
      <c r="S519">
        <f t="shared" si="1"/>
        <v>33308</v>
      </c>
      <c r="T519">
        <f t="array" ref="T519">iferror(index('Copie de Feuille tri Amandine'!B:C,MATCH(S519,'Copie de Feuille tri Amandine'!B:B,0),2),"")</f>
        <v>296</v>
      </c>
    </row>
    <row r="520">
      <c r="A520" s="1" t="s">
        <v>1282</v>
      </c>
      <c r="B520" s="1" t="s">
        <v>165</v>
      </c>
      <c r="C520" s="1" t="s">
        <v>22</v>
      </c>
      <c r="D520" s="2">
        <v>16229.0</v>
      </c>
      <c r="E520" s="1">
        <v>165.0</v>
      </c>
      <c r="F520" s="1" t="s">
        <v>208</v>
      </c>
      <c r="G520" s="2">
        <v>41721.0</v>
      </c>
      <c r="H520" s="1" t="s">
        <v>24</v>
      </c>
      <c r="I520" s="2">
        <v>41721.0</v>
      </c>
      <c r="J520" s="1" t="s">
        <v>25</v>
      </c>
      <c r="K520" s="1" t="s">
        <v>26</v>
      </c>
      <c r="L520" s="1">
        <v>323.0</v>
      </c>
      <c r="M520" s="1" t="s">
        <v>1283</v>
      </c>
      <c r="N520" s="1">
        <v>33.0</v>
      </c>
      <c r="O520" s="1" t="s">
        <v>28</v>
      </c>
      <c r="P520" s="1">
        <v>2.00043974E8</v>
      </c>
      <c r="Q520" s="1" t="s">
        <v>78</v>
      </c>
      <c r="R520" s="1" t="s">
        <v>30</v>
      </c>
      <c r="S520">
        <f t="shared" si="1"/>
        <v>33323</v>
      </c>
      <c r="T520" t="str">
        <f t="array" ref="T520">iferror(index('Copie de Feuille tri Amandine'!B:C,MATCH(S520,'Copie de Feuille tri Amandine'!B:B,0),2),"")</f>
        <v/>
      </c>
    </row>
    <row r="521">
      <c r="A521" s="1" t="s">
        <v>1010</v>
      </c>
      <c r="B521" s="1" t="s">
        <v>655</v>
      </c>
      <c r="C521" s="1" t="s">
        <v>22</v>
      </c>
      <c r="D521" s="2">
        <v>16555.0</v>
      </c>
      <c r="E521" s="1">
        <v>161.0</v>
      </c>
      <c r="F521" s="1" t="s">
        <v>72</v>
      </c>
      <c r="G521" s="2">
        <v>41721.0</v>
      </c>
      <c r="H521" s="1" t="s">
        <v>24</v>
      </c>
      <c r="I521" s="2">
        <v>41721.0</v>
      </c>
      <c r="J521" s="1" t="s">
        <v>25</v>
      </c>
      <c r="K521" s="1" t="s">
        <v>26</v>
      </c>
      <c r="L521" s="1">
        <v>341.0</v>
      </c>
      <c r="M521" s="1" t="s">
        <v>1284</v>
      </c>
      <c r="N521" s="1">
        <v>33.0</v>
      </c>
      <c r="O521" s="1" t="s">
        <v>28</v>
      </c>
      <c r="P521" s="1">
        <v>2.43301223E8</v>
      </c>
      <c r="Q521" s="1" t="s">
        <v>163</v>
      </c>
      <c r="R521" s="1" t="s">
        <v>30</v>
      </c>
      <c r="S521">
        <f t="shared" si="1"/>
        <v>33341</v>
      </c>
      <c r="T521">
        <f t="array" ref="T521">iferror(index('Copie de Feuille tri Amandine'!B:C,MATCH(S521,'Copie de Feuille tri Amandine'!B:B,0),2),"")</f>
        <v>2288</v>
      </c>
    </row>
    <row r="522">
      <c r="A522" s="1" t="s">
        <v>1285</v>
      </c>
      <c r="B522" s="1" t="s">
        <v>113</v>
      </c>
      <c r="C522" s="1" t="s">
        <v>22</v>
      </c>
      <c r="D522" s="2">
        <v>16209.0</v>
      </c>
      <c r="E522" s="1">
        <v>163.0</v>
      </c>
      <c r="F522" s="1" t="s">
        <v>58</v>
      </c>
      <c r="G522" s="2">
        <v>41721.0</v>
      </c>
      <c r="H522" s="1" t="s">
        <v>24</v>
      </c>
      <c r="I522" s="2">
        <v>41721.0</v>
      </c>
      <c r="J522" s="1" t="s">
        <v>25</v>
      </c>
      <c r="K522" s="1" t="s">
        <v>26</v>
      </c>
      <c r="L522" s="1">
        <v>357.0</v>
      </c>
      <c r="M522" s="1" t="s">
        <v>1286</v>
      </c>
      <c r="N522" s="1">
        <v>33.0</v>
      </c>
      <c r="O522" s="1" t="s">
        <v>28</v>
      </c>
      <c r="P522" s="1">
        <v>2.00043974E8</v>
      </c>
      <c r="Q522" s="1" t="s">
        <v>78</v>
      </c>
      <c r="R522" s="1" t="s">
        <v>30</v>
      </c>
      <c r="S522">
        <f t="shared" si="1"/>
        <v>33357</v>
      </c>
      <c r="T522">
        <f t="array" ref="T522">iferror(index('Copie de Feuille tri Amandine'!B:C,MATCH(S522,'Copie de Feuille tri Amandine'!B:B,0),2),"")</f>
        <v>1700</v>
      </c>
    </row>
    <row r="523">
      <c r="A523" s="1" t="s">
        <v>1287</v>
      </c>
      <c r="B523" s="1" t="s">
        <v>1288</v>
      </c>
      <c r="C523" s="1" t="s">
        <v>53</v>
      </c>
      <c r="D523" s="2">
        <v>22408.0</v>
      </c>
      <c r="E523" s="1">
        <v>148.0</v>
      </c>
      <c r="F523" s="1" t="s">
        <v>105</v>
      </c>
      <c r="G523" s="2">
        <v>41721.0</v>
      </c>
      <c r="H523" s="1" t="s">
        <v>24</v>
      </c>
      <c r="I523" s="2">
        <v>41721.0</v>
      </c>
      <c r="J523" s="1" t="s">
        <v>25</v>
      </c>
      <c r="K523" s="1" t="s">
        <v>26</v>
      </c>
      <c r="L523" s="1">
        <v>365.0</v>
      </c>
      <c r="M523" s="1" t="s">
        <v>1289</v>
      </c>
      <c r="N523" s="1">
        <v>33.0</v>
      </c>
      <c r="O523" s="1" t="s">
        <v>28</v>
      </c>
      <c r="P523" s="1">
        <v>2.43301397E8</v>
      </c>
      <c r="Q523" s="1" t="s">
        <v>158</v>
      </c>
      <c r="R523" s="1" t="s">
        <v>30</v>
      </c>
      <c r="S523">
        <f t="shared" si="1"/>
        <v>33365</v>
      </c>
      <c r="T523">
        <f t="array" ref="T523">iferror(index('Copie de Feuille tri Amandine'!B:C,MATCH(S523,'Copie de Feuille tri Amandine'!B:B,0),2),"")</f>
        <v>207</v>
      </c>
    </row>
    <row r="524">
      <c r="A524" s="1" t="s">
        <v>1290</v>
      </c>
      <c r="B524" s="1" t="s">
        <v>189</v>
      </c>
      <c r="C524" s="1" t="s">
        <v>22</v>
      </c>
      <c r="D524" s="2">
        <v>19932.0</v>
      </c>
      <c r="E524" s="1">
        <v>142.0</v>
      </c>
      <c r="F524" s="1" t="s">
        <v>141</v>
      </c>
      <c r="G524" s="2">
        <v>41721.0</v>
      </c>
      <c r="H524" s="1" t="s">
        <v>24</v>
      </c>
      <c r="I524" s="2">
        <v>41728.0</v>
      </c>
      <c r="J524" s="1" t="s">
        <v>25</v>
      </c>
      <c r="K524" s="1" t="s">
        <v>26</v>
      </c>
      <c r="L524" s="1">
        <v>374.0</v>
      </c>
      <c r="M524" s="1" t="s">
        <v>1291</v>
      </c>
      <c r="N524" s="1">
        <v>33.0</v>
      </c>
      <c r="O524" s="1" t="s">
        <v>28</v>
      </c>
      <c r="P524" s="1">
        <v>2.43300811E8</v>
      </c>
      <c r="Q524" s="1" t="s">
        <v>201</v>
      </c>
      <c r="R524" s="1" t="s">
        <v>30</v>
      </c>
      <c r="S524">
        <f t="shared" si="1"/>
        <v>33374</v>
      </c>
      <c r="T524">
        <f t="array" ref="T524">iferror(index('Copie de Feuille tri Amandine'!B:C,MATCH(S524,'Copie de Feuille tri Amandine'!B:B,0),2),"")</f>
        <v>821</v>
      </c>
    </row>
    <row r="525">
      <c r="A525" s="1" t="s">
        <v>1292</v>
      </c>
      <c r="B525" s="1" t="s">
        <v>189</v>
      </c>
      <c r="C525" s="1" t="s">
        <v>22</v>
      </c>
      <c r="D525" s="2">
        <v>20846.0</v>
      </c>
      <c r="E525" s="1">
        <v>102.0</v>
      </c>
      <c r="F525" s="1" t="s">
        <v>731</v>
      </c>
      <c r="G525" s="2">
        <v>41721.0</v>
      </c>
      <c r="H525" s="1" t="s">
        <v>24</v>
      </c>
      <c r="I525" s="2">
        <v>41721.0</v>
      </c>
      <c r="J525" s="1" t="s">
        <v>25</v>
      </c>
      <c r="K525" s="1" t="s">
        <v>26</v>
      </c>
      <c r="L525" s="1">
        <v>394.0</v>
      </c>
      <c r="M525" s="1" t="s">
        <v>1293</v>
      </c>
      <c r="N525" s="1">
        <v>33.0</v>
      </c>
      <c r="O525" s="1" t="s">
        <v>28</v>
      </c>
      <c r="P525" s="1">
        <v>2.00035533E8</v>
      </c>
      <c r="Q525" s="1" t="s">
        <v>146</v>
      </c>
      <c r="R525" s="1" t="s">
        <v>30</v>
      </c>
      <c r="S525">
        <f t="shared" si="1"/>
        <v>33394</v>
      </c>
      <c r="T525">
        <f t="array" ref="T525">iferror(index('Copie de Feuille tri Amandine'!B:C,MATCH(S525,'Copie de Feuille tri Amandine'!B:B,0),2),"")</f>
        <v>1874</v>
      </c>
    </row>
    <row r="526">
      <c r="A526" s="1" t="s">
        <v>1294</v>
      </c>
      <c r="B526" s="1" t="s">
        <v>84</v>
      </c>
      <c r="C526" s="1" t="s">
        <v>22</v>
      </c>
      <c r="D526" s="2">
        <v>22982.0</v>
      </c>
      <c r="E526" s="1">
        <v>101.0</v>
      </c>
      <c r="F526" s="1" t="s">
        <v>33</v>
      </c>
      <c r="G526" s="2">
        <v>41721.0</v>
      </c>
      <c r="H526" s="1" t="s">
        <v>24</v>
      </c>
      <c r="I526" s="2">
        <v>41721.0</v>
      </c>
      <c r="J526" s="1" t="s">
        <v>25</v>
      </c>
      <c r="K526" s="1" t="s">
        <v>26</v>
      </c>
      <c r="L526" s="1">
        <v>461.0</v>
      </c>
      <c r="M526" s="1" t="s">
        <v>1295</v>
      </c>
      <c r="N526" s="1">
        <v>33.0</v>
      </c>
      <c r="O526" s="1" t="s">
        <v>28</v>
      </c>
      <c r="P526" s="1">
        <v>2.00035533E8</v>
      </c>
      <c r="Q526" s="1" t="s">
        <v>146</v>
      </c>
      <c r="R526" s="1" t="s">
        <v>30</v>
      </c>
      <c r="S526">
        <f t="shared" si="1"/>
        <v>33461</v>
      </c>
      <c r="T526">
        <f t="array" ref="T526">iferror(index('Copie de Feuille tri Amandine'!B:C,MATCH(S526,'Copie de Feuille tri Amandine'!B:B,0),2),"")</f>
        <v>374</v>
      </c>
    </row>
    <row r="527">
      <c r="A527" s="1" t="s">
        <v>1296</v>
      </c>
      <c r="B527" s="1" t="s">
        <v>1297</v>
      </c>
      <c r="C527" s="1" t="s">
        <v>22</v>
      </c>
      <c r="D527" s="2">
        <v>19566.0</v>
      </c>
      <c r="E527" s="1">
        <v>161.0</v>
      </c>
      <c r="F527" s="1" t="s">
        <v>72</v>
      </c>
      <c r="G527" s="2">
        <v>41721.0</v>
      </c>
      <c r="H527" s="1" t="s">
        <v>24</v>
      </c>
      <c r="I527" s="2">
        <v>41721.0</v>
      </c>
      <c r="J527" s="1" t="s">
        <v>25</v>
      </c>
      <c r="K527" s="1" t="s">
        <v>26</v>
      </c>
      <c r="L527" s="1">
        <v>532.0</v>
      </c>
      <c r="M527" s="1" t="s">
        <v>1298</v>
      </c>
      <c r="N527" s="1">
        <v>33.0</v>
      </c>
      <c r="O527" s="1" t="s">
        <v>28</v>
      </c>
      <c r="P527" s="1">
        <v>2.00070092E8</v>
      </c>
      <c r="Q527" s="1" t="s">
        <v>50</v>
      </c>
      <c r="R527" s="1" t="s">
        <v>30</v>
      </c>
      <c r="S527">
        <f t="shared" si="1"/>
        <v>33532</v>
      </c>
      <c r="T527">
        <f t="array" ref="T527">iferror(index('Copie de Feuille tri Amandine'!B:C,MATCH(S527,'Copie de Feuille tri Amandine'!B:B,0),2),"")</f>
        <v>474</v>
      </c>
    </row>
    <row r="528">
      <c r="A528" s="1" t="s">
        <v>1299</v>
      </c>
      <c r="B528" s="1" t="s">
        <v>992</v>
      </c>
      <c r="C528" s="1" t="s">
        <v>22</v>
      </c>
      <c r="D528" s="2">
        <v>19782.0</v>
      </c>
      <c r="E528" s="1">
        <v>157.0</v>
      </c>
      <c r="F528" s="1" t="s">
        <v>97</v>
      </c>
      <c r="G528" s="2">
        <v>41721.0</v>
      </c>
      <c r="H528" s="1" t="s">
        <v>24</v>
      </c>
      <c r="I528" s="2">
        <v>41721.0</v>
      </c>
      <c r="J528" s="1" t="s">
        <v>25</v>
      </c>
      <c r="K528" s="1" t="s">
        <v>26</v>
      </c>
      <c r="L528" s="1">
        <v>546.0</v>
      </c>
      <c r="M528" s="1" t="s">
        <v>1300</v>
      </c>
      <c r="N528" s="1">
        <v>33.0</v>
      </c>
      <c r="O528" s="1" t="s">
        <v>28</v>
      </c>
      <c r="P528" s="1">
        <v>2.00035533E8</v>
      </c>
      <c r="Q528" s="1" t="s">
        <v>146</v>
      </c>
      <c r="R528" s="1" t="s">
        <v>30</v>
      </c>
      <c r="S528">
        <f t="shared" si="1"/>
        <v>33546</v>
      </c>
      <c r="T528">
        <f t="array" ref="T528">iferror(index('Copie de Feuille tri Amandine'!B:C,MATCH(S528,'Copie de Feuille tri Amandine'!B:B,0),2),"")</f>
        <v>498</v>
      </c>
    </row>
    <row r="529">
      <c r="A529" s="1" t="s">
        <v>1301</v>
      </c>
      <c r="B529" s="1" t="s">
        <v>387</v>
      </c>
      <c r="C529" s="1" t="s">
        <v>53</v>
      </c>
      <c r="D529" s="2">
        <v>22337.0</v>
      </c>
      <c r="E529" s="1">
        <v>157.0</v>
      </c>
      <c r="F529" s="1" t="s">
        <v>97</v>
      </c>
      <c r="G529" s="2">
        <v>41721.0</v>
      </c>
      <c r="H529" s="1" t="s">
        <v>24</v>
      </c>
      <c r="I529" s="2">
        <v>41721.0</v>
      </c>
      <c r="J529" s="1" t="s">
        <v>25</v>
      </c>
      <c r="K529" s="1" t="s">
        <v>26</v>
      </c>
      <c r="L529" s="1">
        <v>553.0</v>
      </c>
      <c r="M529" s="1" t="s">
        <v>1302</v>
      </c>
      <c r="N529" s="1">
        <v>33.0</v>
      </c>
      <c r="O529" s="1" t="s">
        <v>28</v>
      </c>
      <c r="P529" s="1">
        <v>2.43301223E8</v>
      </c>
      <c r="Q529" s="1" t="s">
        <v>163</v>
      </c>
      <c r="R529" s="1" t="s">
        <v>30</v>
      </c>
      <c r="S529">
        <f t="shared" si="1"/>
        <v>33553</v>
      </c>
      <c r="T529">
        <f t="array" ref="T529">iferror(index('Copie de Feuille tri Amandine'!B:C,MATCH(S529,'Copie de Feuille tri Amandine'!B:B,0),2),"")</f>
        <v>1112</v>
      </c>
    </row>
    <row r="530">
      <c r="A530" s="1" t="s">
        <v>439</v>
      </c>
      <c r="B530" s="1" t="s">
        <v>758</v>
      </c>
      <c r="C530" s="1" t="s">
        <v>22</v>
      </c>
      <c r="D530" s="2">
        <v>23552.0</v>
      </c>
      <c r="E530" s="1">
        <v>101.0</v>
      </c>
      <c r="F530" s="1" t="s">
        <v>33</v>
      </c>
      <c r="G530" s="2">
        <v>41721.0</v>
      </c>
      <c r="H530" s="1" t="s">
        <v>24</v>
      </c>
      <c r="I530" s="2">
        <v>41721.0</v>
      </c>
      <c r="J530" s="1" t="s">
        <v>25</v>
      </c>
      <c r="K530" s="1" t="s">
        <v>26</v>
      </c>
      <c r="L530" s="1">
        <v>78.0</v>
      </c>
      <c r="M530" s="1" t="s">
        <v>1303</v>
      </c>
      <c r="N530" s="1">
        <v>33.0</v>
      </c>
      <c r="O530" s="1" t="s">
        <v>28</v>
      </c>
      <c r="P530" s="1">
        <v>2.43301454E8</v>
      </c>
      <c r="Q530" s="1" t="s">
        <v>94</v>
      </c>
      <c r="R530" s="1" t="s">
        <v>30</v>
      </c>
      <c r="S530">
        <f t="shared" si="1"/>
        <v>33078</v>
      </c>
      <c r="T530" t="str">
        <f t="array" ref="T530">iferror(index('Copie de Feuille tri Amandine'!B:C,MATCH(S530,'Copie de Feuille tri Amandine'!B:B,0),2),"")</f>
        <v/>
      </c>
    </row>
    <row r="531">
      <c r="A531" s="1" t="s">
        <v>1304</v>
      </c>
      <c r="B531" s="1" t="s">
        <v>84</v>
      </c>
      <c r="C531" s="1" t="s">
        <v>22</v>
      </c>
      <c r="D531" s="2">
        <v>24639.0</v>
      </c>
      <c r="E531" s="1">
        <v>101.0</v>
      </c>
      <c r="F531" s="1" t="s">
        <v>33</v>
      </c>
      <c r="G531" s="2">
        <v>41721.0</v>
      </c>
      <c r="H531" s="1" t="s">
        <v>24</v>
      </c>
      <c r="I531" s="2">
        <v>42475.0</v>
      </c>
      <c r="J531" s="1" t="s">
        <v>25</v>
      </c>
      <c r="K531" s="1" t="s">
        <v>26</v>
      </c>
      <c r="L531" s="1">
        <v>129.0</v>
      </c>
      <c r="M531" s="1" t="s">
        <v>1305</v>
      </c>
      <c r="N531" s="1">
        <v>33.0</v>
      </c>
      <c r="O531" s="1" t="s">
        <v>28</v>
      </c>
      <c r="P531" s="1">
        <v>2.00069599E8</v>
      </c>
      <c r="Q531" s="1" t="s">
        <v>60</v>
      </c>
      <c r="R531" s="1" t="s">
        <v>30</v>
      </c>
      <c r="S531">
        <f t="shared" si="1"/>
        <v>33129</v>
      </c>
      <c r="T531" t="str">
        <f t="array" ref="T531">iferror(index('Copie de Feuille tri Amandine'!B:C,MATCH(S531,'Copie de Feuille tri Amandine'!B:B,0),2),"")</f>
        <v/>
      </c>
    </row>
    <row r="532">
      <c r="A532" s="1" t="s">
        <v>1306</v>
      </c>
      <c r="B532" s="1" t="s">
        <v>165</v>
      </c>
      <c r="C532" s="1" t="s">
        <v>22</v>
      </c>
      <c r="D532" s="2">
        <v>20327.0</v>
      </c>
      <c r="E532" s="1">
        <v>118.0</v>
      </c>
      <c r="F532" s="1" t="s">
        <v>101</v>
      </c>
      <c r="G532" s="2">
        <v>41721.0</v>
      </c>
      <c r="H532" s="1" t="s">
        <v>24</v>
      </c>
      <c r="I532" s="2">
        <v>41721.0</v>
      </c>
      <c r="J532" s="1" t="s">
        <v>25</v>
      </c>
      <c r="K532" s="1" t="s">
        <v>26</v>
      </c>
      <c r="L532" s="1">
        <v>143.0</v>
      </c>
      <c r="M532" s="1" t="s">
        <v>1307</v>
      </c>
      <c r="N532" s="1">
        <v>33.0</v>
      </c>
      <c r="O532" s="1" t="s">
        <v>28</v>
      </c>
      <c r="P532" s="1">
        <v>2.43301223E8</v>
      </c>
      <c r="Q532" s="1" t="s">
        <v>163</v>
      </c>
      <c r="R532" s="1" t="s">
        <v>30</v>
      </c>
      <c r="S532">
        <f t="shared" si="1"/>
        <v>33143</v>
      </c>
      <c r="T532" t="str">
        <f t="array" ref="T532">iferror(index('Copie de Feuille tri Amandine'!B:C,MATCH(S532,'Copie de Feuille tri Amandine'!B:B,0),2),"")</f>
        <v/>
      </c>
    </row>
    <row r="533">
      <c r="A533" s="1" t="s">
        <v>1308</v>
      </c>
      <c r="B533" s="1" t="s">
        <v>232</v>
      </c>
      <c r="C533" s="1" t="s">
        <v>22</v>
      </c>
      <c r="D533" s="2">
        <v>16803.0</v>
      </c>
      <c r="E533" s="1">
        <v>163.0</v>
      </c>
      <c r="F533" s="1" t="s">
        <v>58</v>
      </c>
      <c r="G533" s="2">
        <v>42957.0</v>
      </c>
      <c r="H533" s="1" t="s">
        <v>24</v>
      </c>
      <c r="I533" s="2">
        <v>43021.0</v>
      </c>
      <c r="J533" s="1" t="s">
        <v>25</v>
      </c>
      <c r="K533" s="1" t="s">
        <v>26</v>
      </c>
      <c r="L533" s="1">
        <v>231.0</v>
      </c>
      <c r="M533" s="1" t="s">
        <v>1309</v>
      </c>
      <c r="N533" s="1">
        <v>33.0</v>
      </c>
      <c r="O533" s="1" t="s">
        <v>28</v>
      </c>
      <c r="P533" s="1">
        <v>2.00069581E8</v>
      </c>
      <c r="Q533" s="1" t="s">
        <v>82</v>
      </c>
      <c r="R533" s="1" t="s">
        <v>30</v>
      </c>
      <c r="S533">
        <f t="shared" si="1"/>
        <v>33231</v>
      </c>
      <c r="T533" t="str">
        <f t="array" ref="T533">iferror(index('Copie de Feuille tri Amandine'!B:C,MATCH(S533,'Copie de Feuille tri Amandine'!B:B,0),2),"")</f>
        <v/>
      </c>
    </row>
    <row r="534">
      <c r="A534" s="1" t="s">
        <v>507</v>
      </c>
      <c r="B534" s="1" t="s">
        <v>154</v>
      </c>
      <c r="C534" s="1" t="s">
        <v>22</v>
      </c>
      <c r="D534" s="2">
        <v>19049.0</v>
      </c>
      <c r="E534" s="1">
        <v>105.0</v>
      </c>
      <c r="F534" s="1" t="s">
        <v>23</v>
      </c>
      <c r="G534" s="2">
        <v>41721.0</v>
      </c>
      <c r="H534" s="1" t="s">
        <v>24</v>
      </c>
      <c r="I534" s="2">
        <v>41721.0</v>
      </c>
      <c r="J534" s="1" t="s">
        <v>25</v>
      </c>
      <c r="K534" s="1" t="s">
        <v>26</v>
      </c>
      <c r="L534" s="1">
        <v>235.0</v>
      </c>
      <c r="M534" s="1" t="s">
        <v>1310</v>
      </c>
      <c r="N534" s="1">
        <v>33.0</v>
      </c>
      <c r="O534" s="1" t="s">
        <v>28</v>
      </c>
      <c r="P534" s="1">
        <v>2.00043982E8</v>
      </c>
      <c r="Q534" s="1" t="s">
        <v>124</v>
      </c>
      <c r="R534" s="1" t="s">
        <v>30</v>
      </c>
      <c r="S534">
        <f t="shared" si="1"/>
        <v>33235</v>
      </c>
      <c r="T534" t="str">
        <f t="array" ref="T534">iferror(index('Copie de Feuille tri Amandine'!B:C,MATCH(S534,'Copie de Feuille tri Amandine'!B:B,0),2),"")</f>
        <v/>
      </c>
    </row>
    <row r="535">
      <c r="A535" s="1" t="s">
        <v>1311</v>
      </c>
      <c r="B535" s="1" t="s">
        <v>1312</v>
      </c>
      <c r="C535" s="1" t="s">
        <v>22</v>
      </c>
      <c r="D535" s="2">
        <v>18779.0</v>
      </c>
      <c r="E535" s="1">
        <v>124.0</v>
      </c>
      <c r="F535" s="1" t="s">
        <v>660</v>
      </c>
      <c r="G535" s="2">
        <v>41721.0</v>
      </c>
      <c r="H535" s="1" t="s">
        <v>24</v>
      </c>
      <c r="I535" s="2">
        <v>43256.0</v>
      </c>
      <c r="J535" s="1" t="s">
        <v>25</v>
      </c>
      <c r="K535" s="1" t="s">
        <v>26</v>
      </c>
      <c r="L535" s="1">
        <v>2.0</v>
      </c>
      <c r="M535" s="1" t="s">
        <v>1313</v>
      </c>
      <c r="N535" s="1">
        <v>33.0</v>
      </c>
      <c r="O535" s="1" t="s">
        <v>28</v>
      </c>
      <c r="P535" s="1">
        <v>2.00044394E8</v>
      </c>
      <c r="Q535" s="1" t="s">
        <v>35</v>
      </c>
      <c r="R535" s="1" t="s">
        <v>30</v>
      </c>
      <c r="S535">
        <f t="shared" si="1"/>
        <v>33002</v>
      </c>
      <c r="T535" t="str">
        <f t="array" ref="T535">iferror(index('Copie de Feuille tri Amandine'!B:C,MATCH(S535,'Copie de Feuille tri Amandine'!B:B,0),2),"")</f>
        <v/>
      </c>
    </row>
    <row r="536">
      <c r="A536" s="1" t="s">
        <v>1314</v>
      </c>
      <c r="B536" s="1" t="s">
        <v>104</v>
      </c>
      <c r="C536" s="1" t="s">
        <v>22</v>
      </c>
      <c r="D536" s="2">
        <v>17432.0</v>
      </c>
      <c r="E536" s="1">
        <v>124.0</v>
      </c>
      <c r="F536" s="1" t="s">
        <v>660</v>
      </c>
      <c r="G536" s="2">
        <v>41721.0</v>
      </c>
      <c r="H536" s="1" t="s">
        <v>24</v>
      </c>
      <c r="I536" s="2">
        <v>41721.0</v>
      </c>
      <c r="J536" s="1" t="s">
        <v>25</v>
      </c>
      <c r="K536" s="1" t="s">
        <v>26</v>
      </c>
      <c r="L536" s="1">
        <v>12.0</v>
      </c>
      <c r="M536" s="1" t="s">
        <v>1315</v>
      </c>
      <c r="N536" s="1">
        <v>33.0</v>
      </c>
      <c r="O536" s="1" t="s">
        <v>28</v>
      </c>
      <c r="P536" s="1">
        <v>2.43301447E8</v>
      </c>
      <c r="Q536" s="1" t="s">
        <v>45</v>
      </c>
      <c r="R536" s="1" t="s">
        <v>30</v>
      </c>
      <c r="S536">
        <f t="shared" si="1"/>
        <v>33012</v>
      </c>
      <c r="T536" t="str">
        <f t="array" ref="T536">iferror(index('Copie de Feuille tri Amandine'!B:C,MATCH(S536,'Copie de Feuille tri Amandine'!B:B,0),2),"")</f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1316</v>
      </c>
      <c r="B1" s="1" t="s">
        <v>18</v>
      </c>
      <c r="C1" s="3" t="s">
        <v>1317</v>
      </c>
    </row>
    <row r="2">
      <c r="A2" t="s">
        <v>1225</v>
      </c>
      <c r="B2">
        <v>33372.0</v>
      </c>
      <c r="C2" s="4">
        <v>59.0</v>
      </c>
      <c r="D2">
        <v>33790.0</v>
      </c>
      <c r="E2" t="s">
        <v>1318</v>
      </c>
      <c r="F2" t="str">
        <f t="shared" ref="F2:F265" si="1">SUBSTITUTE(E2, "(2017)", " ")</f>
        <v>59  </v>
      </c>
      <c r="G2" t="s">
        <v>1319</v>
      </c>
      <c r="H2" t="str">
        <f t="shared" ref="H2:H265" si="2">SUBSTITUTE(G2, " ", "")</f>
        <v>59</v>
      </c>
    </row>
    <row r="3">
      <c r="A3" t="s">
        <v>598</v>
      </c>
      <c r="B3">
        <v>33377.0</v>
      </c>
      <c r="C3" s="4">
        <v>78.0</v>
      </c>
      <c r="D3">
        <v>33220.0</v>
      </c>
      <c r="E3" t="s">
        <v>1320</v>
      </c>
      <c r="F3" t="str">
        <f t="shared" si="1"/>
        <v>78  </v>
      </c>
      <c r="G3" t="s">
        <v>1321</v>
      </c>
      <c r="H3" t="str">
        <f t="shared" si="2"/>
        <v>78</v>
      </c>
    </row>
    <row r="4">
      <c r="A4" t="s">
        <v>1091</v>
      </c>
      <c r="B4">
        <v>33419.0</v>
      </c>
      <c r="C4" s="4">
        <v>78.0</v>
      </c>
      <c r="D4">
        <v>33540.0</v>
      </c>
      <c r="E4" t="s">
        <v>1320</v>
      </c>
      <c r="F4" t="str">
        <f t="shared" si="1"/>
        <v>78  </v>
      </c>
      <c r="G4" t="s">
        <v>1321</v>
      </c>
      <c r="H4" t="str">
        <f t="shared" si="2"/>
        <v>78</v>
      </c>
    </row>
    <row r="5">
      <c r="A5" t="s">
        <v>820</v>
      </c>
      <c r="B5">
        <v>33295.0</v>
      </c>
      <c r="C5" s="4">
        <v>88.0</v>
      </c>
      <c r="D5">
        <v>33240.0</v>
      </c>
      <c r="E5" t="s">
        <v>1322</v>
      </c>
      <c r="F5" t="str">
        <f t="shared" si="1"/>
        <v>88  </v>
      </c>
      <c r="G5" t="s">
        <v>1323</v>
      </c>
      <c r="H5" t="str">
        <f t="shared" si="2"/>
        <v>88</v>
      </c>
    </row>
    <row r="6">
      <c r="A6" t="s">
        <v>1190</v>
      </c>
      <c r="B6">
        <v>33409.0</v>
      </c>
      <c r="C6" s="4">
        <v>89.0</v>
      </c>
      <c r="D6">
        <v>33760.0</v>
      </c>
      <c r="E6" t="s">
        <v>1324</v>
      </c>
      <c r="F6" t="str">
        <f t="shared" si="1"/>
        <v>89  </v>
      </c>
      <c r="G6" t="s">
        <v>1325</v>
      </c>
      <c r="H6" t="str">
        <f t="shared" si="2"/>
        <v>89</v>
      </c>
    </row>
    <row r="7">
      <c r="A7" t="s">
        <v>279</v>
      </c>
      <c r="B7">
        <v>33428.0</v>
      </c>
      <c r="C7" s="4">
        <v>92.0</v>
      </c>
      <c r="D7">
        <v>33190.0</v>
      </c>
      <c r="E7" t="s">
        <v>1326</v>
      </c>
      <c r="F7" t="str">
        <f t="shared" si="1"/>
        <v>92  </v>
      </c>
      <c r="G7" t="s">
        <v>1327</v>
      </c>
      <c r="H7" t="str">
        <f t="shared" si="2"/>
        <v>92</v>
      </c>
    </row>
    <row r="8">
      <c r="A8" t="s">
        <v>335</v>
      </c>
      <c r="B8">
        <v>33275.0</v>
      </c>
      <c r="C8" s="4">
        <v>113.0</v>
      </c>
      <c r="D8">
        <v>33760.0</v>
      </c>
      <c r="E8" t="s">
        <v>1328</v>
      </c>
      <c r="F8" t="str">
        <f t="shared" si="1"/>
        <v>113  </v>
      </c>
      <c r="G8" t="s">
        <v>1329</v>
      </c>
      <c r="H8" t="str">
        <f t="shared" si="2"/>
        <v>113</v>
      </c>
    </row>
    <row r="9">
      <c r="A9" t="s">
        <v>369</v>
      </c>
      <c r="B9">
        <v>33513.0</v>
      </c>
      <c r="C9" s="4">
        <v>118.0</v>
      </c>
      <c r="D9">
        <v>33690.0</v>
      </c>
      <c r="E9" t="s">
        <v>1330</v>
      </c>
      <c r="F9" t="str">
        <f t="shared" si="1"/>
        <v>118  </v>
      </c>
      <c r="G9" t="s">
        <v>1331</v>
      </c>
      <c r="H9" t="str">
        <f t="shared" si="2"/>
        <v>118</v>
      </c>
    </row>
    <row r="10">
      <c r="A10" t="s">
        <v>634</v>
      </c>
      <c r="B10">
        <v>33403.0</v>
      </c>
      <c r="C10" s="4">
        <v>122.0</v>
      </c>
      <c r="D10">
        <v>33490.0</v>
      </c>
      <c r="E10" t="s">
        <v>1332</v>
      </c>
      <c r="F10" t="str">
        <f t="shared" si="1"/>
        <v>122  </v>
      </c>
      <c r="G10" t="s">
        <v>1333</v>
      </c>
      <c r="H10" t="str">
        <f t="shared" si="2"/>
        <v>122</v>
      </c>
    </row>
    <row r="11">
      <c r="A11" t="s">
        <v>554</v>
      </c>
      <c r="B11">
        <v>33526.0</v>
      </c>
      <c r="C11" s="4">
        <v>133.0</v>
      </c>
      <c r="D11">
        <v>33570.0</v>
      </c>
      <c r="E11" t="s">
        <v>1334</v>
      </c>
      <c r="F11" t="str">
        <f t="shared" si="1"/>
        <v>133  </v>
      </c>
      <c r="G11" t="s">
        <v>1335</v>
      </c>
      <c r="H11" t="str">
        <f t="shared" si="2"/>
        <v>133</v>
      </c>
    </row>
    <row r="12">
      <c r="A12" t="s">
        <v>946</v>
      </c>
      <c r="B12">
        <v>33420.0</v>
      </c>
      <c r="C12" s="4">
        <v>134.0</v>
      </c>
      <c r="D12">
        <v>33330.0</v>
      </c>
      <c r="E12" t="s">
        <v>1336</v>
      </c>
      <c r="F12" t="str">
        <f t="shared" si="1"/>
        <v>134  </v>
      </c>
      <c r="G12" t="s">
        <v>1337</v>
      </c>
      <c r="H12" t="str">
        <f t="shared" si="2"/>
        <v>134</v>
      </c>
    </row>
    <row r="13">
      <c r="A13" t="s">
        <v>1111</v>
      </c>
      <c r="B13">
        <v>33292.0</v>
      </c>
      <c r="C13" s="4">
        <v>139.0</v>
      </c>
      <c r="D13">
        <v>33760.0</v>
      </c>
      <c r="E13" t="s">
        <v>1338</v>
      </c>
      <c r="F13" t="str">
        <f t="shared" si="1"/>
        <v>139  </v>
      </c>
      <c r="G13" t="s">
        <v>1339</v>
      </c>
      <c r="H13" t="str">
        <f t="shared" si="2"/>
        <v>139</v>
      </c>
    </row>
    <row r="14">
      <c r="A14" t="s">
        <v>605</v>
      </c>
      <c r="B14">
        <v>33443.0</v>
      </c>
      <c r="C14" s="4">
        <v>143.0</v>
      </c>
      <c r="D14">
        <v>33540.0</v>
      </c>
      <c r="E14" t="s">
        <v>1340</v>
      </c>
      <c r="F14" t="str">
        <f t="shared" si="1"/>
        <v>143  </v>
      </c>
      <c r="G14" t="s">
        <v>1341</v>
      </c>
      <c r="H14" t="str">
        <f t="shared" si="2"/>
        <v>143</v>
      </c>
    </row>
    <row r="15">
      <c r="A15" t="s">
        <v>265</v>
      </c>
      <c r="B15">
        <v>33276.0</v>
      </c>
      <c r="C15" s="4">
        <v>145.0</v>
      </c>
      <c r="D15">
        <v>33690.0</v>
      </c>
      <c r="E15" t="s">
        <v>1342</v>
      </c>
      <c r="F15" t="str">
        <f t="shared" si="1"/>
        <v>145  </v>
      </c>
      <c r="G15" t="s">
        <v>1343</v>
      </c>
      <c r="H15" t="str">
        <f t="shared" si="2"/>
        <v>145</v>
      </c>
    </row>
    <row r="16">
      <c r="A16" t="s">
        <v>860</v>
      </c>
      <c r="B16">
        <v>33401.0</v>
      </c>
      <c r="C16" s="4">
        <v>149.0</v>
      </c>
      <c r="D16">
        <v>33350.0</v>
      </c>
      <c r="E16" t="s">
        <v>1344</v>
      </c>
      <c r="F16" t="str">
        <f t="shared" si="1"/>
        <v>149  </v>
      </c>
      <c r="G16" t="s">
        <v>1345</v>
      </c>
      <c r="H16" t="str">
        <f t="shared" si="2"/>
        <v>149</v>
      </c>
    </row>
    <row r="17">
      <c r="A17" t="s">
        <v>1031</v>
      </c>
      <c r="B17">
        <v>33304.0</v>
      </c>
      <c r="C17" s="4">
        <v>150.0</v>
      </c>
      <c r="D17">
        <v>33580.0</v>
      </c>
      <c r="E17" t="s">
        <v>1346</v>
      </c>
      <c r="F17" t="str">
        <f t="shared" si="1"/>
        <v>150  </v>
      </c>
      <c r="G17" t="s">
        <v>1347</v>
      </c>
      <c r="H17" t="str">
        <f t="shared" si="2"/>
        <v>150</v>
      </c>
    </row>
    <row r="18">
      <c r="A18" t="s">
        <v>993</v>
      </c>
      <c r="B18">
        <v>33411.0</v>
      </c>
      <c r="C18" s="4">
        <v>166.0</v>
      </c>
      <c r="D18">
        <v>33490.0</v>
      </c>
      <c r="E18" t="s">
        <v>1348</v>
      </c>
      <c r="F18" t="str">
        <f t="shared" si="1"/>
        <v>166  </v>
      </c>
      <c r="G18" t="s">
        <v>1349</v>
      </c>
      <c r="H18" t="str">
        <f t="shared" si="2"/>
        <v>166</v>
      </c>
    </row>
    <row r="19">
      <c r="A19" t="s">
        <v>1229</v>
      </c>
      <c r="B19">
        <v>33398.0</v>
      </c>
      <c r="C19" s="4">
        <v>168.0</v>
      </c>
      <c r="D19">
        <v>33190.0</v>
      </c>
      <c r="E19" t="s">
        <v>1350</v>
      </c>
      <c r="F19" t="str">
        <f t="shared" si="1"/>
        <v>168  </v>
      </c>
      <c r="G19" t="s">
        <v>1351</v>
      </c>
      <c r="H19" t="str">
        <f t="shared" si="2"/>
        <v>168</v>
      </c>
    </row>
    <row r="20">
      <c r="A20" t="s">
        <v>479</v>
      </c>
      <c r="B20">
        <v>33291.0</v>
      </c>
      <c r="C20" s="4">
        <v>181.0</v>
      </c>
      <c r="D20">
        <v>33190.0</v>
      </c>
      <c r="E20" t="s">
        <v>1352</v>
      </c>
      <c r="F20" t="str">
        <f t="shared" si="1"/>
        <v>181  </v>
      </c>
      <c r="G20" t="s">
        <v>1353</v>
      </c>
      <c r="H20" t="str">
        <f t="shared" si="2"/>
        <v>181</v>
      </c>
    </row>
    <row r="21">
      <c r="A21" t="s">
        <v>1075</v>
      </c>
      <c r="B21">
        <v>33354.0</v>
      </c>
      <c r="C21" s="4">
        <v>181.0</v>
      </c>
      <c r="D21">
        <v>33220.0</v>
      </c>
      <c r="E21" t="s">
        <v>1352</v>
      </c>
      <c r="F21" t="str">
        <f t="shared" si="1"/>
        <v>181  </v>
      </c>
      <c r="G21" t="s">
        <v>1353</v>
      </c>
      <c r="H21" t="str">
        <f t="shared" si="2"/>
        <v>181</v>
      </c>
    </row>
    <row r="22">
      <c r="A22" t="s">
        <v>1054</v>
      </c>
      <c r="B22">
        <v>33310.0</v>
      </c>
      <c r="C22" s="4">
        <v>182.0</v>
      </c>
      <c r="D22">
        <v>33113.0</v>
      </c>
      <c r="E22" t="s">
        <v>1354</v>
      </c>
      <c r="F22" t="str">
        <f t="shared" si="1"/>
        <v>182  </v>
      </c>
      <c r="G22" t="s">
        <v>1355</v>
      </c>
      <c r="H22" t="str">
        <f t="shared" si="2"/>
        <v>182</v>
      </c>
    </row>
    <row r="23">
      <c r="A23" t="s">
        <v>233</v>
      </c>
      <c r="B23">
        <v>33386.0</v>
      </c>
      <c r="C23" s="4">
        <v>183.0</v>
      </c>
      <c r="D23">
        <v>33570.0</v>
      </c>
      <c r="E23" t="s">
        <v>1356</v>
      </c>
      <c r="F23" t="str">
        <f t="shared" si="1"/>
        <v>183  </v>
      </c>
      <c r="G23" t="s">
        <v>1357</v>
      </c>
      <c r="H23" t="str">
        <f t="shared" si="2"/>
        <v>183</v>
      </c>
    </row>
    <row r="24">
      <c r="A24" t="s">
        <v>698</v>
      </c>
      <c r="B24">
        <v>33446.0</v>
      </c>
      <c r="C24" s="4">
        <v>183.0</v>
      </c>
      <c r="D24">
        <v>33540.0</v>
      </c>
      <c r="E24" t="s">
        <v>1356</v>
      </c>
      <c r="F24" t="str">
        <f t="shared" si="1"/>
        <v>183  </v>
      </c>
      <c r="G24" t="s">
        <v>1357</v>
      </c>
      <c r="H24" t="str">
        <f t="shared" si="2"/>
        <v>183</v>
      </c>
    </row>
    <row r="25">
      <c r="A25" t="s">
        <v>1207</v>
      </c>
      <c r="B25">
        <v>33270.0</v>
      </c>
      <c r="C25" s="4">
        <v>186.0</v>
      </c>
      <c r="D25">
        <v>33430.0</v>
      </c>
      <c r="E25" t="s">
        <v>1358</v>
      </c>
      <c r="F25" t="str">
        <f t="shared" si="1"/>
        <v>186  </v>
      </c>
      <c r="G25" t="s">
        <v>1359</v>
      </c>
      <c r="H25" t="str">
        <f t="shared" si="2"/>
        <v>186</v>
      </c>
    </row>
    <row r="26">
      <c r="A26" t="s">
        <v>696</v>
      </c>
      <c r="B26">
        <v>33404.0</v>
      </c>
      <c r="C26" s="4">
        <v>186.0</v>
      </c>
      <c r="D26">
        <v>33580.0</v>
      </c>
      <c r="E26" t="s">
        <v>1358</v>
      </c>
      <c r="F26" t="str">
        <f t="shared" si="1"/>
        <v>186  </v>
      </c>
      <c r="G26" t="s">
        <v>1359</v>
      </c>
      <c r="H26" t="str">
        <f t="shared" si="2"/>
        <v>186</v>
      </c>
    </row>
    <row r="27">
      <c r="A27" t="s">
        <v>948</v>
      </c>
      <c r="B27">
        <v>33516.0</v>
      </c>
      <c r="C27" s="4">
        <v>190.0</v>
      </c>
      <c r="D27">
        <v>33790.0</v>
      </c>
      <c r="E27" t="s">
        <v>1360</v>
      </c>
      <c r="F27" t="str">
        <f t="shared" si="1"/>
        <v>190  </v>
      </c>
      <c r="G27" t="s">
        <v>1361</v>
      </c>
      <c r="H27" t="str">
        <f t="shared" si="2"/>
        <v>190</v>
      </c>
    </row>
    <row r="28">
      <c r="A28" t="s">
        <v>685</v>
      </c>
      <c r="B28">
        <v>33353.0</v>
      </c>
      <c r="C28" s="4">
        <v>192.0</v>
      </c>
      <c r="D28">
        <v>33580.0</v>
      </c>
      <c r="E28" t="s">
        <v>1362</v>
      </c>
      <c r="F28" t="str">
        <f t="shared" si="1"/>
        <v>192  </v>
      </c>
      <c r="G28" t="s">
        <v>1363</v>
      </c>
      <c r="H28" t="str">
        <f t="shared" si="2"/>
        <v>192</v>
      </c>
    </row>
    <row r="29">
      <c r="A29" t="s">
        <v>1037</v>
      </c>
      <c r="B29">
        <v>33459.0</v>
      </c>
      <c r="C29" s="4">
        <v>196.0</v>
      </c>
      <c r="D29">
        <v>33330.0</v>
      </c>
      <c r="E29" t="s">
        <v>1364</v>
      </c>
      <c r="F29" t="str">
        <f t="shared" si="1"/>
        <v>196  </v>
      </c>
      <c r="G29" t="s">
        <v>1365</v>
      </c>
      <c r="H29" t="str">
        <f t="shared" si="2"/>
        <v>196</v>
      </c>
    </row>
    <row r="30">
      <c r="A30" t="s">
        <v>700</v>
      </c>
      <c r="B30">
        <v>33510.0</v>
      </c>
      <c r="C30" s="4">
        <v>206.0</v>
      </c>
      <c r="D30">
        <v>33490.0</v>
      </c>
      <c r="E30" t="s">
        <v>1366</v>
      </c>
      <c r="F30" t="str">
        <f t="shared" si="1"/>
        <v>206  </v>
      </c>
      <c r="G30" t="s">
        <v>1367</v>
      </c>
      <c r="H30" t="str">
        <f t="shared" si="2"/>
        <v>206</v>
      </c>
    </row>
    <row r="31">
      <c r="A31" t="s">
        <v>1289</v>
      </c>
      <c r="B31">
        <v>33365.0</v>
      </c>
      <c r="C31" s="4">
        <v>207.0</v>
      </c>
      <c r="D31">
        <v>33126.0</v>
      </c>
      <c r="E31" t="s">
        <v>1368</v>
      </c>
      <c r="F31" t="str">
        <f t="shared" si="1"/>
        <v>207  </v>
      </c>
      <c r="G31" t="s">
        <v>1369</v>
      </c>
      <c r="H31" t="str">
        <f t="shared" si="2"/>
        <v>207</v>
      </c>
    </row>
    <row r="32">
      <c r="A32" t="s">
        <v>621</v>
      </c>
      <c r="B32">
        <v>33271.0</v>
      </c>
      <c r="C32" s="4">
        <v>208.0</v>
      </c>
      <c r="D32">
        <v>33690.0</v>
      </c>
      <c r="E32" t="s">
        <v>1370</v>
      </c>
      <c r="F32" t="str">
        <f t="shared" si="1"/>
        <v>208  </v>
      </c>
      <c r="G32" t="s">
        <v>1371</v>
      </c>
      <c r="H32" t="str">
        <f t="shared" si="2"/>
        <v>208</v>
      </c>
    </row>
    <row r="33">
      <c r="A33" t="s">
        <v>482</v>
      </c>
      <c r="B33">
        <v>33326.0</v>
      </c>
      <c r="C33" s="4">
        <v>219.0</v>
      </c>
      <c r="D33">
        <v>33820.0</v>
      </c>
      <c r="E33" t="s">
        <v>1372</v>
      </c>
      <c r="F33" t="str">
        <f t="shared" si="1"/>
        <v>219  </v>
      </c>
      <c r="G33" t="s">
        <v>1373</v>
      </c>
      <c r="H33" t="str">
        <f t="shared" si="2"/>
        <v>219</v>
      </c>
    </row>
    <row r="34">
      <c r="A34" t="s">
        <v>1140</v>
      </c>
      <c r="B34">
        <v>33283.0</v>
      </c>
      <c r="C34" s="4">
        <v>222.0</v>
      </c>
      <c r="D34">
        <v>33540.0</v>
      </c>
      <c r="E34" t="s">
        <v>1374</v>
      </c>
      <c r="F34" t="str">
        <f t="shared" si="1"/>
        <v>222  </v>
      </c>
      <c r="G34" t="s">
        <v>1375</v>
      </c>
      <c r="H34" t="str">
        <f t="shared" si="2"/>
        <v>222</v>
      </c>
    </row>
    <row r="35">
      <c r="A35" t="s">
        <v>59</v>
      </c>
      <c r="B35">
        <v>33482.0</v>
      </c>
      <c r="C35" s="4">
        <v>225.0</v>
      </c>
      <c r="D35">
        <v>33540.0</v>
      </c>
      <c r="E35" t="s">
        <v>1376</v>
      </c>
      <c r="F35" t="str">
        <f t="shared" si="1"/>
        <v>225  </v>
      </c>
      <c r="G35" t="s">
        <v>1377</v>
      </c>
      <c r="H35" t="str">
        <f t="shared" si="2"/>
        <v>225</v>
      </c>
    </row>
    <row r="36">
      <c r="A36" t="s">
        <v>1279</v>
      </c>
      <c r="B36">
        <v>33277.0</v>
      </c>
      <c r="C36" s="4">
        <v>227.0</v>
      </c>
      <c r="D36">
        <v>33790.0</v>
      </c>
      <c r="E36" t="s">
        <v>1378</v>
      </c>
      <c r="F36" t="str">
        <f t="shared" si="1"/>
        <v>227  </v>
      </c>
      <c r="G36" t="s">
        <v>1379</v>
      </c>
      <c r="H36" t="str">
        <f t="shared" si="2"/>
        <v>227</v>
      </c>
    </row>
    <row r="37">
      <c r="A37" t="s">
        <v>995</v>
      </c>
      <c r="B37">
        <v>33432.0</v>
      </c>
      <c r="C37" s="4">
        <v>228.0</v>
      </c>
      <c r="D37">
        <v>33210.0</v>
      </c>
      <c r="E37" t="s">
        <v>1380</v>
      </c>
      <c r="F37" t="str">
        <f t="shared" si="1"/>
        <v>228  </v>
      </c>
      <c r="G37" t="s">
        <v>1381</v>
      </c>
      <c r="H37" t="str">
        <f t="shared" si="2"/>
        <v>228</v>
      </c>
    </row>
    <row r="38">
      <c r="A38" t="s">
        <v>282</v>
      </c>
      <c r="B38">
        <v>33481.0</v>
      </c>
      <c r="C38" s="4">
        <v>229.0</v>
      </c>
      <c r="D38">
        <v>33580.0</v>
      </c>
      <c r="E38" t="s">
        <v>1382</v>
      </c>
      <c r="F38" t="str">
        <f t="shared" si="1"/>
        <v>229  </v>
      </c>
      <c r="G38" t="s">
        <v>1383</v>
      </c>
      <c r="H38" t="str">
        <f t="shared" si="2"/>
        <v>229</v>
      </c>
    </row>
    <row r="39">
      <c r="A39" t="s">
        <v>1384</v>
      </c>
      <c r="B39">
        <v>33396.0</v>
      </c>
      <c r="C39" s="4">
        <v>231.0</v>
      </c>
      <c r="D39">
        <v>33330.0</v>
      </c>
      <c r="E39" t="s">
        <v>1385</v>
      </c>
      <c r="F39" t="str">
        <f t="shared" si="1"/>
        <v>231  </v>
      </c>
      <c r="G39" t="s">
        <v>1386</v>
      </c>
      <c r="H39" t="str">
        <f t="shared" si="2"/>
        <v>231</v>
      </c>
    </row>
    <row r="40">
      <c r="A40" t="s">
        <v>643</v>
      </c>
      <c r="B40">
        <v>33453.0</v>
      </c>
      <c r="C40" s="4">
        <v>233.0</v>
      </c>
      <c r="D40">
        <v>33190.0</v>
      </c>
      <c r="E40" t="s">
        <v>1387</v>
      </c>
      <c r="F40" t="str">
        <f t="shared" si="1"/>
        <v>233  </v>
      </c>
      <c r="G40" t="s">
        <v>1388</v>
      </c>
      <c r="H40" t="str">
        <f t="shared" si="2"/>
        <v>233</v>
      </c>
    </row>
    <row r="41">
      <c r="A41" t="s">
        <v>1060</v>
      </c>
      <c r="B41">
        <v>33450.0</v>
      </c>
      <c r="C41" s="4">
        <v>237.0</v>
      </c>
      <c r="D41">
        <v>33840.0</v>
      </c>
      <c r="E41" t="s">
        <v>1389</v>
      </c>
      <c r="F41" t="str">
        <f t="shared" si="1"/>
        <v>237  </v>
      </c>
      <c r="G41" t="s">
        <v>1390</v>
      </c>
      <c r="H41" t="str">
        <f t="shared" si="2"/>
        <v>237</v>
      </c>
    </row>
    <row r="42">
      <c r="A42" t="s">
        <v>356</v>
      </c>
      <c r="B42">
        <v>33440.0</v>
      </c>
      <c r="C42" s="4">
        <v>242.0</v>
      </c>
      <c r="D42">
        <v>33490.0</v>
      </c>
      <c r="E42" t="s">
        <v>1391</v>
      </c>
      <c r="F42" t="str">
        <f t="shared" si="1"/>
        <v>242  </v>
      </c>
      <c r="G42" t="s">
        <v>1392</v>
      </c>
      <c r="H42" t="str">
        <f t="shared" si="2"/>
        <v>242</v>
      </c>
    </row>
    <row r="43">
      <c r="A43" t="s">
        <v>433</v>
      </c>
      <c r="B43">
        <v>33467.0</v>
      </c>
      <c r="C43" s="4">
        <v>243.0</v>
      </c>
      <c r="D43">
        <v>33220.0</v>
      </c>
      <c r="E43" t="s">
        <v>1393</v>
      </c>
      <c r="F43" t="str">
        <f t="shared" si="1"/>
        <v>243  </v>
      </c>
      <c r="G43" t="s">
        <v>1394</v>
      </c>
      <c r="H43" t="str">
        <f t="shared" si="2"/>
        <v>243</v>
      </c>
    </row>
    <row r="44">
      <c r="A44" t="s">
        <v>769</v>
      </c>
      <c r="B44">
        <v>33278.0</v>
      </c>
      <c r="C44" s="4">
        <v>244.0</v>
      </c>
      <c r="D44">
        <v>33540.0</v>
      </c>
      <c r="E44" t="s">
        <v>1395</v>
      </c>
      <c r="F44" t="str">
        <f t="shared" si="1"/>
        <v>244  </v>
      </c>
      <c r="G44" t="s">
        <v>1396</v>
      </c>
      <c r="H44" t="str">
        <f t="shared" si="2"/>
        <v>244</v>
      </c>
    </row>
    <row r="45">
      <c r="A45" t="s">
        <v>416</v>
      </c>
      <c r="B45">
        <v>33263.0</v>
      </c>
      <c r="C45" s="4">
        <v>245.0</v>
      </c>
      <c r="D45">
        <v>33670.0</v>
      </c>
      <c r="E45" t="s">
        <v>1397</v>
      </c>
      <c r="F45" t="str">
        <f t="shared" si="1"/>
        <v>245  </v>
      </c>
      <c r="G45" t="s">
        <v>1398</v>
      </c>
      <c r="H45" t="str">
        <f t="shared" si="2"/>
        <v>245</v>
      </c>
    </row>
    <row r="46">
      <c r="A46" t="s">
        <v>1193</v>
      </c>
      <c r="B46">
        <v>33427.0</v>
      </c>
      <c r="C46" s="4">
        <v>250.0</v>
      </c>
      <c r="D46">
        <v>33540.0</v>
      </c>
      <c r="E46" t="s">
        <v>1399</v>
      </c>
      <c r="F46" t="str">
        <f t="shared" si="1"/>
        <v>250  </v>
      </c>
      <c r="G46" t="s">
        <v>1400</v>
      </c>
      <c r="H46" t="str">
        <f t="shared" si="2"/>
        <v>250</v>
      </c>
    </row>
    <row r="47">
      <c r="A47" t="s">
        <v>1042</v>
      </c>
      <c r="B47">
        <v>33479.0</v>
      </c>
      <c r="C47" s="4">
        <v>254.0</v>
      </c>
      <c r="D47">
        <v>33190.0</v>
      </c>
      <c r="E47" t="s">
        <v>1401</v>
      </c>
      <c r="F47" t="str">
        <f t="shared" si="1"/>
        <v>254  </v>
      </c>
      <c r="G47" t="s">
        <v>1402</v>
      </c>
      <c r="H47" t="str">
        <f t="shared" si="2"/>
        <v>254</v>
      </c>
    </row>
    <row r="48">
      <c r="A48" t="s">
        <v>1215</v>
      </c>
      <c r="B48">
        <v>33329.0</v>
      </c>
      <c r="C48" s="4">
        <v>260.0</v>
      </c>
      <c r="D48">
        <v>33730.0</v>
      </c>
      <c r="E48" t="s">
        <v>1403</v>
      </c>
      <c r="F48" t="str">
        <f t="shared" si="1"/>
        <v>260  </v>
      </c>
      <c r="G48" t="s">
        <v>1404</v>
      </c>
      <c r="H48" t="str">
        <f t="shared" si="2"/>
        <v>260</v>
      </c>
    </row>
    <row r="49">
      <c r="A49" t="s">
        <v>277</v>
      </c>
      <c r="B49">
        <v>33426.0</v>
      </c>
      <c r="C49" s="4">
        <v>260.0</v>
      </c>
      <c r="D49">
        <v>33330.0</v>
      </c>
      <c r="E49" t="s">
        <v>1403</v>
      </c>
      <c r="F49" t="str">
        <f t="shared" si="1"/>
        <v>260  </v>
      </c>
      <c r="G49" t="s">
        <v>1404</v>
      </c>
      <c r="H49" t="str">
        <f t="shared" si="2"/>
        <v>260</v>
      </c>
    </row>
    <row r="50">
      <c r="A50" t="s">
        <v>155</v>
      </c>
      <c r="B50">
        <v>33359.0</v>
      </c>
      <c r="C50" s="4">
        <v>280.0</v>
      </c>
      <c r="D50">
        <v>33580.0</v>
      </c>
      <c r="E50" t="s">
        <v>1405</v>
      </c>
      <c r="F50" t="str">
        <f t="shared" si="1"/>
        <v>280  </v>
      </c>
      <c r="G50" t="s">
        <v>1406</v>
      </c>
      <c r="H50" t="str">
        <f t="shared" si="2"/>
        <v>280</v>
      </c>
    </row>
    <row r="51">
      <c r="A51" t="s">
        <v>346</v>
      </c>
      <c r="B51">
        <v>33383.0</v>
      </c>
      <c r="C51" s="4">
        <v>283.0</v>
      </c>
      <c r="D51">
        <v>33340.0</v>
      </c>
      <c r="E51" t="s">
        <v>1407</v>
      </c>
      <c r="F51" t="str">
        <f t="shared" si="1"/>
        <v>283  </v>
      </c>
      <c r="G51" t="s">
        <v>1408</v>
      </c>
      <c r="H51" t="str">
        <f t="shared" si="2"/>
        <v>283</v>
      </c>
    </row>
    <row r="52">
      <c r="A52" t="s">
        <v>1188</v>
      </c>
      <c r="B52">
        <v>33399.0</v>
      </c>
      <c r="C52" s="4">
        <v>288.0</v>
      </c>
      <c r="D52">
        <v>33540.0</v>
      </c>
      <c r="E52" t="s">
        <v>1409</v>
      </c>
      <c r="F52" t="str">
        <f t="shared" si="1"/>
        <v>288  </v>
      </c>
      <c r="G52" t="s">
        <v>1410</v>
      </c>
      <c r="H52" t="str">
        <f t="shared" si="2"/>
        <v>288</v>
      </c>
    </row>
    <row r="53">
      <c r="A53" t="s">
        <v>1281</v>
      </c>
      <c r="B53">
        <v>33308.0</v>
      </c>
      <c r="C53" s="4">
        <v>296.0</v>
      </c>
      <c r="D53">
        <v>33410.0</v>
      </c>
      <c r="E53" t="s">
        <v>1411</v>
      </c>
      <c r="F53" t="str">
        <f t="shared" si="1"/>
        <v>296  </v>
      </c>
      <c r="G53" t="s">
        <v>1412</v>
      </c>
      <c r="H53" t="str">
        <f t="shared" si="2"/>
        <v>296</v>
      </c>
    </row>
    <row r="54">
      <c r="A54" t="s">
        <v>852</v>
      </c>
      <c r="B54">
        <v>33288.0</v>
      </c>
      <c r="C54" s="4">
        <v>300.0</v>
      </c>
      <c r="D54">
        <v>33410.0</v>
      </c>
      <c r="E54" t="s">
        <v>1413</v>
      </c>
      <c r="F54" t="str">
        <f t="shared" si="1"/>
        <v>300  </v>
      </c>
      <c r="G54" t="s">
        <v>1414</v>
      </c>
      <c r="H54" t="str">
        <f t="shared" si="2"/>
        <v>300</v>
      </c>
    </row>
    <row r="55">
      <c r="A55" t="s">
        <v>69</v>
      </c>
      <c r="B55">
        <v>33520.0</v>
      </c>
      <c r="C55" s="4">
        <v>300.0</v>
      </c>
      <c r="D55">
        <v>33580.0</v>
      </c>
      <c r="E55" t="s">
        <v>1413</v>
      </c>
      <c r="F55" t="str">
        <f t="shared" si="1"/>
        <v>300  </v>
      </c>
      <c r="G55" t="s">
        <v>1414</v>
      </c>
      <c r="H55" t="str">
        <f t="shared" si="2"/>
        <v>300</v>
      </c>
    </row>
    <row r="56">
      <c r="A56" t="s">
        <v>1221</v>
      </c>
      <c r="B56">
        <v>33347.0</v>
      </c>
      <c r="C56" s="4">
        <v>302.0</v>
      </c>
      <c r="D56">
        <v>33660.0</v>
      </c>
      <c r="E56" t="s">
        <v>1415</v>
      </c>
      <c r="F56" t="str">
        <f t="shared" si="1"/>
        <v>302  </v>
      </c>
      <c r="G56" t="s">
        <v>1416</v>
      </c>
      <c r="H56" t="str">
        <f t="shared" si="2"/>
        <v>302</v>
      </c>
    </row>
    <row r="57">
      <c r="A57" t="s">
        <v>754</v>
      </c>
      <c r="B57">
        <v>33464.0</v>
      </c>
      <c r="C57" s="4">
        <v>308.0</v>
      </c>
      <c r="D57">
        <v>33760.0</v>
      </c>
      <c r="E57" t="s">
        <v>1417</v>
      </c>
      <c r="F57" t="str">
        <f t="shared" si="1"/>
        <v>308  </v>
      </c>
      <c r="G57" t="s">
        <v>1418</v>
      </c>
      <c r="H57" t="str">
        <f t="shared" si="2"/>
        <v>308</v>
      </c>
    </row>
    <row r="58">
      <c r="A58" t="s">
        <v>780</v>
      </c>
      <c r="B58">
        <v>33379.0</v>
      </c>
      <c r="C58" s="4">
        <v>316.0</v>
      </c>
      <c r="D58">
        <v>33540.0</v>
      </c>
      <c r="E58" t="s">
        <v>1419</v>
      </c>
      <c r="F58" t="str">
        <f t="shared" si="1"/>
        <v>316  </v>
      </c>
      <c r="G58" t="s">
        <v>1420</v>
      </c>
      <c r="H58" t="str">
        <f t="shared" si="2"/>
        <v>316</v>
      </c>
    </row>
    <row r="59">
      <c r="A59" t="s">
        <v>867</v>
      </c>
      <c r="B59">
        <v>33549.0</v>
      </c>
      <c r="C59" s="4">
        <v>317.0</v>
      </c>
      <c r="D59">
        <v>33550.0</v>
      </c>
      <c r="E59" t="s">
        <v>1421</v>
      </c>
      <c r="F59" t="str">
        <f t="shared" si="1"/>
        <v>317  </v>
      </c>
      <c r="G59" t="s">
        <v>1422</v>
      </c>
      <c r="H59" t="str">
        <f t="shared" si="2"/>
        <v>317</v>
      </c>
    </row>
    <row r="60">
      <c r="A60" t="s">
        <v>348</v>
      </c>
      <c r="B60">
        <v>33391.0</v>
      </c>
      <c r="C60" s="4">
        <v>320.0</v>
      </c>
      <c r="D60">
        <v>33430.0</v>
      </c>
      <c r="E60" t="s">
        <v>1423</v>
      </c>
      <c r="F60" t="str">
        <f t="shared" si="1"/>
        <v>320  </v>
      </c>
      <c r="G60" t="s">
        <v>1424</v>
      </c>
      <c r="H60" t="str">
        <f t="shared" si="2"/>
        <v>320</v>
      </c>
    </row>
    <row r="61">
      <c r="A61" t="s">
        <v>1095</v>
      </c>
      <c r="B61">
        <v>33524.0</v>
      </c>
      <c r="C61" s="4">
        <v>325.0</v>
      </c>
      <c r="D61">
        <v>33240.0</v>
      </c>
      <c r="E61" t="s">
        <v>1425</v>
      </c>
      <c r="F61" t="str">
        <f t="shared" si="1"/>
        <v>325  </v>
      </c>
      <c r="G61" t="s">
        <v>1426</v>
      </c>
      <c r="H61" t="str">
        <f t="shared" si="2"/>
        <v>325</v>
      </c>
    </row>
    <row r="62">
      <c r="A62" t="s">
        <v>1121</v>
      </c>
      <c r="B62">
        <v>33507.0</v>
      </c>
      <c r="C62" s="4">
        <v>327.0</v>
      </c>
      <c r="D62">
        <v>33430.0</v>
      </c>
      <c r="E62" t="s">
        <v>1427</v>
      </c>
      <c r="F62" t="str">
        <f t="shared" si="1"/>
        <v>327  </v>
      </c>
      <c r="G62" t="s">
        <v>1428</v>
      </c>
      <c r="H62" t="str">
        <f t="shared" si="2"/>
        <v>327</v>
      </c>
    </row>
    <row r="63">
      <c r="A63" t="s">
        <v>73</v>
      </c>
      <c r="B63">
        <v>33531.0</v>
      </c>
      <c r="C63" s="4">
        <v>330.0</v>
      </c>
      <c r="D63">
        <v>33420.0</v>
      </c>
      <c r="E63" t="s">
        <v>1429</v>
      </c>
      <c r="F63" t="str">
        <f t="shared" si="1"/>
        <v>330  </v>
      </c>
      <c r="G63" t="s">
        <v>1430</v>
      </c>
      <c r="H63" t="str">
        <f t="shared" si="2"/>
        <v>330</v>
      </c>
    </row>
    <row r="64">
      <c r="A64" t="s">
        <v>1201</v>
      </c>
      <c r="B64">
        <v>33511.0</v>
      </c>
      <c r="C64" s="4">
        <v>334.0</v>
      </c>
      <c r="D64">
        <v>33690.0</v>
      </c>
      <c r="E64" t="s">
        <v>1431</v>
      </c>
      <c r="F64" t="str">
        <f t="shared" si="1"/>
        <v>334  </v>
      </c>
      <c r="G64" t="s">
        <v>1432</v>
      </c>
      <c r="H64" t="str">
        <f t="shared" si="2"/>
        <v>334</v>
      </c>
    </row>
    <row r="65">
      <c r="A65" t="s">
        <v>783</v>
      </c>
      <c r="B65">
        <v>33429.0</v>
      </c>
      <c r="C65" s="4">
        <v>337.0</v>
      </c>
      <c r="D65">
        <v>33113.0</v>
      </c>
      <c r="E65" t="s">
        <v>1433</v>
      </c>
      <c r="F65" t="str">
        <f t="shared" si="1"/>
        <v>337  </v>
      </c>
      <c r="G65" t="s">
        <v>1434</v>
      </c>
      <c r="H65" t="str">
        <f t="shared" si="2"/>
        <v>337</v>
      </c>
    </row>
    <row r="66">
      <c r="A66" t="s">
        <v>902</v>
      </c>
      <c r="B66">
        <v>33431.0</v>
      </c>
      <c r="C66" s="4">
        <v>339.0</v>
      </c>
      <c r="D66">
        <v>33670.0</v>
      </c>
      <c r="E66" t="s">
        <v>1435</v>
      </c>
      <c r="F66" t="str">
        <f t="shared" si="1"/>
        <v>339  </v>
      </c>
      <c r="G66" t="s">
        <v>1436</v>
      </c>
      <c r="H66" t="str">
        <f t="shared" si="2"/>
        <v>339</v>
      </c>
    </row>
    <row r="67">
      <c r="A67" t="s">
        <v>937</v>
      </c>
      <c r="B67">
        <v>33282.0</v>
      </c>
      <c r="C67" s="4">
        <v>341.0</v>
      </c>
      <c r="D67">
        <v>33350.0</v>
      </c>
      <c r="E67" t="s">
        <v>1437</v>
      </c>
      <c r="F67" t="str">
        <f t="shared" si="1"/>
        <v>341  </v>
      </c>
      <c r="G67" t="s">
        <v>1438</v>
      </c>
      <c r="H67" t="str">
        <f t="shared" si="2"/>
        <v>341</v>
      </c>
    </row>
    <row r="68">
      <c r="A68" t="s">
        <v>756</v>
      </c>
      <c r="B68">
        <v>33486.0</v>
      </c>
      <c r="C68" s="4">
        <v>342.0</v>
      </c>
      <c r="D68">
        <v>33710.0</v>
      </c>
      <c r="E68" t="s">
        <v>1439</v>
      </c>
      <c r="F68" t="str">
        <f t="shared" si="1"/>
        <v>342  </v>
      </c>
      <c r="G68" t="s">
        <v>1440</v>
      </c>
      <c r="H68" t="str">
        <f t="shared" si="2"/>
        <v>342</v>
      </c>
    </row>
    <row r="69">
      <c r="A69" t="s">
        <v>547</v>
      </c>
      <c r="B69">
        <v>33472.0</v>
      </c>
      <c r="C69" s="4">
        <v>348.0</v>
      </c>
      <c r="D69">
        <v>33660.0</v>
      </c>
      <c r="E69" t="s">
        <v>1441</v>
      </c>
      <c r="F69" t="str">
        <f t="shared" si="1"/>
        <v>348  </v>
      </c>
      <c r="G69" t="s">
        <v>1442</v>
      </c>
      <c r="H69" t="str">
        <f t="shared" si="2"/>
        <v>348</v>
      </c>
    </row>
    <row r="70">
      <c r="A70" t="s">
        <v>900</v>
      </c>
      <c r="B70">
        <v>33400.0</v>
      </c>
      <c r="C70" s="4">
        <v>349.0</v>
      </c>
      <c r="D70">
        <v>33580.0</v>
      </c>
      <c r="E70" t="s">
        <v>1443</v>
      </c>
      <c r="F70" t="str">
        <f t="shared" si="1"/>
        <v>349  </v>
      </c>
      <c r="G70" t="s">
        <v>1444</v>
      </c>
      <c r="H70" t="str">
        <f t="shared" si="2"/>
        <v>349</v>
      </c>
    </row>
    <row r="71">
      <c r="A71" t="s">
        <v>1227</v>
      </c>
      <c r="B71">
        <v>33375.0</v>
      </c>
      <c r="C71" s="4">
        <v>351.0</v>
      </c>
      <c r="D71">
        <v>33420.0</v>
      </c>
      <c r="E71" t="s">
        <v>1445</v>
      </c>
      <c r="F71" t="str">
        <f t="shared" si="1"/>
        <v>351  </v>
      </c>
      <c r="G71" t="s">
        <v>1446</v>
      </c>
      <c r="H71" t="str">
        <f t="shared" si="2"/>
        <v>351</v>
      </c>
    </row>
    <row r="72">
      <c r="A72" t="s">
        <v>409</v>
      </c>
      <c r="B72">
        <v>33489.0</v>
      </c>
      <c r="C72" s="4">
        <v>356.0</v>
      </c>
      <c r="D72">
        <v>33920.0</v>
      </c>
      <c r="E72" t="s">
        <v>1447</v>
      </c>
      <c r="F72" t="str">
        <f t="shared" si="1"/>
        <v>356  </v>
      </c>
      <c r="G72" t="s">
        <v>1448</v>
      </c>
      <c r="H72" t="str">
        <f t="shared" si="2"/>
        <v>356</v>
      </c>
    </row>
    <row r="73">
      <c r="A73" t="s">
        <v>828</v>
      </c>
      <c r="B73">
        <v>33491.0</v>
      </c>
      <c r="C73" s="4">
        <v>366.0</v>
      </c>
      <c r="D73">
        <v>33580.0</v>
      </c>
      <c r="E73" t="s">
        <v>1449</v>
      </c>
      <c r="F73" t="str">
        <f t="shared" si="1"/>
        <v>366  </v>
      </c>
      <c r="G73" t="s">
        <v>1450</v>
      </c>
      <c r="H73" t="str">
        <f t="shared" si="2"/>
        <v>366</v>
      </c>
    </row>
    <row r="74">
      <c r="A74" t="s">
        <v>1295</v>
      </c>
      <c r="B74">
        <v>33461.0</v>
      </c>
      <c r="C74" s="4">
        <v>374.0</v>
      </c>
      <c r="D74">
        <v>33350.0</v>
      </c>
      <c r="E74" t="s">
        <v>1451</v>
      </c>
      <c r="F74" t="str">
        <f t="shared" si="1"/>
        <v>374  </v>
      </c>
      <c r="G74" t="s">
        <v>1452</v>
      </c>
      <c r="H74" t="str">
        <f t="shared" si="2"/>
        <v>374</v>
      </c>
    </row>
    <row r="75">
      <c r="A75" t="s">
        <v>64</v>
      </c>
      <c r="B75">
        <v>33493.0</v>
      </c>
      <c r="C75" s="4">
        <v>374.0</v>
      </c>
      <c r="D75">
        <v>33340.0</v>
      </c>
      <c r="E75" t="s">
        <v>1451</v>
      </c>
      <c r="F75" t="str">
        <f t="shared" si="1"/>
        <v>374  </v>
      </c>
      <c r="G75" t="s">
        <v>1452</v>
      </c>
      <c r="H75" t="str">
        <f t="shared" si="2"/>
        <v>374</v>
      </c>
    </row>
    <row r="76">
      <c r="A76" t="s">
        <v>545</v>
      </c>
      <c r="B76">
        <v>33418.0</v>
      </c>
      <c r="C76" s="4">
        <v>381.0</v>
      </c>
      <c r="D76">
        <v>33190.0</v>
      </c>
      <c r="E76" t="s">
        <v>1453</v>
      </c>
      <c r="F76" t="str">
        <f t="shared" si="1"/>
        <v>381  </v>
      </c>
      <c r="G76" t="s">
        <v>1454</v>
      </c>
      <c r="H76" t="str">
        <f t="shared" si="2"/>
        <v>381</v>
      </c>
    </row>
    <row r="77">
      <c r="A77" t="s">
        <v>552</v>
      </c>
      <c r="B77">
        <v>33512.0</v>
      </c>
      <c r="C77" s="4">
        <v>381.0</v>
      </c>
      <c r="D77">
        <v>33690.0</v>
      </c>
      <c r="E77" t="s">
        <v>1453</v>
      </c>
      <c r="F77" t="str">
        <f t="shared" si="1"/>
        <v>381  </v>
      </c>
      <c r="G77" t="s">
        <v>1454</v>
      </c>
      <c r="H77" t="str">
        <f t="shared" si="2"/>
        <v>381</v>
      </c>
    </row>
    <row r="78">
      <c r="A78" t="s">
        <v>419</v>
      </c>
      <c r="B78">
        <v>33299.0</v>
      </c>
      <c r="C78" s="4">
        <v>385.0</v>
      </c>
      <c r="D78">
        <v>33410.0</v>
      </c>
      <c r="E78" t="s">
        <v>1455</v>
      </c>
      <c r="F78" t="str">
        <f t="shared" si="1"/>
        <v>385  </v>
      </c>
      <c r="G78" t="s">
        <v>1456</v>
      </c>
      <c r="H78" t="str">
        <f t="shared" si="2"/>
        <v>385</v>
      </c>
    </row>
    <row r="79">
      <c r="A79" t="s">
        <v>407</v>
      </c>
      <c r="B79">
        <v>33488.0</v>
      </c>
      <c r="C79" s="4">
        <v>385.0</v>
      </c>
      <c r="D79">
        <v>33420.0</v>
      </c>
      <c r="E79" t="s">
        <v>1455</v>
      </c>
      <c r="F79" t="str">
        <f t="shared" si="1"/>
        <v>385  </v>
      </c>
      <c r="G79" t="s">
        <v>1456</v>
      </c>
      <c r="H79" t="str">
        <f t="shared" si="2"/>
        <v>385</v>
      </c>
    </row>
    <row r="80">
      <c r="A80" t="s">
        <v>268</v>
      </c>
      <c r="B80">
        <v>33302.0</v>
      </c>
      <c r="C80" s="4">
        <v>386.0</v>
      </c>
      <c r="D80">
        <v>33500.0</v>
      </c>
      <c r="E80" t="s">
        <v>1457</v>
      </c>
      <c r="F80" t="str">
        <f t="shared" si="1"/>
        <v>386  </v>
      </c>
      <c r="G80" t="s">
        <v>1458</v>
      </c>
      <c r="H80" t="str">
        <f t="shared" si="2"/>
        <v>386</v>
      </c>
    </row>
    <row r="81">
      <c r="A81" t="s">
        <v>157</v>
      </c>
      <c r="B81">
        <v>33414.0</v>
      </c>
      <c r="C81" s="4">
        <v>386.0</v>
      </c>
      <c r="D81">
        <v>33240.0</v>
      </c>
      <c r="E81" t="s">
        <v>1457</v>
      </c>
      <c r="F81" t="str">
        <f t="shared" si="1"/>
        <v>386  </v>
      </c>
      <c r="G81" t="s">
        <v>1458</v>
      </c>
      <c r="H81" t="str">
        <f t="shared" si="2"/>
        <v>386</v>
      </c>
    </row>
    <row r="82">
      <c r="A82" t="s">
        <v>1056</v>
      </c>
      <c r="B82">
        <v>33408.0</v>
      </c>
      <c r="C82" s="4">
        <v>391.0</v>
      </c>
      <c r="D82">
        <v>33670.0</v>
      </c>
      <c r="E82" t="s">
        <v>1459</v>
      </c>
      <c r="F82" t="str">
        <f t="shared" si="1"/>
        <v>391  </v>
      </c>
      <c r="G82" t="s">
        <v>1460</v>
      </c>
      <c r="H82" t="str">
        <f t="shared" si="2"/>
        <v>391</v>
      </c>
    </row>
    <row r="83">
      <c r="A83" t="s">
        <v>487</v>
      </c>
      <c r="B83">
        <v>33406.0</v>
      </c>
      <c r="C83" s="4">
        <v>393.0</v>
      </c>
      <c r="D83">
        <v>33350.0</v>
      </c>
      <c r="E83" t="s">
        <v>1461</v>
      </c>
      <c r="F83" t="str">
        <f t="shared" si="1"/>
        <v>393  </v>
      </c>
      <c r="G83" t="s">
        <v>1462</v>
      </c>
      <c r="H83" t="str">
        <f t="shared" si="2"/>
        <v>393</v>
      </c>
    </row>
    <row r="84">
      <c r="A84" t="s">
        <v>556</v>
      </c>
      <c r="B84">
        <v>33551.0</v>
      </c>
      <c r="C84" s="4">
        <v>395.0</v>
      </c>
      <c r="D84">
        <v>33710.0</v>
      </c>
      <c r="E84" t="s">
        <v>1463</v>
      </c>
      <c r="F84" t="str">
        <f t="shared" si="1"/>
        <v>395  </v>
      </c>
      <c r="G84" t="s">
        <v>1464</v>
      </c>
      <c r="H84" t="str">
        <f t="shared" si="2"/>
        <v>395</v>
      </c>
    </row>
    <row r="85">
      <c r="A85" t="s">
        <v>1024</v>
      </c>
      <c r="B85">
        <v>33269.0</v>
      </c>
      <c r="C85" s="4">
        <v>397.0</v>
      </c>
      <c r="D85">
        <v>33220.0</v>
      </c>
      <c r="E85" t="s">
        <v>1465</v>
      </c>
      <c r="F85" t="str">
        <f t="shared" si="1"/>
        <v>397  </v>
      </c>
      <c r="G85" t="s">
        <v>1466</v>
      </c>
      <c r="H85" t="str">
        <f t="shared" si="2"/>
        <v>397</v>
      </c>
    </row>
    <row r="86">
      <c r="A86" t="s">
        <v>741</v>
      </c>
      <c r="B86">
        <v>33364.0</v>
      </c>
      <c r="C86" s="4">
        <v>403.0</v>
      </c>
      <c r="D86">
        <v>33141.0</v>
      </c>
      <c r="E86" t="s">
        <v>1467</v>
      </c>
      <c r="F86" t="str">
        <f t="shared" si="1"/>
        <v>403  </v>
      </c>
      <c r="G86" t="s">
        <v>1468</v>
      </c>
      <c r="H86" t="str">
        <f t="shared" si="2"/>
        <v>403</v>
      </c>
    </row>
    <row r="87">
      <c r="A87" t="s">
        <v>609</v>
      </c>
      <c r="B87">
        <v>33475.0</v>
      </c>
      <c r="C87" s="4">
        <v>404.0</v>
      </c>
      <c r="D87">
        <v>33710.0</v>
      </c>
      <c r="E87" t="s">
        <v>1469</v>
      </c>
      <c r="F87" t="str">
        <f t="shared" si="1"/>
        <v>404  </v>
      </c>
      <c r="G87" t="s">
        <v>1470</v>
      </c>
      <c r="H87" t="str">
        <f t="shared" si="2"/>
        <v>404</v>
      </c>
    </row>
    <row r="88">
      <c r="A88" t="s">
        <v>693</v>
      </c>
      <c r="B88">
        <v>33390.0</v>
      </c>
      <c r="C88" s="4">
        <v>422.0</v>
      </c>
      <c r="D88">
        <v>33350.0</v>
      </c>
      <c r="E88" t="s">
        <v>1471</v>
      </c>
      <c r="F88" t="str">
        <f t="shared" si="1"/>
        <v>422  </v>
      </c>
      <c r="G88" t="s">
        <v>1472</v>
      </c>
      <c r="H88" t="str">
        <f t="shared" si="2"/>
        <v>422</v>
      </c>
    </row>
    <row r="89">
      <c r="A89" t="s">
        <v>771</v>
      </c>
      <c r="B89">
        <v>33285.0</v>
      </c>
      <c r="C89" s="4">
        <v>423.0</v>
      </c>
      <c r="D89">
        <v>33710.0</v>
      </c>
      <c r="E89" t="s">
        <v>1473</v>
      </c>
      <c r="F89" t="str">
        <f t="shared" si="1"/>
        <v>423  </v>
      </c>
      <c r="G89" t="s">
        <v>1474</v>
      </c>
      <c r="H89" t="str">
        <f t="shared" si="2"/>
        <v>423</v>
      </c>
    </row>
    <row r="90">
      <c r="A90" t="s">
        <v>856</v>
      </c>
      <c r="B90">
        <v>33346.0</v>
      </c>
      <c r="C90" s="4">
        <v>423.0</v>
      </c>
      <c r="D90">
        <v>33190.0</v>
      </c>
      <c r="E90" t="s">
        <v>1473</v>
      </c>
      <c r="F90" t="str">
        <f t="shared" si="1"/>
        <v>423  </v>
      </c>
      <c r="G90" t="s">
        <v>1474</v>
      </c>
      <c r="H90" t="str">
        <f t="shared" si="2"/>
        <v>423</v>
      </c>
    </row>
    <row r="91">
      <c r="A91" t="s">
        <v>242</v>
      </c>
      <c r="B91">
        <v>33500.0</v>
      </c>
      <c r="C91" s="4">
        <v>426.0</v>
      </c>
      <c r="D91">
        <v>33710.0</v>
      </c>
      <c r="E91" t="s">
        <v>1475</v>
      </c>
      <c r="F91" t="str">
        <f t="shared" si="1"/>
        <v>426  </v>
      </c>
      <c r="G91" t="s">
        <v>1476</v>
      </c>
      <c r="H91" t="str">
        <f t="shared" si="2"/>
        <v>426</v>
      </c>
    </row>
    <row r="92">
      <c r="A92" t="s">
        <v>77</v>
      </c>
      <c r="B92">
        <v>33537.0</v>
      </c>
      <c r="C92" s="4">
        <v>430.0</v>
      </c>
      <c r="D92">
        <v>33730.0</v>
      </c>
      <c r="E92" t="s">
        <v>1477</v>
      </c>
      <c r="F92" t="str">
        <f t="shared" si="1"/>
        <v>430  </v>
      </c>
      <c r="G92" t="s">
        <v>1478</v>
      </c>
      <c r="H92" t="str">
        <f t="shared" si="2"/>
        <v>430</v>
      </c>
    </row>
    <row r="93">
      <c r="A93" t="s">
        <v>649</v>
      </c>
      <c r="B93">
        <v>33515.0</v>
      </c>
      <c r="C93" s="4">
        <v>432.0</v>
      </c>
      <c r="D93">
        <v>33760.0</v>
      </c>
      <c r="E93" t="s">
        <v>1479</v>
      </c>
      <c r="F93" t="str">
        <f t="shared" si="1"/>
        <v>432  </v>
      </c>
      <c r="G93" t="s">
        <v>1480</v>
      </c>
      <c r="H93" t="str">
        <f t="shared" si="2"/>
        <v>432</v>
      </c>
    </row>
    <row r="94">
      <c r="A94" t="s">
        <v>778</v>
      </c>
      <c r="B94">
        <v>33367.0</v>
      </c>
      <c r="C94" s="4">
        <v>434.0</v>
      </c>
      <c r="D94">
        <v>33490.0</v>
      </c>
      <c r="E94" t="s">
        <v>1481</v>
      </c>
      <c r="F94" t="str">
        <f t="shared" si="1"/>
        <v>434  </v>
      </c>
      <c r="G94" t="s">
        <v>1482</v>
      </c>
      <c r="H94" t="str">
        <f t="shared" si="2"/>
        <v>434</v>
      </c>
    </row>
    <row r="95">
      <c r="A95" t="s">
        <v>1145</v>
      </c>
      <c r="B95">
        <v>33421.0</v>
      </c>
      <c r="C95" s="4">
        <v>440.0</v>
      </c>
      <c r="D95">
        <v>33420.0</v>
      </c>
      <c r="E95" t="s">
        <v>1483</v>
      </c>
      <c r="F95" t="str">
        <f t="shared" si="1"/>
        <v>440  </v>
      </c>
      <c r="G95" t="s">
        <v>1484</v>
      </c>
      <c r="H95" t="str">
        <f t="shared" si="2"/>
        <v>440</v>
      </c>
    </row>
    <row r="96">
      <c r="A96" t="s">
        <v>690</v>
      </c>
      <c r="B96">
        <v>33384.0</v>
      </c>
      <c r="C96" s="4">
        <v>442.0</v>
      </c>
      <c r="D96">
        <v>33330.0</v>
      </c>
      <c r="E96" t="s">
        <v>1485</v>
      </c>
      <c r="F96" t="str">
        <f t="shared" si="1"/>
        <v>442  </v>
      </c>
      <c r="G96" t="s">
        <v>1486</v>
      </c>
      <c r="H96" t="str">
        <f t="shared" si="2"/>
        <v>442</v>
      </c>
    </row>
    <row r="97">
      <c r="A97" t="s">
        <v>683</v>
      </c>
      <c r="B97">
        <v>33319.0</v>
      </c>
      <c r="C97" s="4">
        <v>449.0</v>
      </c>
      <c r="D97">
        <v>33890.0</v>
      </c>
      <c r="E97" t="s">
        <v>1487</v>
      </c>
      <c r="F97" t="str">
        <f t="shared" si="1"/>
        <v>449  </v>
      </c>
      <c r="G97" t="s">
        <v>1488</v>
      </c>
      <c r="H97" t="str">
        <f t="shared" si="2"/>
        <v>449</v>
      </c>
    </row>
    <row r="98">
      <c r="A98" t="s">
        <v>1198</v>
      </c>
      <c r="B98">
        <v>33468.0</v>
      </c>
      <c r="C98" s="4">
        <v>457.0</v>
      </c>
      <c r="D98">
        <v>33350.0</v>
      </c>
      <c r="E98" t="s">
        <v>1489</v>
      </c>
      <c r="F98" t="str">
        <f t="shared" si="1"/>
        <v>457  </v>
      </c>
      <c r="G98" t="s">
        <v>1490</v>
      </c>
      <c r="H98" t="str">
        <f t="shared" si="2"/>
        <v>457</v>
      </c>
    </row>
    <row r="99">
      <c r="A99" t="s">
        <v>942</v>
      </c>
      <c r="B99">
        <v>33358.0</v>
      </c>
      <c r="C99" s="4">
        <v>460.0</v>
      </c>
      <c r="D99">
        <v>33760.0</v>
      </c>
      <c r="E99" t="s">
        <v>1491</v>
      </c>
      <c r="F99" t="str">
        <f t="shared" si="1"/>
        <v>460  </v>
      </c>
      <c r="G99" t="s">
        <v>1492</v>
      </c>
      <c r="H99" t="str">
        <f t="shared" si="2"/>
        <v>460</v>
      </c>
    </row>
    <row r="100">
      <c r="A100" t="s">
        <v>34</v>
      </c>
      <c r="B100">
        <v>33306.0</v>
      </c>
      <c r="C100" s="4">
        <v>466.0</v>
      </c>
      <c r="D100">
        <v>33190.0</v>
      </c>
      <c r="E100" t="s">
        <v>1493</v>
      </c>
      <c r="F100" t="str">
        <f t="shared" si="1"/>
        <v>466  </v>
      </c>
      <c r="G100" t="s">
        <v>1494</v>
      </c>
      <c r="H100" t="str">
        <f t="shared" si="2"/>
        <v>466</v>
      </c>
    </row>
    <row r="101">
      <c r="A101" t="s">
        <v>343</v>
      </c>
      <c r="B101">
        <v>33331.0</v>
      </c>
      <c r="C101" s="4">
        <v>470.0</v>
      </c>
      <c r="D101">
        <v>33190.0</v>
      </c>
      <c r="E101" t="s">
        <v>1495</v>
      </c>
      <c r="F101" t="str">
        <f t="shared" si="1"/>
        <v>470  </v>
      </c>
      <c r="G101" t="s">
        <v>1496</v>
      </c>
      <c r="H101" t="str">
        <f t="shared" si="2"/>
        <v>470</v>
      </c>
    </row>
    <row r="102">
      <c r="A102" t="s">
        <v>1298</v>
      </c>
      <c r="B102">
        <v>33532.0</v>
      </c>
      <c r="C102" s="4">
        <v>474.0</v>
      </c>
      <c r="D102">
        <v>33620.0</v>
      </c>
      <c r="E102" t="s">
        <v>1497</v>
      </c>
      <c r="F102" t="str">
        <f t="shared" si="1"/>
        <v>474  </v>
      </c>
      <c r="G102" t="s">
        <v>1498</v>
      </c>
      <c r="H102" t="str">
        <f t="shared" si="2"/>
        <v>474</v>
      </c>
    </row>
    <row r="103">
      <c r="A103" t="s">
        <v>794</v>
      </c>
      <c r="B103">
        <v>33502.0</v>
      </c>
      <c r="C103" s="4">
        <v>475.0</v>
      </c>
      <c r="D103">
        <v>33920.0</v>
      </c>
      <c r="E103" t="s">
        <v>1499</v>
      </c>
      <c r="F103" t="str">
        <f t="shared" si="1"/>
        <v>475  </v>
      </c>
      <c r="G103" t="s">
        <v>1500</v>
      </c>
      <c r="H103" t="str">
        <f t="shared" si="2"/>
        <v>475</v>
      </c>
    </row>
    <row r="104">
      <c r="A104" t="s">
        <v>904</v>
      </c>
      <c r="B104">
        <v>33462.0</v>
      </c>
      <c r="C104" s="4">
        <v>476.0</v>
      </c>
      <c r="D104">
        <v>33220.0</v>
      </c>
      <c r="E104" t="s">
        <v>1501</v>
      </c>
      <c r="F104" t="str">
        <f t="shared" si="1"/>
        <v>476  </v>
      </c>
      <c r="G104" t="s">
        <v>1502</v>
      </c>
      <c r="H104" t="str">
        <f t="shared" si="2"/>
        <v>476</v>
      </c>
    </row>
    <row r="105">
      <c r="A105" t="s">
        <v>1087</v>
      </c>
      <c r="B105">
        <v>33405.0</v>
      </c>
      <c r="C105" s="4">
        <v>485.0</v>
      </c>
      <c r="D105">
        <v>33390.0</v>
      </c>
      <c r="E105" t="s">
        <v>1503</v>
      </c>
      <c r="F105" t="str">
        <f t="shared" si="1"/>
        <v>485  </v>
      </c>
      <c r="G105" t="s">
        <v>1504</v>
      </c>
      <c r="H105" t="str">
        <f t="shared" si="2"/>
        <v>485</v>
      </c>
    </row>
    <row r="106">
      <c r="A106" t="s">
        <v>1300</v>
      </c>
      <c r="B106">
        <v>33546.0</v>
      </c>
      <c r="C106" s="4">
        <v>498.0</v>
      </c>
      <c r="D106">
        <v>33330.0</v>
      </c>
      <c r="E106" t="s">
        <v>1505</v>
      </c>
      <c r="F106" t="str">
        <f t="shared" si="1"/>
        <v>498  </v>
      </c>
      <c r="G106" t="s">
        <v>1506</v>
      </c>
      <c r="H106" t="str">
        <f t="shared" si="2"/>
        <v>498</v>
      </c>
    </row>
    <row r="107">
      <c r="A107" t="s">
        <v>494</v>
      </c>
      <c r="B107">
        <v>33509.0</v>
      </c>
      <c r="C107" s="4">
        <v>504.0</v>
      </c>
      <c r="D107">
        <v>33910.0</v>
      </c>
      <c r="E107" t="s">
        <v>1507</v>
      </c>
      <c r="F107" t="str">
        <f t="shared" si="1"/>
        <v>504  </v>
      </c>
      <c r="G107" t="s">
        <v>1508</v>
      </c>
      <c r="H107" t="str">
        <f t="shared" si="2"/>
        <v>504</v>
      </c>
    </row>
    <row r="108">
      <c r="A108" t="s">
        <v>1509</v>
      </c>
      <c r="B108">
        <v>33008.0</v>
      </c>
      <c r="C108" s="4">
        <v>505.0</v>
      </c>
      <c r="D108">
        <v>33760.0</v>
      </c>
      <c r="E108" t="s">
        <v>1510</v>
      </c>
      <c r="F108" t="str">
        <f t="shared" si="1"/>
        <v>505  </v>
      </c>
      <c r="G108" t="s">
        <v>1511</v>
      </c>
      <c r="H108" t="str">
        <f t="shared" si="2"/>
        <v>505</v>
      </c>
    </row>
    <row r="109">
      <c r="A109" t="s">
        <v>645</v>
      </c>
      <c r="B109">
        <v>33456.0</v>
      </c>
      <c r="C109" s="4">
        <v>505.0</v>
      </c>
      <c r="D109">
        <v>33820.0</v>
      </c>
      <c r="E109" t="s">
        <v>1510</v>
      </c>
      <c r="F109" t="str">
        <f t="shared" si="1"/>
        <v>505  </v>
      </c>
      <c r="G109" t="s">
        <v>1511</v>
      </c>
      <c r="H109" t="str">
        <f t="shared" si="2"/>
        <v>505</v>
      </c>
    </row>
    <row r="110">
      <c r="A110" t="s">
        <v>821</v>
      </c>
      <c r="B110">
        <v>33309.0</v>
      </c>
      <c r="C110" s="4">
        <v>510.0</v>
      </c>
      <c r="D110">
        <v>33340.0</v>
      </c>
      <c r="E110" t="s">
        <v>1512</v>
      </c>
      <c r="F110" t="str">
        <f t="shared" si="1"/>
        <v>510  </v>
      </c>
      <c r="G110" t="s">
        <v>1513</v>
      </c>
      <c r="H110" t="str">
        <f t="shared" si="2"/>
        <v>510</v>
      </c>
    </row>
    <row r="111">
      <c r="A111" t="s">
        <v>997</v>
      </c>
      <c r="B111">
        <v>33451.0</v>
      </c>
      <c r="C111" s="4">
        <v>522.0</v>
      </c>
      <c r="D111">
        <v>33126.0</v>
      </c>
      <c r="E111" t="s">
        <v>1514</v>
      </c>
      <c r="F111" t="str">
        <f t="shared" si="1"/>
        <v>522  </v>
      </c>
      <c r="G111" t="s">
        <v>1515</v>
      </c>
      <c r="H111" t="str">
        <f t="shared" si="2"/>
        <v>522</v>
      </c>
    </row>
    <row r="112">
      <c r="A112" t="s">
        <v>1209</v>
      </c>
      <c r="B112">
        <v>33280.0</v>
      </c>
      <c r="C112" s="4">
        <v>525.0</v>
      </c>
      <c r="D112">
        <v>33390.0</v>
      </c>
      <c r="E112" t="s">
        <v>1516</v>
      </c>
      <c r="F112" t="str">
        <f t="shared" si="1"/>
        <v>525  </v>
      </c>
      <c r="G112" t="s">
        <v>1517</v>
      </c>
      <c r="H112" t="str">
        <f t="shared" si="2"/>
        <v>525</v>
      </c>
    </row>
    <row r="113">
      <c r="A113" t="s">
        <v>999</v>
      </c>
      <c r="B113">
        <v>33503.0</v>
      </c>
      <c r="C113" s="4">
        <v>532.0</v>
      </c>
      <c r="D113">
        <v>33680.0</v>
      </c>
      <c r="E113" t="s">
        <v>1518</v>
      </c>
      <c r="F113" t="str">
        <f t="shared" si="1"/>
        <v>532  </v>
      </c>
      <c r="G113" t="s">
        <v>1519</v>
      </c>
      <c r="H113" t="str">
        <f t="shared" si="2"/>
        <v>532</v>
      </c>
    </row>
    <row r="114">
      <c r="A114" t="s">
        <v>989</v>
      </c>
      <c r="B114">
        <v>33344.0</v>
      </c>
      <c r="C114" s="4">
        <v>538.0</v>
      </c>
      <c r="D114">
        <v>33350.0</v>
      </c>
      <c r="E114" t="s">
        <v>1520</v>
      </c>
      <c r="F114" t="str">
        <f t="shared" si="1"/>
        <v>538  </v>
      </c>
      <c r="G114" t="s">
        <v>1521</v>
      </c>
      <c r="H114" t="str">
        <f t="shared" si="2"/>
        <v>538</v>
      </c>
    </row>
    <row r="115">
      <c r="A115" t="s">
        <v>491</v>
      </c>
      <c r="B115">
        <v>33442.0</v>
      </c>
      <c r="C115" s="4">
        <v>544.0</v>
      </c>
      <c r="D115">
        <v>33910.0</v>
      </c>
      <c r="E115" t="s">
        <v>1522</v>
      </c>
      <c r="F115" t="str">
        <f t="shared" si="1"/>
        <v>544  </v>
      </c>
      <c r="G115" t="s">
        <v>1523</v>
      </c>
      <c r="H115" t="str">
        <f t="shared" si="2"/>
        <v>544</v>
      </c>
    </row>
    <row r="116">
      <c r="A116" t="s">
        <v>940</v>
      </c>
      <c r="B116">
        <v>33294.0</v>
      </c>
      <c r="C116" s="4">
        <v>545.0</v>
      </c>
      <c r="D116">
        <v>33190.0</v>
      </c>
      <c r="E116" t="s">
        <v>1524</v>
      </c>
      <c r="F116" t="str">
        <f t="shared" si="1"/>
        <v>545  </v>
      </c>
      <c r="G116" t="s">
        <v>1525</v>
      </c>
      <c r="H116" t="str">
        <f t="shared" si="2"/>
        <v>545</v>
      </c>
    </row>
    <row r="117">
      <c r="A117" t="s">
        <v>651</v>
      </c>
      <c r="B117">
        <v>33538.0</v>
      </c>
      <c r="C117" s="4">
        <v>548.0</v>
      </c>
      <c r="D117">
        <v>33340.0</v>
      </c>
      <c r="E117" t="s">
        <v>1526</v>
      </c>
      <c r="F117" t="str">
        <f t="shared" si="1"/>
        <v>548  </v>
      </c>
      <c r="G117" t="s">
        <v>1527</v>
      </c>
      <c r="H117" t="str">
        <f t="shared" si="2"/>
        <v>548</v>
      </c>
    </row>
    <row r="118">
      <c r="A118" t="s">
        <v>858</v>
      </c>
      <c r="B118">
        <v>33370.0</v>
      </c>
      <c r="C118" s="4">
        <v>551.0</v>
      </c>
      <c r="D118">
        <v>33390.0</v>
      </c>
      <c r="E118" t="s">
        <v>1528</v>
      </c>
      <c r="F118" t="str">
        <f t="shared" si="1"/>
        <v>551  </v>
      </c>
      <c r="G118" t="s">
        <v>1529</v>
      </c>
      <c r="H118" t="str">
        <f t="shared" si="2"/>
        <v>551</v>
      </c>
    </row>
    <row r="119">
      <c r="A119" t="s">
        <v>752</v>
      </c>
      <c r="B119">
        <v>33457.0</v>
      </c>
      <c r="C119" s="4">
        <v>579.0</v>
      </c>
      <c r="D119">
        <v>33210.0</v>
      </c>
      <c r="E119" t="s">
        <v>1530</v>
      </c>
      <c r="F119" t="str">
        <f t="shared" si="1"/>
        <v>579  </v>
      </c>
      <c r="G119" t="s">
        <v>1531</v>
      </c>
      <c r="H119" t="str">
        <f t="shared" si="2"/>
        <v>579</v>
      </c>
    </row>
    <row r="120">
      <c r="A120" t="s">
        <v>983</v>
      </c>
      <c r="B120">
        <v>33301.0</v>
      </c>
      <c r="C120" s="4">
        <v>580.0</v>
      </c>
      <c r="D120">
        <v>33420.0</v>
      </c>
      <c r="E120" t="s">
        <v>1532</v>
      </c>
      <c r="F120" t="str">
        <f t="shared" si="1"/>
        <v>580  </v>
      </c>
      <c r="G120" t="s">
        <v>1533</v>
      </c>
      <c r="H120" t="str">
        <f t="shared" si="2"/>
        <v>580</v>
      </c>
    </row>
    <row r="121">
      <c r="A121" t="s">
        <v>425</v>
      </c>
      <c r="B121">
        <v>33373.0</v>
      </c>
      <c r="C121" s="4">
        <v>585.0</v>
      </c>
      <c r="D121">
        <v>33660.0</v>
      </c>
      <c r="E121" t="s">
        <v>1534</v>
      </c>
      <c r="F121" t="str">
        <f t="shared" si="1"/>
        <v>585  </v>
      </c>
      <c r="G121" t="s">
        <v>1535</v>
      </c>
      <c r="H121" t="str">
        <f t="shared" si="2"/>
        <v>585</v>
      </c>
    </row>
    <row r="122">
      <c r="A122" t="s">
        <v>1117</v>
      </c>
      <c r="B122">
        <v>33444.0</v>
      </c>
      <c r="C122" s="4">
        <v>589.0</v>
      </c>
      <c r="D122">
        <v>33490.0</v>
      </c>
      <c r="E122" t="s">
        <v>1536</v>
      </c>
      <c r="F122" t="str">
        <f t="shared" si="1"/>
        <v>589  </v>
      </c>
      <c r="G122" t="s">
        <v>1537</v>
      </c>
      <c r="H122" t="str">
        <f t="shared" si="2"/>
        <v>589</v>
      </c>
    </row>
    <row r="123">
      <c r="A123" t="s">
        <v>1050</v>
      </c>
      <c r="B123">
        <v>33287.0</v>
      </c>
      <c r="C123" s="4">
        <v>595.0</v>
      </c>
      <c r="D123">
        <v>33190.0</v>
      </c>
      <c r="E123" t="s">
        <v>1538</v>
      </c>
      <c r="F123" t="str">
        <f t="shared" si="1"/>
        <v>595  </v>
      </c>
      <c r="G123" t="s">
        <v>1539</v>
      </c>
      <c r="H123" t="str">
        <f t="shared" si="2"/>
        <v>595</v>
      </c>
    </row>
    <row r="124">
      <c r="A124" t="s">
        <v>748</v>
      </c>
      <c r="B124">
        <v>33423.0</v>
      </c>
      <c r="C124" s="4">
        <v>595.0</v>
      </c>
      <c r="D124">
        <v>33250.0</v>
      </c>
      <c r="E124" t="s">
        <v>1538</v>
      </c>
      <c r="F124" t="str">
        <f t="shared" si="1"/>
        <v>595  </v>
      </c>
      <c r="G124" t="s">
        <v>1539</v>
      </c>
      <c r="H124" t="str">
        <f t="shared" si="2"/>
        <v>595</v>
      </c>
    </row>
    <row r="125">
      <c r="A125" t="s">
        <v>540</v>
      </c>
      <c r="B125">
        <v>33361.0</v>
      </c>
      <c r="C125" s="4">
        <v>600.0</v>
      </c>
      <c r="D125">
        <v>33350.0</v>
      </c>
      <c r="E125" t="s">
        <v>1540</v>
      </c>
      <c r="F125" t="str">
        <f t="shared" si="1"/>
        <v>600  </v>
      </c>
      <c r="G125" t="s">
        <v>1541</v>
      </c>
      <c r="H125" t="str">
        <f t="shared" si="2"/>
        <v>600</v>
      </c>
    </row>
    <row r="126">
      <c r="A126" t="s">
        <v>49</v>
      </c>
      <c r="B126">
        <v>33328.0</v>
      </c>
      <c r="C126" s="4">
        <v>607.0</v>
      </c>
      <c r="D126">
        <v>33500.0</v>
      </c>
      <c r="E126" t="s">
        <v>1542</v>
      </c>
      <c r="F126" t="str">
        <f t="shared" si="1"/>
        <v>607  </v>
      </c>
      <c r="G126" t="s">
        <v>1543</v>
      </c>
      <c r="H126" t="str">
        <f t="shared" si="2"/>
        <v>607</v>
      </c>
    </row>
    <row r="127">
      <c r="A127" t="s">
        <v>1063</v>
      </c>
      <c r="B127">
        <v>33460.0</v>
      </c>
      <c r="C127" s="4">
        <v>622.0</v>
      </c>
      <c r="D127">
        <v>33350.0</v>
      </c>
      <c r="E127" t="s">
        <v>1544</v>
      </c>
      <c r="F127" t="str">
        <f t="shared" si="1"/>
        <v>622  </v>
      </c>
      <c r="G127" t="s">
        <v>1545</v>
      </c>
      <c r="H127" t="str">
        <f t="shared" si="2"/>
        <v>622</v>
      </c>
    </row>
    <row r="128">
      <c r="A128" t="s">
        <v>287</v>
      </c>
      <c r="B128">
        <v>33508.0</v>
      </c>
      <c r="C128" s="4">
        <v>633.0</v>
      </c>
      <c r="D128">
        <v>33124.0</v>
      </c>
      <c r="E128" t="s">
        <v>1546</v>
      </c>
      <c r="F128" t="str">
        <f t="shared" si="1"/>
        <v>633  </v>
      </c>
      <c r="G128" t="s">
        <v>1547</v>
      </c>
      <c r="H128" t="str">
        <f t="shared" si="2"/>
        <v>633</v>
      </c>
    </row>
    <row r="129">
      <c r="A129" t="s">
        <v>270</v>
      </c>
      <c r="B129">
        <v>33369.0</v>
      </c>
      <c r="C129" s="4">
        <v>686.0</v>
      </c>
      <c r="D129">
        <v>33220.0</v>
      </c>
      <c r="E129" t="s">
        <v>1548</v>
      </c>
      <c r="F129" t="str">
        <f t="shared" si="1"/>
        <v>686  </v>
      </c>
      <c r="G129" t="s">
        <v>1549</v>
      </c>
      <c r="H129" t="str">
        <f t="shared" si="2"/>
        <v>686</v>
      </c>
    </row>
    <row r="130">
      <c r="A130" t="s">
        <v>358</v>
      </c>
      <c r="B130">
        <v>33476.0</v>
      </c>
      <c r="C130" s="4">
        <v>710.0</v>
      </c>
      <c r="D130">
        <v>33180.0</v>
      </c>
      <c r="E130" t="s">
        <v>1550</v>
      </c>
      <c r="F130" t="str">
        <f t="shared" si="1"/>
        <v>710  </v>
      </c>
      <c r="G130" t="s">
        <v>1551</v>
      </c>
      <c r="H130" t="str">
        <f t="shared" si="2"/>
        <v>710</v>
      </c>
    </row>
    <row r="131">
      <c r="A131" t="s">
        <v>145</v>
      </c>
      <c r="B131">
        <v>33320.0</v>
      </c>
      <c r="C131" s="4">
        <v>723.0</v>
      </c>
      <c r="D131">
        <v>33570.0</v>
      </c>
      <c r="E131" t="s">
        <v>1552</v>
      </c>
      <c r="F131" t="str">
        <f t="shared" si="1"/>
        <v>723  </v>
      </c>
      <c r="G131" t="s">
        <v>1553</v>
      </c>
      <c r="H131" t="str">
        <f t="shared" si="2"/>
        <v>723</v>
      </c>
    </row>
    <row r="132">
      <c r="A132" t="s">
        <v>944</v>
      </c>
      <c r="B132">
        <v>33385.0</v>
      </c>
      <c r="C132" s="4">
        <v>732.0</v>
      </c>
      <c r="D132">
        <v>33230.0</v>
      </c>
      <c r="E132" t="s">
        <v>1554</v>
      </c>
      <c r="F132" t="str">
        <f t="shared" si="1"/>
        <v>732  </v>
      </c>
      <c r="G132" t="s">
        <v>1555</v>
      </c>
      <c r="H132" t="str">
        <f t="shared" si="2"/>
        <v>732</v>
      </c>
    </row>
    <row r="133">
      <c r="A133" t="s">
        <v>1000</v>
      </c>
      <c r="B133">
        <v>33521.0</v>
      </c>
      <c r="C133" s="4">
        <v>741.0</v>
      </c>
      <c r="D133">
        <v>33590.0</v>
      </c>
      <c r="E133" t="s">
        <v>1556</v>
      </c>
      <c r="F133" t="str">
        <f t="shared" si="1"/>
        <v>741  </v>
      </c>
      <c r="G133" t="s">
        <v>1557</v>
      </c>
      <c r="H133" t="str">
        <f t="shared" si="2"/>
        <v>741</v>
      </c>
    </row>
    <row r="134">
      <c r="A134" t="s">
        <v>1026</v>
      </c>
      <c r="B134">
        <v>33279.0</v>
      </c>
      <c r="C134" s="4">
        <v>761.0</v>
      </c>
      <c r="D134">
        <v>33210.0</v>
      </c>
      <c r="E134" t="s">
        <v>1558</v>
      </c>
      <c r="F134" t="str">
        <f t="shared" si="1"/>
        <v>761  </v>
      </c>
      <c r="G134" t="s">
        <v>1559</v>
      </c>
      <c r="H134" t="str">
        <f t="shared" si="2"/>
        <v>761</v>
      </c>
    </row>
    <row r="135">
      <c r="A135" t="s">
        <v>618</v>
      </c>
      <c r="B135">
        <v>33266.0</v>
      </c>
      <c r="C135" s="4">
        <v>772.0</v>
      </c>
      <c r="D135">
        <v>33620.0</v>
      </c>
      <c r="E135" t="s">
        <v>1560</v>
      </c>
      <c r="F135" t="str">
        <f t="shared" si="1"/>
        <v>772  </v>
      </c>
      <c r="G135" t="s">
        <v>1561</v>
      </c>
      <c r="H135" t="str">
        <f t="shared" si="2"/>
        <v>772</v>
      </c>
    </row>
    <row r="136">
      <c r="A136" t="s">
        <v>1039</v>
      </c>
      <c r="B136">
        <v>33477.0</v>
      </c>
      <c r="C136" s="4">
        <v>774.0</v>
      </c>
      <c r="D136">
        <v>33390.0</v>
      </c>
      <c r="E136" t="s">
        <v>1562</v>
      </c>
      <c r="F136" t="str">
        <f t="shared" si="1"/>
        <v>774  </v>
      </c>
      <c r="G136" t="s">
        <v>1563</v>
      </c>
      <c r="H136" t="str">
        <f t="shared" si="2"/>
        <v>774</v>
      </c>
    </row>
    <row r="137">
      <c r="A137" t="s">
        <v>403</v>
      </c>
      <c r="B137">
        <v>33343.0</v>
      </c>
      <c r="C137" s="4">
        <v>780.0</v>
      </c>
      <c r="D137">
        <v>33210.0</v>
      </c>
      <c r="E137" t="s">
        <v>1564</v>
      </c>
      <c r="F137" t="str">
        <f t="shared" si="1"/>
        <v>780  </v>
      </c>
      <c r="G137" t="s">
        <v>1565</v>
      </c>
      <c r="H137" t="str">
        <f t="shared" si="2"/>
        <v>780</v>
      </c>
    </row>
    <row r="138">
      <c r="A138" t="s">
        <v>406</v>
      </c>
      <c r="B138">
        <v>33452.0</v>
      </c>
      <c r="C138" s="4">
        <v>781.0</v>
      </c>
      <c r="D138">
        <v>33720.0</v>
      </c>
      <c r="E138" t="s">
        <v>1566</v>
      </c>
      <c r="F138" t="str">
        <f t="shared" si="1"/>
        <v>781  </v>
      </c>
      <c r="G138" t="s">
        <v>1567</v>
      </c>
      <c r="H138" t="str">
        <f t="shared" si="2"/>
        <v>781</v>
      </c>
    </row>
    <row r="139">
      <c r="A139" t="s">
        <v>367</v>
      </c>
      <c r="B139">
        <v>33504.0</v>
      </c>
      <c r="C139" s="4">
        <v>790.0</v>
      </c>
      <c r="D139">
        <v>33210.0</v>
      </c>
      <c r="E139" t="s">
        <v>1568</v>
      </c>
      <c r="F139" t="str">
        <f t="shared" si="1"/>
        <v>790  </v>
      </c>
      <c r="G139" t="s">
        <v>1569</v>
      </c>
      <c r="H139" t="str">
        <f t="shared" si="2"/>
        <v>790</v>
      </c>
    </row>
    <row r="140">
      <c r="A140" t="s">
        <v>636</v>
      </c>
      <c r="B140">
        <v>33407.0</v>
      </c>
      <c r="C140" s="4">
        <v>794.0</v>
      </c>
      <c r="D140">
        <v>33240.0</v>
      </c>
      <c r="E140" t="s">
        <v>1570</v>
      </c>
      <c r="F140" t="str">
        <f t="shared" si="1"/>
        <v>794  </v>
      </c>
      <c r="G140" t="s">
        <v>1571</v>
      </c>
      <c r="H140" t="str">
        <f t="shared" si="2"/>
        <v>794</v>
      </c>
    </row>
    <row r="141">
      <c r="A141" t="s">
        <v>1291</v>
      </c>
      <c r="B141">
        <v>33374.0</v>
      </c>
      <c r="C141" s="4">
        <v>821.0</v>
      </c>
      <c r="D141">
        <v>33820.0</v>
      </c>
      <c r="E141" t="s">
        <v>1572</v>
      </c>
      <c r="F141" t="str">
        <f t="shared" si="1"/>
        <v>821  </v>
      </c>
      <c r="G141" t="s">
        <v>1573</v>
      </c>
      <c r="H141" t="str">
        <f t="shared" si="2"/>
        <v>821</v>
      </c>
    </row>
    <row r="142">
      <c r="A142" t="s">
        <v>275</v>
      </c>
      <c r="B142">
        <v>33388.0</v>
      </c>
      <c r="C142" s="4">
        <v>825.0</v>
      </c>
      <c r="D142">
        <v>33710.0</v>
      </c>
      <c r="E142" t="s">
        <v>1574</v>
      </c>
      <c r="F142" t="str">
        <f t="shared" si="1"/>
        <v>825  </v>
      </c>
      <c r="G142" t="s">
        <v>1575</v>
      </c>
      <c r="H142" t="str">
        <f t="shared" si="2"/>
        <v>825</v>
      </c>
    </row>
    <row r="143">
      <c r="A143" t="s">
        <v>396</v>
      </c>
      <c r="B143">
        <v>33303.0</v>
      </c>
      <c r="C143" s="4">
        <v>839.0</v>
      </c>
      <c r="D143">
        <v>33750.0</v>
      </c>
      <c r="E143" t="s">
        <v>1576</v>
      </c>
      <c r="F143" t="str">
        <f t="shared" si="1"/>
        <v>839  </v>
      </c>
      <c r="G143" t="s">
        <v>1577</v>
      </c>
      <c r="H143" t="str">
        <f t="shared" si="2"/>
        <v>839</v>
      </c>
    </row>
    <row r="144">
      <c r="A144" t="s">
        <v>1113</v>
      </c>
      <c r="B144">
        <v>33342.0</v>
      </c>
      <c r="C144" s="4">
        <v>856.0</v>
      </c>
      <c r="D144">
        <v>33570.0</v>
      </c>
      <c r="E144" t="s">
        <v>1578</v>
      </c>
      <c r="F144" t="str">
        <f t="shared" si="1"/>
        <v>856  </v>
      </c>
      <c r="G144" t="s">
        <v>1579</v>
      </c>
      <c r="H144" t="str">
        <f t="shared" si="2"/>
        <v>856</v>
      </c>
    </row>
    <row r="145">
      <c r="A145" t="s">
        <v>235</v>
      </c>
      <c r="B145">
        <v>33445.0</v>
      </c>
      <c r="C145" s="4">
        <v>862.0</v>
      </c>
      <c r="D145">
        <v>33910.0</v>
      </c>
      <c r="E145" t="s">
        <v>1580</v>
      </c>
      <c r="F145" t="str">
        <f t="shared" si="1"/>
        <v>862  </v>
      </c>
      <c r="G145" t="s">
        <v>1581</v>
      </c>
      <c r="H145" t="str">
        <f t="shared" si="2"/>
        <v>862</v>
      </c>
    </row>
    <row r="146">
      <c r="A146" t="s">
        <v>166</v>
      </c>
      <c r="B146">
        <v>33470.0</v>
      </c>
      <c r="C146" s="4">
        <v>873.0</v>
      </c>
      <c r="D146">
        <v>33240.0</v>
      </c>
      <c r="E146" t="s">
        <v>1582</v>
      </c>
      <c r="F146" t="str">
        <f t="shared" si="1"/>
        <v>873  </v>
      </c>
      <c r="G146" t="s">
        <v>1583</v>
      </c>
      <c r="H146" t="str">
        <f t="shared" si="2"/>
        <v>873</v>
      </c>
    </row>
    <row r="147">
      <c r="A147" t="s">
        <v>441</v>
      </c>
      <c r="B147">
        <v>33530.0</v>
      </c>
      <c r="C147" s="4">
        <v>880.0</v>
      </c>
      <c r="D147">
        <v>33710.0</v>
      </c>
      <c r="E147" t="s">
        <v>1584</v>
      </c>
      <c r="F147" t="str">
        <f t="shared" si="1"/>
        <v>880  </v>
      </c>
      <c r="G147" t="s">
        <v>1585</v>
      </c>
      <c r="H147" t="str">
        <f t="shared" si="2"/>
        <v>880</v>
      </c>
    </row>
    <row r="148">
      <c r="A148" t="s">
        <v>895</v>
      </c>
      <c r="B148">
        <v>33332.0</v>
      </c>
      <c r="C148" s="4">
        <v>881.0</v>
      </c>
      <c r="D148">
        <v>33660.0</v>
      </c>
      <c r="E148" t="s">
        <v>1586</v>
      </c>
      <c r="F148" t="str">
        <f t="shared" si="1"/>
        <v>881  </v>
      </c>
      <c r="G148" t="s">
        <v>1587</v>
      </c>
      <c r="H148" t="str">
        <f t="shared" si="2"/>
        <v>881</v>
      </c>
    </row>
    <row r="149">
      <c r="A149" t="s">
        <v>773</v>
      </c>
      <c r="B149">
        <v>33325.0</v>
      </c>
      <c r="C149" s="4">
        <v>885.0</v>
      </c>
      <c r="D149">
        <v>33390.0</v>
      </c>
      <c r="E149" t="s">
        <v>1588</v>
      </c>
      <c r="F149" t="str">
        <f t="shared" si="1"/>
        <v>885  </v>
      </c>
      <c r="G149" t="s">
        <v>1589</v>
      </c>
      <c r="H149" t="str">
        <f t="shared" si="2"/>
        <v>885</v>
      </c>
    </row>
    <row r="150">
      <c r="A150" t="s">
        <v>350</v>
      </c>
      <c r="B150">
        <v>33392.0</v>
      </c>
      <c r="C150" s="4">
        <v>899.0</v>
      </c>
      <c r="D150">
        <v>33410.0</v>
      </c>
      <c r="E150" t="s">
        <v>1590</v>
      </c>
      <c r="F150" t="str">
        <f t="shared" si="1"/>
        <v>899  </v>
      </c>
      <c r="G150" t="s">
        <v>1591</v>
      </c>
      <c r="H150" t="str">
        <f t="shared" si="2"/>
        <v>899</v>
      </c>
    </row>
    <row r="151">
      <c r="A151" t="s">
        <v>289</v>
      </c>
      <c r="B151">
        <v>33542.0</v>
      </c>
      <c r="C151" s="4">
        <v>923.0</v>
      </c>
      <c r="D151">
        <v>33240.0</v>
      </c>
      <c r="E151" t="s">
        <v>1592</v>
      </c>
      <c r="F151" t="str">
        <f t="shared" si="1"/>
        <v>923  </v>
      </c>
      <c r="G151" t="s">
        <v>1593</v>
      </c>
      <c r="H151" t="str">
        <f t="shared" si="2"/>
        <v>923</v>
      </c>
    </row>
    <row r="152">
      <c r="A152" t="s">
        <v>1147</v>
      </c>
      <c r="B152">
        <v>33458.0</v>
      </c>
      <c r="C152" s="4">
        <v>935.0</v>
      </c>
      <c r="D152">
        <v>33390.0</v>
      </c>
      <c r="E152" t="s">
        <v>1594</v>
      </c>
      <c r="F152" t="str">
        <f t="shared" si="1"/>
        <v>935  </v>
      </c>
      <c r="G152" t="s">
        <v>1595</v>
      </c>
      <c r="H152" t="str">
        <f t="shared" si="2"/>
        <v>935</v>
      </c>
    </row>
    <row r="153">
      <c r="A153" t="s">
        <v>639</v>
      </c>
      <c r="B153">
        <v>33416.0</v>
      </c>
      <c r="C153" s="4">
        <v>950.0</v>
      </c>
      <c r="D153">
        <v>33920.0</v>
      </c>
      <c r="E153" t="s">
        <v>1596</v>
      </c>
      <c r="F153" t="str">
        <f t="shared" si="1"/>
        <v>950  </v>
      </c>
      <c r="G153" t="s">
        <v>1597</v>
      </c>
      <c r="H153" t="str">
        <f t="shared" si="2"/>
        <v>950</v>
      </c>
    </row>
    <row r="154">
      <c r="A154" t="s">
        <v>489</v>
      </c>
      <c r="B154">
        <v>33436.0</v>
      </c>
      <c r="C154" s="4">
        <v>967.0</v>
      </c>
      <c r="D154">
        <v>33125.0</v>
      </c>
      <c r="E154" t="s">
        <v>1598</v>
      </c>
      <c r="F154" t="str">
        <f t="shared" si="1"/>
        <v>967  </v>
      </c>
      <c r="G154" t="s">
        <v>1599</v>
      </c>
      <c r="H154" t="str">
        <f t="shared" si="2"/>
        <v>967</v>
      </c>
    </row>
    <row r="155">
      <c r="A155" t="s">
        <v>1205</v>
      </c>
      <c r="B155">
        <v>33541.0</v>
      </c>
      <c r="C155" s="4">
        <v>986.0</v>
      </c>
      <c r="D155">
        <v>33590.0</v>
      </c>
      <c r="E155" t="s">
        <v>1600</v>
      </c>
      <c r="F155" t="str">
        <f t="shared" si="1"/>
        <v>986  </v>
      </c>
      <c r="G155" t="s">
        <v>1601</v>
      </c>
      <c r="H155" t="str">
        <f t="shared" si="2"/>
        <v>986</v>
      </c>
    </row>
    <row r="156">
      <c r="A156" t="s">
        <v>1212</v>
      </c>
      <c r="B156">
        <v>33298.0</v>
      </c>
      <c r="C156" s="4">
        <v>999.0</v>
      </c>
      <c r="D156">
        <v>33420.0</v>
      </c>
      <c r="E156" t="s">
        <v>1602</v>
      </c>
      <c r="F156" t="str">
        <f t="shared" si="1"/>
        <v>999  </v>
      </c>
      <c r="G156" t="s">
        <v>1603</v>
      </c>
      <c r="H156" t="str">
        <f t="shared" si="2"/>
        <v>999</v>
      </c>
    </row>
    <row r="157">
      <c r="A157" t="s">
        <v>612</v>
      </c>
      <c r="B157">
        <v>33487.0</v>
      </c>
      <c r="C157" s="4">
        <v>1007.0</v>
      </c>
      <c r="D157">
        <v>33440.0</v>
      </c>
      <c r="E157" t="s">
        <v>1604</v>
      </c>
      <c r="F157" t="str">
        <f t="shared" si="1"/>
        <v>1 007  </v>
      </c>
      <c r="G157" t="s">
        <v>1605</v>
      </c>
      <c r="H157" t="str">
        <f t="shared" si="2"/>
        <v>1007</v>
      </c>
    </row>
    <row r="158">
      <c r="A158" t="s">
        <v>629</v>
      </c>
      <c r="B158">
        <v>33336.0</v>
      </c>
      <c r="C158" s="4">
        <v>1010.0</v>
      </c>
      <c r="D158">
        <v>33730.0</v>
      </c>
      <c r="E158" t="s">
        <v>1606</v>
      </c>
      <c r="F158" t="str">
        <f t="shared" si="1"/>
        <v>1 010  </v>
      </c>
      <c r="G158" t="s">
        <v>1607</v>
      </c>
      <c r="H158" t="str">
        <f t="shared" si="2"/>
        <v>1010</v>
      </c>
    </row>
    <row r="159">
      <c r="A159" t="s">
        <v>982</v>
      </c>
      <c r="B159">
        <v>33264.0</v>
      </c>
      <c r="C159" s="4">
        <v>1016.0</v>
      </c>
      <c r="D159">
        <v>33230.0</v>
      </c>
      <c r="E159" t="s">
        <v>1608</v>
      </c>
      <c r="F159" t="str">
        <f t="shared" si="1"/>
        <v>1 016  </v>
      </c>
      <c r="G159" t="s">
        <v>1609</v>
      </c>
      <c r="H159" t="str">
        <f t="shared" si="2"/>
        <v>1016</v>
      </c>
    </row>
    <row r="160">
      <c r="A160" t="s">
        <v>706</v>
      </c>
      <c r="B160">
        <v>33543.0</v>
      </c>
      <c r="C160" s="4">
        <v>1031.0</v>
      </c>
      <c r="D160">
        <v>33490.0</v>
      </c>
      <c r="E160" t="s">
        <v>1610</v>
      </c>
      <c r="F160" t="str">
        <f t="shared" si="1"/>
        <v>1 031  </v>
      </c>
      <c r="G160" t="s">
        <v>1611</v>
      </c>
      <c r="H160" t="str">
        <f t="shared" si="2"/>
        <v>1031</v>
      </c>
    </row>
    <row r="161">
      <c r="A161" t="s">
        <v>832</v>
      </c>
      <c r="B161">
        <v>33547.0</v>
      </c>
      <c r="C161" s="4">
        <v>1059.0</v>
      </c>
      <c r="D161">
        <v>33730.0</v>
      </c>
      <c r="E161" t="s">
        <v>1612</v>
      </c>
      <c r="F161" t="str">
        <f t="shared" si="1"/>
        <v>1 059  </v>
      </c>
      <c r="G161" t="s">
        <v>1613</v>
      </c>
      <c r="H161" t="str">
        <f t="shared" si="2"/>
        <v>1059</v>
      </c>
    </row>
    <row r="162">
      <c r="A162" t="s">
        <v>739</v>
      </c>
      <c r="B162">
        <v>33296.0</v>
      </c>
      <c r="C162" s="4">
        <v>1061.0</v>
      </c>
      <c r="D162">
        <v>33350.0</v>
      </c>
      <c r="E162" t="s">
        <v>1614</v>
      </c>
      <c r="F162" t="str">
        <f t="shared" si="1"/>
        <v>1 061  </v>
      </c>
      <c r="G162" t="s">
        <v>1615</v>
      </c>
      <c r="H162" t="str">
        <f t="shared" si="2"/>
        <v>1061</v>
      </c>
    </row>
    <row r="163">
      <c r="A163" t="s">
        <v>81</v>
      </c>
      <c r="B163">
        <v>33552.0</v>
      </c>
      <c r="C163" s="4">
        <v>1062.0</v>
      </c>
      <c r="D163">
        <v>33720.0</v>
      </c>
      <c r="E163" t="s">
        <v>1616</v>
      </c>
      <c r="F163" t="str">
        <f t="shared" si="1"/>
        <v>1 062  </v>
      </c>
      <c r="G163" t="s">
        <v>1617</v>
      </c>
      <c r="H163" t="str">
        <f t="shared" si="2"/>
        <v>1062</v>
      </c>
    </row>
    <row r="164">
      <c r="A164" t="s">
        <v>906</v>
      </c>
      <c r="B164">
        <v>33494.0</v>
      </c>
      <c r="C164" s="4">
        <v>1066.0</v>
      </c>
      <c r="D164">
        <v>33160.0</v>
      </c>
      <c r="E164" t="s">
        <v>1618</v>
      </c>
      <c r="F164" t="str">
        <f t="shared" si="1"/>
        <v>1 066  </v>
      </c>
      <c r="G164" t="s">
        <v>1619</v>
      </c>
      <c r="H164" t="str">
        <f t="shared" si="2"/>
        <v>1066</v>
      </c>
    </row>
    <row r="165">
      <c r="A165" t="s">
        <v>614</v>
      </c>
      <c r="B165">
        <v>33518.0</v>
      </c>
      <c r="C165" s="4">
        <v>1082.0</v>
      </c>
      <c r="D165">
        <v>33550.0</v>
      </c>
      <c r="E165" t="s">
        <v>1620</v>
      </c>
      <c r="F165" t="str">
        <f t="shared" si="1"/>
        <v>1 082  </v>
      </c>
      <c r="G165" t="s">
        <v>1621</v>
      </c>
      <c r="H165" t="str">
        <f t="shared" si="2"/>
        <v>1082</v>
      </c>
    </row>
    <row r="166">
      <c r="A166" t="s">
        <v>1143</v>
      </c>
      <c r="B166">
        <v>33300.0</v>
      </c>
      <c r="C166" s="4">
        <v>1090.0</v>
      </c>
      <c r="D166">
        <v>33990.0</v>
      </c>
      <c r="E166" t="s">
        <v>1622</v>
      </c>
      <c r="F166" t="str">
        <f t="shared" si="1"/>
        <v>1 090  </v>
      </c>
      <c r="G166" t="s">
        <v>1623</v>
      </c>
      <c r="H166" t="str">
        <f t="shared" si="2"/>
        <v>1090</v>
      </c>
    </row>
    <row r="167">
      <c r="A167" t="s">
        <v>986</v>
      </c>
      <c r="B167">
        <v>33316.0</v>
      </c>
      <c r="C167" s="4">
        <v>1099.0</v>
      </c>
      <c r="D167">
        <v>33790.0</v>
      </c>
      <c r="E167" t="s">
        <v>1624</v>
      </c>
      <c r="F167" t="str">
        <f t="shared" si="1"/>
        <v>1 099  </v>
      </c>
      <c r="G167" t="s">
        <v>1625</v>
      </c>
      <c r="H167" t="str">
        <f t="shared" si="2"/>
        <v>1099</v>
      </c>
    </row>
    <row r="168">
      <c r="A168" t="s">
        <v>1302</v>
      </c>
      <c r="B168">
        <v>33553.0</v>
      </c>
      <c r="C168" s="4">
        <v>1112.0</v>
      </c>
      <c r="D168">
        <v>33240.0</v>
      </c>
      <c r="E168" t="s">
        <v>1626</v>
      </c>
      <c r="F168" t="str">
        <f t="shared" si="1"/>
        <v>1 112  </v>
      </c>
      <c r="G168" t="s">
        <v>1627</v>
      </c>
      <c r="H168" t="str">
        <f t="shared" si="2"/>
        <v>1112</v>
      </c>
    </row>
    <row r="169">
      <c r="A169" t="s">
        <v>641</v>
      </c>
      <c r="B169">
        <v>33441.0</v>
      </c>
      <c r="C169" s="4">
        <v>1118.0</v>
      </c>
      <c r="D169">
        <v>33390.0</v>
      </c>
      <c r="E169" t="s">
        <v>1628</v>
      </c>
      <c r="F169" t="str">
        <f t="shared" si="1"/>
        <v>1 118  </v>
      </c>
      <c r="G169" t="s">
        <v>1629</v>
      </c>
      <c r="H169" t="str">
        <f t="shared" si="2"/>
        <v>1118</v>
      </c>
    </row>
    <row r="170">
      <c r="A170" t="s">
        <v>627</v>
      </c>
      <c r="B170">
        <v>33317.0</v>
      </c>
      <c r="C170" s="4">
        <v>1198.0</v>
      </c>
      <c r="D170">
        <v>33240.0</v>
      </c>
      <c r="E170" t="s">
        <v>1630</v>
      </c>
      <c r="F170" t="str">
        <f t="shared" si="1"/>
        <v>1 198  </v>
      </c>
      <c r="G170" t="s">
        <v>1631</v>
      </c>
      <c r="H170" t="str">
        <f t="shared" si="2"/>
        <v>1198</v>
      </c>
    </row>
    <row r="171">
      <c r="A171" t="s">
        <v>1254</v>
      </c>
      <c r="B171">
        <v>33465.0</v>
      </c>
      <c r="C171" s="4">
        <v>1198.0</v>
      </c>
      <c r="D171">
        <v>33210.0</v>
      </c>
      <c r="E171" t="s">
        <v>1630</v>
      </c>
      <c r="F171" t="str">
        <f t="shared" si="1"/>
        <v>1 198  </v>
      </c>
      <c r="G171" t="s">
        <v>1631</v>
      </c>
      <c r="H171" t="str">
        <f t="shared" si="2"/>
        <v>1198</v>
      </c>
    </row>
    <row r="172">
      <c r="A172" t="s">
        <v>1276</v>
      </c>
      <c r="B172">
        <v>33272.0</v>
      </c>
      <c r="C172" s="4">
        <v>1204.0</v>
      </c>
      <c r="D172">
        <v>33620.0</v>
      </c>
      <c r="E172" t="s">
        <v>1632</v>
      </c>
      <c r="F172" t="str">
        <f t="shared" si="1"/>
        <v>1 204  </v>
      </c>
      <c r="G172" t="s">
        <v>1633</v>
      </c>
      <c r="H172" t="str">
        <f t="shared" si="2"/>
        <v>1204</v>
      </c>
    </row>
    <row r="173">
      <c r="A173" t="s">
        <v>823</v>
      </c>
      <c r="B173">
        <v>33350.0</v>
      </c>
      <c r="C173" s="4">
        <v>1211.0</v>
      </c>
      <c r="D173">
        <v>33420.0</v>
      </c>
      <c r="E173" t="s">
        <v>1634</v>
      </c>
      <c r="F173" t="str">
        <f t="shared" si="1"/>
        <v>1 211  </v>
      </c>
      <c r="G173" t="s">
        <v>1635</v>
      </c>
      <c r="H173" t="str">
        <f t="shared" si="2"/>
        <v>1211</v>
      </c>
    </row>
    <row r="174">
      <c r="A174" t="s">
        <v>142</v>
      </c>
      <c r="B174">
        <v>33311.0</v>
      </c>
      <c r="C174" s="4">
        <v>1213.0</v>
      </c>
      <c r="D174">
        <v>33550.0</v>
      </c>
      <c r="E174" t="s">
        <v>1636</v>
      </c>
      <c r="F174" t="str">
        <f t="shared" si="1"/>
        <v>1 213  </v>
      </c>
      <c r="G174" t="s">
        <v>1637</v>
      </c>
      <c r="H174" t="str">
        <f t="shared" si="2"/>
        <v>1213</v>
      </c>
    </row>
    <row r="175">
      <c r="A175" t="s">
        <v>1258</v>
      </c>
      <c r="B175">
        <v>33412.0</v>
      </c>
      <c r="C175" s="4">
        <v>1234.0</v>
      </c>
      <c r="D175">
        <v>33340.0</v>
      </c>
      <c r="E175" t="s">
        <v>1638</v>
      </c>
      <c r="F175" t="str">
        <f t="shared" si="1"/>
        <v>1 234  </v>
      </c>
      <c r="G175" t="s">
        <v>1639</v>
      </c>
      <c r="H175" t="str">
        <f t="shared" si="2"/>
        <v>1234</v>
      </c>
    </row>
    <row r="176">
      <c r="A176" t="s">
        <v>909</v>
      </c>
      <c r="B176">
        <v>33548.0</v>
      </c>
      <c r="C176" s="4">
        <v>1263.0</v>
      </c>
      <c r="D176">
        <v>33141.0</v>
      </c>
      <c r="E176" t="s">
        <v>1640</v>
      </c>
      <c r="F176" t="str">
        <f t="shared" si="1"/>
        <v>1 263  </v>
      </c>
      <c r="G176" t="s">
        <v>1641</v>
      </c>
      <c r="H176" t="str">
        <f t="shared" si="2"/>
        <v>1263</v>
      </c>
    </row>
    <row r="177">
      <c r="A177" t="s">
        <v>1066</v>
      </c>
      <c r="B177">
        <v>33545.0</v>
      </c>
      <c r="C177" s="4">
        <v>1286.0</v>
      </c>
      <c r="D177">
        <v>33180.0</v>
      </c>
      <c r="E177" t="s">
        <v>1642</v>
      </c>
      <c r="F177" t="str">
        <f t="shared" si="1"/>
        <v>1 286  </v>
      </c>
      <c r="G177" t="s">
        <v>1643</v>
      </c>
      <c r="H177" t="str">
        <f t="shared" si="2"/>
        <v>1286</v>
      </c>
    </row>
    <row r="178">
      <c r="A178" t="s">
        <v>830</v>
      </c>
      <c r="B178">
        <v>33525.0</v>
      </c>
      <c r="C178" s="4">
        <v>1289.0</v>
      </c>
      <c r="D178">
        <v>33710.0</v>
      </c>
      <c r="E178" t="s">
        <v>1644</v>
      </c>
      <c r="F178" t="str">
        <f t="shared" si="1"/>
        <v>1 289  </v>
      </c>
      <c r="G178" t="s">
        <v>1645</v>
      </c>
      <c r="H178" t="str">
        <f t="shared" si="2"/>
        <v>1289</v>
      </c>
    </row>
    <row r="179">
      <c r="A179" t="s">
        <v>169</v>
      </c>
      <c r="B179">
        <v>33471.0</v>
      </c>
      <c r="C179" s="4">
        <v>1312.0</v>
      </c>
      <c r="D179">
        <v>33250.0</v>
      </c>
      <c r="E179" t="s">
        <v>1646</v>
      </c>
      <c r="F179" t="str">
        <f t="shared" si="1"/>
        <v>1 312  </v>
      </c>
      <c r="G179" t="s">
        <v>1647</v>
      </c>
      <c r="H179" t="str">
        <f t="shared" si="2"/>
        <v>1312</v>
      </c>
    </row>
    <row r="180">
      <c r="A180" t="s">
        <v>775</v>
      </c>
      <c r="B180">
        <v>33362.0</v>
      </c>
      <c r="C180" s="4">
        <v>1314.0</v>
      </c>
      <c r="D180">
        <v>33910.0</v>
      </c>
      <c r="E180" t="s">
        <v>1648</v>
      </c>
      <c r="F180" t="str">
        <f t="shared" si="1"/>
        <v>1 314  </v>
      </c>
      <c r="G180" t="s">
        <v>1649</v>
      </c>
      <c r="H180" t="str">
        <f t="shared" si="2"/>
        <v>1314</v>
      </c>
    </row>
    <row r="181">
      <c r="A181" t="s">
        <v>1149</v>
      </c>
      <c r="B181">
        <v>33463.0</v>
      </c>
      <c r="C181" s="4">
        <v>1321.0</v>
      </c>
      <c r="D181">
        <v>33490.0</v>
      </c>
      <c r="E181" t="s">
        <v>1650</v>
      </c>
      <c r="F181" t="str">
        <f t="shared" si="1"/>
        <v>1 321  </v>
      </c>
      <c r="G181" t="s">
        <v>1651</v>
      </c>
      <c r="H181" t="str">
        <f t="shared" si="2"/>
        <v>1321</v>
      </c>
    </row>
    <row r="182">
      <c r="A182" t="s">
        <v>1264</v>
      </c>
      <c r="B182">
        <v>33480.0</v>
      </c>
      <c r="C182" s="4">
        <v>1348.0</v>
      </c>
      <c r="D182">
        <v>33330.0</v>
      </c>
      <c r="E182" t="s">
        <v>1652</v>
      </c>
      <c r="F182" t="str">
        <f t="shared" si="1"/>
        <v>1 348  </v>
      </c>
      <c r="G182" t="s">
        <v>1653</v>
      </c>
      <c r="H182" t="str">
        <f t="shared" si="2"/>
        <v>1348</v>
      </c>
    </row>
    <row r="183">
      <c r="A183" t="s">
        <v>854</v>
      </c>
      <c r="B183">
        <v>33339.0</v>
      </c>
      <c r="C183" s="4">
        <v>1379.0</v>
      </c>
      <c r="D183">
        <v>33710.0</v>
      </c>
      <c r="E183" t="s">
        <v>1654</v>
      </c>
      <c r="F183" t="str">
        <f t="shared" si="1"/>
        <v>1 379  </v>
      </c>
      <c r="G183" t="s">
        <v>1655</v>
      </c>
      <c r="H183" t="str">
        <f t="shared" si="2"/>
        <v>1379</v>
      </c>
    </row>
    <row r="184">
      <c r="A184" t="s">
        <v>225</v>
      </c>
      <c r="B184">
        <v>33348.0</v>
      </c>
      <c r="C184" s="4">
        <v>1382.0</v>
      </c>
      <c r="D184">
        <v>33340.0</v>
      </c>
      <c r="E184" t="s">
        <v>1656</v>
      </c>
      <c r="F184" t="str">
        <f t="shared" si="1"/>
        <v>1 382  </v>
      </c>
      <c r="G184" t="s">
        <v>1657</v>
      </c>
      <c r="H184" t="str">
        <f t="shared" si="2"/>
        <v>1382</v>
      </c>
    </row>
    <row r="185">
      <c r="A185" t="s">
        <v>1186</v>
      </c>
      <c r="B185">
        <v>33387.0</v>
      </c>
      <c r="C185" s="4">
        <v>1446.0</v>
      </c>
      <c r="D185">
        <v>33910.0</v>
      </c>
      <c r="E185" t="s">
        <v>1658</v>
      </c>
      <c r="F185" t="str">
        <f t="shared" si="1"/>
        <v>1 446  </v>
      </c>
      <c r="G185" t="s">
        <v>1659</v>
      </c>
      <c r="H185" t="str">
        <f t="shared" si="2"/>
        <v>1446</v>
      </c>
    </row>
    <row r="186">
      <c r="A186" t="s">
        <v>1093</v>
      </c>
      <c r="B186">
        <v>33425.0</v>
      </c>
      <c r="C186" s="4">
        <v>1449.0</v>
      </c>
      <c r="D186">
        <v>33240.0</v>
      </c>
      <c r="E186" t="s">
        <v>1660</v>
      </c>
      <c r="F186" t="str">
        <f t="shared" si="1"/>
        <v>1 449  </v>
      </c>
      <c r="G186" t="s">
        <v>1661</v>
      </c>
      <c r="H186" t="str">
        <f t="shared" si="2"/>
        <v>1449</v>
      </c>
    </row>
    <row r="187">
      <c r="A187" t="s">
        <v>1079</v>
      </c>
      <c r="B187">
        <v>33378.0</v>
      </c>
      <c r="C187" s="4">
        <v>1469.0</v>
      </c>
      <c r="D187">
        <v>33220.0</v>
      </c>
      <c r="E187" t="s">
        <v>1662</v>
      </c>
      <c r="F187" t="str">
        <f t="shared" si="1"/>
        <v>1 469  </v>
      </c>
      <c r="G187" t="s">
        <v>1663</v>
      </c>
      <c r="H187" t="str">
        <f t="shared" si="2"/>
        <v>1469</v>
      </c>
    </row>
    <row r="188">
      <c r="A188" t="s">
        <v>1051</v>
      </c>
      <c r="B188">
        <v>33290.0</v>
      </c>
      <c r="C188" s="4">
        <v>1524.0</v>
      </c>
      <c r="D188">
        <v>33570.0</v>
      </c>
      <c r="E188" t="s">
        <v>1664</v>
      </c>
      <c r="F188" t="str">
        <f t="shared" si="1"/>
        <v>1 524  </v>
      </c>
      <c r="G188" t="s">
        <v>1665</v>
      </c>
      <c r="H188" t="str">
        <f t="shared" si="2"/>
        <v>1524</v>
      </c>
    </row>
    <row r="189">
      <c r="A189" t="s">
        <v>539</v>
      </c>
      <c r="B189">
        <v>33355.0</v>
      </c>
      <c r="C189" s="4">
        <v>1556.0</v>
      </c>
      <c r="D189">
        <v>33410.0</v>
      </c>
      <c r="E189" t="s">
        <v>1666</v>
      </c>
      <c r="F189" t="str">
        <f t="shared" si="1"/>
        <v>1 556  </v>
      </c>
      <c r="G189" t="s">
        <v>1667</v>
      </c>
      <c r="H189" t="str">
        <f t="shared" si="2"/>
        <v>1556</v>
      </c>
    </row>
    <row r="190">
      <c r="A190" t="s">
        <v>394</v>
      </c>
      <c r="B190">
        <v>33289.0</v>
      </c>
      <c r="C190" s="4">
        <v>1584.0</v>
      </c>
      <c r="D190">
        <v>33580.0</v>
      </c>
      <c r="E190" t="s">
        <v>1668</v>
      </c>
      <c r="F190" t="str">
        <f t="shared" si="1"/>
        <v>1 584  </v>
      </c>
      <c r="G190" t="s">
        <v>1669</v>
      </c>
      <c r="H190" t="str">
        <f t="shared" si="2"/>
        <v>1584</v>
      </c>
    </row>
    <row r="191">
      <c r="A191" t="s">
        <v>227</v>
      </c>
      <c r="B191">
        <v>33351.0</v>
      </c>
      <c r="C191" s="4">
        <v>1599.0</v>
      </c>
      <c r="D191">
        <v>33860.0</v>
      </c>
      <c r="E191" t="s">
        <v>1670</v>
      </c>
      <c r="F191" t="str">
        <f t="shared" si="1"/>
        <v>1 599  </v>
      </c>
      <c r="G191" t="s">
        <v>1671</v>
      </c>
      <c r="H191" t="str">
        <f t="shared" si="2"/>
        <v>1599</v>
      </c>
    </row>
    <row r="192">
      <c r="A192" t="s">
        <v>1231</v>
      </c>
      <c r="B192">
        <v>33439.0</v>
      </c>
      <c r="C192" s="4">
        <v>1602.0</v>
      </c>
      <c r="D192">
        <v>33620.0</v>
      </c>
      <c r="E192" t="s">
        <v>1672</v>
      </c>
      <c r="F192" t="str">
        <f t="shared" si="1"/>
        <v>1 602  </v>
      </c>
      <c r="G192" t="s">
        <v>1673</v>
      </c>
      <c r="H192" t="str">
        <f t="shared" si="2"/>
        <v>1602</v>
      </c>
    </row>
    <row r="193">
      <c r="A193" t="s">
        <v>1083</v>
      </c>
      <c r="B193">
        <v>33395.0</v>
      </c>
      <c r="C193" s="4">
        <v>1615.0</v>
      </c>
      <c r="D193">
        <v>33180.0</v>
      </c>
      <c r="E193" t="s">
        <v>1674</v>
      </c>
      <c r="F193" t="str">
        <f t="shared" si="1"/>
        <v>1 615  </v>
      </c>
      <c r="G193" t="s">
        <v>1675</v>
      </c>
      <c r="H193" t="str">
        <f t="shared" si="2"/>
        <v>1615</v>
      </c>
    </row>
    <row r="194">
      <c r="A194" t="s">
        <v>703</v>
      </c>
      <c r="B194">
        <v>33517.0</v>
      </c>
      <c r="C194" s="4">
        <v>1629.0</v>
      </c>
      <c r="D194">
        <v>33460.0</v>
      </c>
      <c r="E194" t="s">
        <v>1676</v>
      </c>
      <c r="F194" t="str">
        <f t="shared" si="1"/>
        <v>1 629  </v>
      </c>
      <c r="G194" t="s">
        <v>1677</v>
      </c>
      <c r="H194" t="str">
        <f t="shared" si="2"/>
        <v>1629</v>
      </c>
    </row>
    <row r="195">
      <c r="A195" t="s">
        <v>337</v>
      </c>
      <c r="B195">
        <v>33307.0</v>
      </c>
      <c r="C195" s="4">
        <v>1679.0</v>
      </c>
      <c r="D195">
        <v>33730.0</v>
      </c>
      <c r="E195" t="s">
        <v>1678</v>
      </c>
      <c r="F195" t="str">
        <f t="shared" si="1"/>
        <v>1 679  </v>
      </c>
      <c r="G195" t="s">
        <v>1679</v>
      </c>
      <c r="H195" t="str">
        <f t="shared" si="2"/>
        <v>1679</v>
      </c>
    </row>
    <row r="196">
      <c r="A196" t="s">
        <v>1196</v>
      </c>
      <c r="B196">
        <v>33454.0</v>
      </c>
      <c r="C196" s="4">
        <v>1694.0</v>
      </c>
      <c r="D196">
        <v>33650.0</v>
      </c>
      <c r="E196" t="s">
        <v>1680</v>
      </c>
      <c r="F196" t="str">
        <f t="shared" si="1"/>
        <v>1 694  </v>
      </c>
      <c r="G196" t="s">
        <v>1681</v>
      </c>
      <c r="H196" t="str">
        <f t="shared" si="2"/>
        <v>1694</v>
      </c>
    </row>
    <row r="197">
      <c r="A197" t="s">
        <v>1286</v>
      </c>
      <c r="B197">
        <v>33357.0</v>
      </c>
      <c r="C197" s="4">
        <v>1700.0</v>
      </c>
      <c r="D197">
        <v>33210.0</v>
      </c>
      <c r="E197" t="s">
        <v>1682</v>
      </c>
      <c r="F197" t="str">
        <f t="shared" si="1"/>
        <v>1 700  </v>
      </c>
      <c r="G197" t="s">
        <v>1683</v>
      </c>
      <c r="H197" t="str">
        <f t="shared" si="2"/>
        <v>1700</v>
      </c>
    </row>
    <row r="198">
      <c r="A198" t="s">
        <v>1035</v>
      </c>
      <c r="B198">
        <v>33380.0</v>
      </c>
      <c r="C198" s="4">
        <v>1744.0</v>
      </c>
      <c r="D198" t="s">
        <v>1684</v>
      </c>
      <c r="E198" t="s">
        <v>1685</v>
      </c>
      <c r="F198" t="str">
        <f t="shared" si="1"/>
        <v>1 744  </v>
      </c>
      <c r="G198" t="s">
        <v>1686</v>
      </c>
      <c r="H198" t="str">
        <f t="shared" si="2"/>
        <v>1744</v>
      </c>
    </row>
    <row r="199">
      <c r="A199" t="s">
        <v>791</v>
      </c>
      <c r="B199">
        <v>33490.0</v>
      </c>
      <c r="C199" s="4">
        <v>1777.0</v>
      </c>
      <c r="D199">
        <v>33590.0</v>
      </c>
      <c r="E199" t="s">
        <v>1687</v>
      </c>
      <c r="F199" t="str">
        <f t="shared" si="1"/>
        <v>1 777  </v>
      </c>
      <c r="G199" t="s">
        <v>1688</v>
      </c>
      <c r="H199" t="str">
        <f t="shared" si="2"/>
        <v>1777</v>
      </c>
    </row>
    <row r="200">
      <c r="A200" t="s">
        <v>412</v>
      </c>
      <c r="B200">
        <v>33506.0</v>
      </c>
      <c r="C200" s="4">
        <v>1788.0</v>
      </c>
      <c r="D200">
        <v>33540.0</v>
      </c>
      <c r="E200" t="s">
        <v>1689</v>
      </c>
      <c r="F200" t="str">
        <f t="shared" si="1"/>
        <v>1 788  </v>
      </c>
      <c r="G200" t="s">
        <v>1690</v>
      </c>
      <c r="H200" t="str">
        <f t="shared" si="2"/>
        <v>1788</v>
      </c>
    </row>
    <row r="201">
      <c r="A201" t="s">
        <v>623</v>
      </c>
      <c r="B201">
        <v>33297.0</v>
      </c>
      <c r="C201" s="4">
        <v>1830.0</v>
      </c>
      <c r="D201">
        <v>33480.0</v>
      </c>
      <c r="E201" t="s">
        <v>1691</v>
      </c>
      <c r="F201" t="str">
        <f t="shared" si="1"/>
        <v>1 830  </v>
      </c>
      <c r="G201" t="s">
        <v>1692</v>
      </c>
      <c r="H201" t="str">
        <f t="shared" si="2"/>
        <v>1830</v>
      </c>
    </row>
    <row r="202">
      <c r="A202" t="s">
        <v>647</v>
      </c>
      <c r="B202">
        <v>33484.0</v>
      </c>
      <c r="C202" s="4">
        <v>1837.0</v>
      </c>
      <c r="D202">
        <v>33113.0</v>
      </c>
      <c r="E202" t="s">
        <v>1693</v>
      </c>
      <c r="F202" t="str">
        <f t="shared" si="1"/>
        <v>1 837  </v>
      </c>
      <c r="G202" t="s">
        <v>1694</v>
      </c>
      <c r="H202" t="str">
        <f t="shared" si="2"/>
        <v>1837</v>
      </c>
    </row>
    <row r="203">
      <c r="A203" t="s">
        <v>1695</v>
      </c>
      <c r="B203">
        <v>33394.0</v>
      </c>
      <c r="C203" s="4">
        <v>1874.0</v>
      </c>
      <c r="D203">
        <v>33330.0</v>
      </c>
      <c r="E203" t="s">
        <v>1696</v>
      </c>
      <c r="F203" t="str">
        <f t="shared" si="1"/>
        <v>1 874  </v>
      </c>
      <c r="G203" t="s">
        <v>1697</v>
      </c>
      <c r="H203" t="str">
        <f t="shared" si="2"/>
        <v>1874</v>
      </c>
    </row>
    <row r="204">
      <c r="A204" t="s">
        <v>162</v>
      </c>
      <c r="B204">
        <v>33415.0</v>
      </c>
      <c r="C204" s="4">
        <v>1878.0</v>
      </c>
      <c r="D204">
        <v>33240.0</v>
      </c>
      <c r="E204" t="s">
        <v>1698</v>
      </c>
      <c r="F204" t="str">
        <f t="shared" si="1"/>
        <v>1 878  </v>
      </c>
      <c r="G204" t="s">
        <v>1699</v>
      </c>
      <c r="H204" t="str">
        <f t="shared" si="2"/>
        <v>1878</v>
      </c>
    </row>
    <row r="205">
      <c r="A205" t="s">
        <v>550</v>
      </c>
      <c r="B205">
        <v>33485.0</v>
      </c>
      <c r="C205" s="4">
        <v>1883.0</v>
      </c>
      <c r="D205">
        <v>33350.0</v>
      </c>
      <c r="E205" t="s">
        <v>1700</v>
      </c>
      <c r="F205" t="str">
        <f t="shared" si="1"/>
        <v>1 883  </v>
      </c>
      <c r="G205" t="s">
        <v>1701</v>
      </c>
      <c r="H205" t="str">
        <f t="shared" si="2"/>
        <v>1883</v>
      </c>
    </row>
    <row r="206">
      <c r="A206" t="s">
        <v>789</v>
      </c>
      <c r="B206">
        <v>33438.0</v>
      </c>
      <c r="C206" s="4">
        <v>1919.0</v>
      </c>
      <c r="D206">
        <v>33490.0</v>
      </c>
      <c r="E206" t="s">
        <v>1702</v>
      </c>
      <c r="F206" t="str">
        <f t="shared" si="1"/>
        <v>1 919  </v>
      </c>
      <c r="G206" t="s">
        <v>1703</v>
      </c>
      <c r="H206" t="str">
        <f t="shared" si="2"/>
        <v>1919</v>
      </c>
    </row>
    <row r="207">
      <c r="A207" t="s">
        <v>428</v>
      </c>
      <c r="B207">
        <v>33382.0</v>
      </c>
      <c r="C207" s="4">
        <v>1973.0</v>
      </c>
      <c r="D207">
        <v>33920.0</v>
      </c>
      <c r="E207" t="s">
        <v>1704</v>
      </c>
      <c r="F207" t="str">
        <f t="shared" si="1"/>
        <v>1 973  </v>
      </c>
      <c r="G207" t="s">
        <v>1705</v>
      </c>
      <c r="H207" t="str">
        <f t="shared" si="2"/>
        <v>1973</v>
      </c>
    </row>
    <row r="208">
      <c r="A208" t="s">
        <v>787</v>
      </c>
      <c r="B208">
        <v>33437.0</v>
      </c>
      <c r="C208" s="4">
        <v>1998.0</v>
      </c>
      <c r="D208">
        <v>33350.0</v>
      </c>
      <c r="E208" t="s">
        <v>1706</v>
      </c>
      <c r="F208" t="str">
        <f t="shared" si="1"/>
        <v>1 998  </v>
      </c>
      <c r="G208" t="s">
        <v>1707</v>
      </c>
      <c r="H208" t="str">
        <f t="shared" si="2"/>
        <v>1998</v>
      </c>
    </row>
    <row r="209">
      <c r="A209" t="s">
        <v>603</v>
      </c>
      <c r="B209">
        <v>33435.0</v>
      </c>
      <c r="C209" s="4">
        <v>2076.0</v>
      </c>
      <c r="D209">
        <v>33490.0</v>
      </c>
      <c r="E209" t="s">
        <v>1708</v>
      </c>
      <c r="F209" t="str">
        <f t="shared" si="1"/>
        <v>2 076  </v>
      </c>
      <c r="G209" t="s">
        <v>1709</v>
      </c>
      <c r="H209" t="str">
        <f t="shared" si="2"/>
        <v>2076</v>
      </c>
    </row>
    <row r="210">
      <c r="A210" t="s">
        <v>497</v>
      </c>
      <c r="B210">
        <v>33523.0</v>
      </c>
      <c r="C210" s="4">
        <v>2077.0</v>
      </c>
      <c r="D210">
        <v>33760.0</v>
      </c>
      <c r="E210" t="s">
        <v>1710</v>
      </c>
      <c r="F210" t="str">
        <f t="shared" si="1"/>
        <v>2 077  </v>
      </c>
      <c r="G210" t="s">
        <v>1711</v>
      </c>
      <c r="H210" t="str">
        <f t="shared" si="2"/>
        <v>2077</v>
      </c>
    </row>
    <row r="211">
      <c r="A211" t="s">
        <v>422</v>
      </c>
      <c r="B211">
        <v>33337.0</v>
      </c>
      <c r="C211" s="4">
        <v>2140.0</v>
      </c>
      <c r="D211">
        <v>33210.0</v>
      </c>
      <c r="E211" t="s">
        <v>1712</v>
      </c>
      <c r="F211" t="str">
        <f t="shared" si="1"/>
        <v>2 140  </v>
      </c>
      <c r="G211" t="s">
        <v>1713</v>
      </c>
      <c r="H211" t="str">
        <f t="shared" si="2"/>
        <v>2140</v>
      </c>
    </row>
    <row r="212">
      <c r="A212" t="s">
        <v>785</v>
      </c>
      <c r="B212">
        <v>33434.0</v>
      </c>
      <c r="C212" s="4">
        <v>2153.0</v>
      </c>
      <c r="D212">
        <v>33440.0</v>
      </c>
      <c r="E212" t="s">
        <v>1714</v>
      </c>
      <c r="F212" t="str">
        <f t="shared" si="1"/>
        <v>2 153  </v>
      </c>
      <c r="G212" t="s">
        <v>1715</v>
      </c>
      <c r="H212" t="str">
        <f t="shared" si="2"/>
        <v>2153</v>
      </c>
    </row>
    <row r="213">
      <c r="A213" t="s">
        <v>1058</v>
      </c>
      <c r="B213">
        <v>33413.0</v>
      </c>
      <c r="C213" s="4">
        <v>2156.0</v>
      </c>
      <c r="D213">
        <v>33750.0</v>
      </c>
      <c r="E213" t="s">
        <v>1716</v>
      </c>
      <c r="F213" t="str">
        <f t="shared" si="1"/>
        <v>2 156  </v>
      </c>
      <c r="G213" t="s">
        <v>1717</v>
      </c>
      <c r="H213" t="str">
        <f t="shared" si="2"/>
        <v>2156</v>
      </c>
    </row>
    <row r="214">
      <c r="A214" t="s">
        <v>537</v>
      </c>
      <c r="B214">
        <v>33321.0</v>
      </c>
      <c r="C214" s="4">
        <v>2173.0</v>
      </c>
      <c r="D214">
        <v>33240.0</v>
      </c>
      <c r="E214" t="s">
        <v>1718</v>
      </c>
      <c r="F214" t="str">
        <f t="shared" si="1"/>
        <v>2 173  </v>
      </c>
      <c r="G214" t="s">
        <v>1719</v>
      </c>
      <c r="H214" t="str">
        <f t="shared" si="2"/>
        <v>2173</v>
      </c>
    </row>
    <row r="215">
      <c r="A215" t="s">
        <v>1223</v>
      </c>
      <c r="B215">
        <v>33349.0</v>
      </c>
      <c r="C215" s="4">
        <v>2189.0</v>
      </c>
      <c r="D215">
        <v>33360.0</v>
      </c>
      <c r="E215" t="s">
        <v>1720</v>
      </c>
      <c r="F215" t="str">
        <f t="shared" si="1"/>
        <v>2 189  </v>
      </c>
      <c r="G215" t="s">
        <v>1721</v>
      </c>
      <c r="H215" t="str">
        <f t="shared" si="2"/>
        <v>2189</v>
      </c>
    </row>
    <row r="216">
      <c r="A216" t="s">
        <v>1284</v>
      </c>
      <c r="B216">
        <v>33341.0</v>
      </c>
      <c r="C216" s="4">
        <v>2288.0</v>
      </c>
      <c r="D216">
        <v>33710.0</v>
      </c>
      <c r="E216" t="s">
        <v>1722</v>
      </c>
      <c r="F216" t="str">
        <f t="shared" si="1"/>
        <v>2 288  </v>
      </c>
      <c r="G216" t="s">
        <v>1723</v>
      </c>
      <c r="H216" t="str">
        <f t="shared" si="2"/>
        <v>2288</v>
      </c>
    </row>
    <row r="217">
      <c r="A217" t="s">
        <v>1261</v>
      </c>
      <c r="B217">
        <v>33447.0</v>
      </c>
      <c r="C217" s="4">
        <v>2380.0</v>
      </c>
      <c r="D217">
        <v>33230.0</v>
      </c>
      <c r="E217" t="s">
        <v>1724</v>
      </c>
      <c r="F217" t="str">
        <f t="shared" si="1"/>
        <v>2 380  </v>
      </c>
      <c r="G217" t="s">
        <v>1725</v>
      </c>
      <c r="H217" t="str">
        <f t="shared" si="2"/>
        <v>2380</v>
      </c>
    </row>
    <row r="218">
      <c r="A218" t="s">
        <v>360</v>
      </c>
      <c r="B218">
        <v>33492.0</v>
      </c>
      <c r="C218" s="4">
        <v>2380.0</v>
      </c>
      <c r="D218">
        <v>33920.0</v>
      </c>
      <c r="E218" t="s">
        <v>1724</v>
      </c>
      <c r="F218" t="str">
        <f t="shared" si="1"/>
        <v>2 380  </v>
      </c>
      <c r="G218" t="s">
        <v>1725</v>
      </c>
      <c r="H218" t="str">
        <f t="shared" si="2"/>
        <v>2380</v>
      </c>
    </row>
    <row r="219">
      <c r="A219" t="s">
        <v>431</v>
      </c>
      <c r="B219">
        <v>33466.0</v>
      </c>
      <c r="C219" s="4">
        <v>2442.0</v>
      </c>
      <c r="D219">
        <v>33750.0</v>
      </c>
      <c r="E219" t="s">
        <v>1726</v>
      </c>
      <c r="F219" t="str">
        <f t="shared" si="1"/>
        <v>2 442  </v>
      </c>
      <c r="G219" t="s">
        <v>1727</v>
      </c>
      <c r="H219" t="str">
        <f t="shared" si="2"/>
        <v>2442</v>
      </c>
    </row>
    <row r="220">
      <c r="A220" t="s">
        <v>616</v>
      </c>
      <c r="B220">
        <v>33540.0</v>
      </c>
      <c r="C220" s="4">
        <v>2445.0</v>
      </c>
      <c r="D220">
        <v>33930.0</v>
      </c>
      <c r="E220" t="s">
        <v>1728</v>
      </c>
      <c r="F220" t="str">
        <f t="shared" si="1"/>
        <v>2 445  </v>
      </c>
      <c r="G220" t="s">
        <v>1729</v>
      </c>
      <c r="H220" t="str">
        <f t="shared" si="2"/>
        <v>2445</v>
      </c>
    </row>
    <row r="221">
      <c r="A221" t="s">
        <v>1730</v>
      </c>
      <c r="B221">
        <v>33496.0</v>
      </c>
      <c r="C221" s="4">
        <v>2490.0</v>
      </c>
      <c r="D221">
        <v>33370.0</v>
      </c>
      <c r="E221" t="s">
        <v>1731</v>
      </c>
      <c r="F221" t="str">
        <f t="shared" si="1"/>
        <v>2 490  </v>
      </c>
      <c r="G221" t="s">
        <v>1732</v>
      </c>
      <c r="H221" t="str">
        <f t="shared" si="2"/>
        <v>2490</v>
      </c>
    </row>
    <row r="222">
      <c r="A222" t="s">
        <v>485</v>
      </c>
      <c r="B222">
        <v>33402.0</v>
      </c>
      <c r="C222" s="4">
        <v>2554.0</v>
      </c>
      <c r="D222">
        <v>33220.0</v>
      </c>
      <c r="E222" t="s">
        <v>1733</v>
      </c>
      <c r="F222" t="str">
        <f t="shared" si="1"/>
        <v>2 554  </v>
      </c>
      <c r="G222" t="s">
        <v>1734</v>
      </c>
      <c r="H222" t="str">
        <f t="shared" si="2"/>
        <v>2554</v>
      </c>
    </row>
    <row r="223">
      <c r="A223" t="s">
        <v>1155</v>
      </c>
      <c r="B223">
        <v>33533.0</v>
      </c>
      <c r="C223" s="4">
        <v>2640.0</v>
      </c>
      <c r="D223">
        <v>33210.0</v>
      </c>
      <c r="E223" t="s">
        <v>1735</v>
      </c>
      <c r="F223" t="str">
        <f t="shared" si="1"/>
        <v>2 640  </v>
      </c>
      <c r="G223" t="s">
        <v>1736</v>
      </c>
      <c r="H223" t="str">
        <f t="shared" si="2"/>
        <v>2640</v>
      </c>
    </row>
    <row r="224">
      <c r="A224" t="s">
        <v>152</v>
      </c>
      <c r="B224">
        <v>33334.0</v>
      </c>
      <c r="C224" s="4">
        <v>2702.0</v>
      </c>
      <c r="D224">
        <v>33640.0</v>
      </c>
      <c r="E224" t="s">
        <v>1737</v>
      </c>
      <c r="F224" t="str">
        <f t="shared" si="1"/>
        <v>2 702  </v>
      </c>
      <c r="G224" t="s">
        <v>1738</v>
      </c>
      <c r="H224" t="str">
        <f t="shared" si="2"/>
        <v>2702</v>
      </c>
    </row>
    <row r="225">
      <c r="A225" t="s">
        <v>543</v>
      </c>
      <c r="B225">
        <v>33417.0</v>
      </c>
      <c r="C225" s="4">
        <v>2797.0</v>
      </c>
      <c r="D225">
        <v>33480.0</v>
      </c>
      <c r="E225" t="s">
        <v>1739</v>
      </c>
      <c r="F225" t="str">
        <f t="shared" si="1"/>
        <v>2 797  </v>
      </c>
      <c r="G225" t="s">
        <v>1740</v>
      </c>
      <c r="H225" t="str">
        <f t="shared" si="2"/>
        <v>2797</v>
      </c>
    </row>
    <row r="226">
      <c r="A226" t="s">
        <v>1233</v>
      </c>
      <c r="B226">
        <v>33514.0</v>
      </c>
      <c r="C226" s="4">
        <v>2811.0</v>
      </c>
      <c r="D226">
        <v>33780.0</v>
      </c>
      <c r="E226" t="s">
        <v>1741</v>
      </c>
      <c r="F226" t="str">
        <f t="shared" si="1"/>
        <v>2 811  </v>
      </c>
      <c r="G226" t="s">
        <v>1742</v>
      </c>
      <c r="H226" t="str">
        <f t="shared" si="2"/>
        <v>2811</v>
      </c>
    </row>
    <row r="227">
      <c r="A227" t="s">
        <v>653</v>
      </c>
      <c r="B227">
        <v>33554.0</v>
      </c>
      <c r="C227" s="4">
        <v>2812.0</v>
      </c>
      <c r="D227">
        <v>33370.0</v>
      </c>
      <c r="E227" t="s">
        <v>1743</v>
      </c>
      <c r="F227" t="str">
        <f t="shared" si="1"/>
        <v>2 812  </v>
      </c>
      <c r="G227" t="s">
        <v>1744</v>
      </c>
      <c r="H227" t="str">
        <f t="shared" si="2"/>
        <v>2812</v>
      </c>
    </row>
    <row r="228">
      <c r="A228" t="s">
        <v>681</v>
      </c>
      <c r="B228">
        <v>33268.0</v>
      </c>
      <c r="C228" s="4">
        <v>2965.0</v>
      </c>
      <c r="D228">
        <v>33460.0</v>
      </c>
      <c r="E228" t="s">
        <v>1745</v>
      </c>
      <c r="F228" t="str">
        <f t="shared" si="1"/>
        <v>2 965  </v>
      </c>
      <c r="G228" t="s">
        <v>1746</v>
      </c>
      <c r="H228" t="str">
        <f t="shared" si="2"/>
        <v>2965</v>
      </c>
    </row>
    <row r="229">
      <c r="A229" t="s">
        <v>750</v>
      </c>
      <c r="B229">
        <v>33448.0</v>
      </c>
      <c r="C229" s="4">
        <v>2971.0</v>
      </c>
      <c r="D229">
        <v>33650.0</v>
      </c>
      <c r="E229" t="s">
        <v>1747</v>
      </c>
      <c r="F229" t="str">
        <f t="shared" si="1"/>
        <v>2 971  </v>
      </c>
      <c r="G229" t="s">
        <v>1748</v>
      </c>
      <c r="H229" t="str">
        <f t="shared" si="2"/>
        <v>2971</v>
      </c>
    </row>
    <row r="230">
      <c r="A230" t="s">
        <v>150</v>
      </c>
      <c r="B230">
        <v>33330.0</v>
      </c>
      <c r="C230" s="4">
        <v>2980.0</v>
      </c>
      <c r="D230">
        <v>33370.0</v>
      </c>
      <c r="E230" t="s">
        <v>1749</v>
      </c>
      <c r="F230" t="str">
        <f t="shared" si="1"/>
        <v>2 980  </v>
      </c>
      <c r="G230" t="s">
        <v>1750</v>
      </c>
      <c r="H230" t="str">
        <f t="shared" si="2"/>
        <v>2980</v>
      </c>
    </row>
    <row r="231">
      <c r="A231" t="s">
        <v>990</v>
      </c>
      <c r="B231">
        <v>33389.0</v>
      </c>
      <c r="C231" s="4">
        <v>3012.0</v>
      </c>
      <c r="D231">
        <v>33820.0</v>
      </c>
      <c r="E231" t="s">
        <v>1751</v>
      </c>
      <c r="F231" t="str">
        <f t="shared" si="1"/>
        <v>3 012  </v>
      </c>
      <c r="G231" t="s">
        <v>1752</v>
      </c>
      <c r="H231" t="str">
        <f t="shared" si="2"/>
        <v>3012</v>
      </c>
    </row>
    <row r="232">
      <c r="A232" t="s">
        <v>54</v>
      </c>
      <c r="B232">
        <v>33474.0</v>
      </c>
      <c r="C232" s="4">
        <v>3026.0</v>
      </c>
      <c r="D232">
        <v>33650.0</v>
      </c>
      <c r="E232" t="s">
        <v>1753</v>
      </c>
      <c r="F232" t="str">
        <f t="shared" si="1"/>
        <v>3 026  </v>
      </c>
      <c r="G232" t="s">
        <v>1754</v>
      </c>
      <c r="H232" t="str">
        <f t="shared" si="2"/>
        <v>3026</v>
      </c>
    </row>
    <row r="233">
      <c r="A233" t="s">
        <v>1119</v>
      </c>
      <c r="B233">
        <v>33501.0</v>
      </c>
      <c r="C233" s="4">
        <v>3056.0</v>
      </c>
      <c r="D233">
        <v>33650.0</v>
      </c>
      <c r="E233" t="s">
        <v>1755</v>
      </c>
      <c r="F233" t="str">
        <f t="shared" si="1"/>
        <v>3 056  </v>
      </c>
      <c r="G233" t="s">
        <v>1756</v>
      </c>
      <c r="H233" t="str">
        <f t="shared" si="2"/>
        <v>3056</v>
      </c>
    </row>
    <row r="234">
      <c r="A234" t="s">
        <v>850</v>
      </c>
      <c r="B234">
        <v>33274.0</v>
      </c>
      <c r="C234" s="4">
        <v>3067.0</v>
      </c>
      <c r="D234">
        <v>33650.0</v>
      </c>
      <c r="E234" t="s">
        <v>1757</v>
      </c>
      <c r="F234" t="str">
        <f t="shared" si="1"/>
        <v>3 067  </v>
      </c>
      <c r="G234" t="s">
        <v>1758</v>
      </c>
      <c r="H234" t="str">
        <f t="shared" si="2"/>
        <v>3067</v>
      </c>
    </row>
    <row r="235">
      <c r="A235" t="s">
        <v>238</v>
      </c>
      <c r="B235">
        <v>33478.0</v>
      </c>
      <c r="C235" s="4">
        <v>3155.0</v>
      </c>
      <c r="D235">
        <v>33660.0</v>
      </c>
      <c r="E235" t="s">
        <v>1759</v>
      </c>
      <c r="F235" t="str">
        <f t="shared" si="1"/>
        <v>3 155  </v>
      </c>
      <c r="G235" t="s">
        <v>1760</v>
      </c>
      <c r="H235" t="str">
        <f t="shared" si="2"/>
        <v>3155</v>
      </c>
    </row>
    <row r="236">
      <c r="A236" t="s">
        <v>435</v>
      </c>
      <c r="B236">
        <v>33473.0</v>
      </c>
      <c r="C236" s="4">
        <v>3208.0</v>
      </c>
      <c r="D236">
        <v>33920.0</v>
      </c>
      <c r="E236" t="s">
        <v>1761</v>
      </c>
      <c r="F236" t="str">
        <f t="shared" si="1"/>
        <v>3 208  </v>
      </c>
      <c r="G236" t="s">
        <v>1762</v>
      </c>
      <c r="H236" t="str">
        <f t="shared" si="2"/>
        <v>3208</v>
      </c>
    </row>
    <row r="237">
      <c r="A237" t="s">
        <v>1029</v>
      </c>
      <c r="B237">
        <v>33293.0</v>
      </c>
      <c r="C237" s="4">
        <v>3212.0</v>
      </c>
      <c r="D237">
        <v>33450.0</v>
      </c>
      <c r="E237" t="s">
        <v>1763</v>
      </c>
      <c r="F237" t="str">
        <f t="shared" si="1"/>
        <v>3 212  </v>
      </c>
      <c r="G237" t="s">
        <v>1764</v>
      </c>
      <c r="H237" t="str">
        <f t="shared" si="2"/>
        <v>3212</v>
      </c>
    </row>
    <row r="238">
      <c r="A238" t="s">
        <v>1033</v>
      </c>
      <c r="B238">
        <v>33327.0</v>
      </c>
      <c r="C238" s="4">
        <v>3215.0</v>
      </c>
      <c r="D238">
        <v>33720.0</v>
      </c>
      <c r="E238" t="s">
        <v>1765</v>
      </c>
      <c r="F238" t="str">
        <f t="shared" si="1"/>
        <v>3 215  </v>
      </c>
      <c r="G238" t="s">
        <v>1766</v>
      </c>
      <c r="H238" t="str">
        <f t="shared" si="2"/>
        <v>3215</v>
      </c>
    </row>
    <row r="239">
      <c r="A239" t="s">
        <v>230</v>
      </c>
      <c r="B239">
        <v>33381.0</v>
      </c>
      <c r="C239" s="4">
        <v>3222.0</v>
      </c>
      <c r="D239">
        <v>33880.0</v>
      </c>
      <c r="E239" t="s">
        <v>1767</v>
      </c>
      <c r="F239" t="str">
        <f t="shared" si="1"/>
        <v>3 222  </v>
      </c>
      <c r="G239" t="s">
        <v>1768</v>
      </c>
      <c r="H239" t="str">
        <f t="shared" si="2"/>
        <v>3222</v>
      </c>
    </row>
    <row r="240">
      <c r="A240" t="s">
        <v>1138</v>
      </c>
      <c r="B240">
        <v>33018.0</v>
      </c>
      <c r="C240" s="4">
        <v>3512.0</v>
      </c>
      <c r="D240">
        <v>33240.0</v>
      </c>
      <c r="E240" t="s">
        <v>1769</v>
      </c>
      <c r="F240" t="str">
        <f t="shared" si="1"/>
        <v>3 512  </v>
      </c>
      <c r="G240" t="s">
        <v>1770</v>
      </c>
      <c r="H240" t="str">
        <f t="shared" si="2"/>
        <v>3512</v>
      </c>
    </row>
    <row r="241">
      <c r="A241" t="s">
        <v>373</v>
      </c>
      <c r="B241">
        <v>33539.0</v>
      </c>
      <c r="C241" s="4">
        <v>3956.0</v>
      </c>
      <c r="D241">
        <v>33870.0</v>
      </c>
      <c r="E241" t="s">
        <v>1771</v>
      </c>
      <c r="F241" t="str">
        <f t="shared" si="1"/>
        <v>3 956  </v>
      </c>
      <c r="G241" t="s">
        <v>1772</v>
      </c>
      <c r="H241" t="str">
        <f t="shared" si="2"/>
        <v>3956</v>
      </c>
    </row>
    <row r="242">
      <c r="A242" t="s">
        <v>979</v>
      </c>
      <c r="B242">
        <v>33262.0</v>
      </c>
      <c r="C242" s="4">
        <v>4225.0</v>
      </c>
      <c r="D242">
        <v>33460.0</v>
      </c>
      <c r="E242" t="s">
        <v>1773</v>
      </c>
      <c r="F242" t="str">
        <f t="shared" si="1"/>
        <v>4 225  </v>
      </c>
      <c r="G242" t="s">
        <v>1774</v>
      </c>
      <c r="H242" t="str">
        <f t="shared" si="2"/>
        <v>4225</v>
      </c>
    </row>
    <row r="243">
      <c r="A243" t="s">
        <v>897</v>
      </c>
      <c r="B243">
        <v>33363.0</v>
      </c>
      <c r="C243" s="4">
        <v>4244.0</v>
      </c>
      <c r="D243">
        <v>33670.0</v>
      </c>
      <c r="E243" t="s">
        <v>1775</v>
      </c>
      <c r="F243" t="str">
        <f t="shared" si="1"/>
        <v>4 244  </v>
      </c>
      <c r="G243" t="s">
        <v>1776</v>
      </c>
      <c r="H243" t="str">
        <f t="shared" si="2"/>
        <v>4244</v>
      </c>
    </row>
    <row r="244">
      <c r="A244" t="s">
        <v>401</v>
      </c>
      <c r="B244">
        <v>33324.0</v>
      </c>
      <c r="C244" s="4">
        <v>4394.0</v>
      </c>
      <c r="D244">
        <v>33220.0</v>
      </c>
      <c r="E244" t="s">
        <v>1777</v>
      </c>
      <c r="F244" t="str">
        <f t="shared" si="1"/>
        <v>4 394  </v>
      </c>
      <c r="G244" t="s">
        <v>1778</v>
      </c>
      <c r="H244" t="str">
        <f t="shared" si="2"/>
        <v>4394</v>
      </c>
    </row>
    <row r="245">
      <c r="A245" t="s">
        <v>371</v>
      </c>
      <c r="B245">
        <v>33535.0</v>
      </c>
      <c r="C245" s="4">
        <v>4610.0</v>
      </c>
      <c r="D245">
        <v>33370.0</v>
      </c>
      <c r="E245" t="s">
        <v>1779</v>
      </c>
      <c r="F245" t="str">
        <f t="shared" si="1"/>
        <v>4 610  </v>
      </c>
      <c r="G245" t="s">
        <v>1780</v>
      </c>
      <c r="H245" t="str">
        <f t="shared" si="2"/>
        <v>4610</v>
      </c>
    </row>
    <row r="246">
      <c r="A246" t="s">
        <v>284</v>
      </c>
      <c r="B246">
        <v>33483.0</v>
      </c>
      <c r="C246" s="4">
        <v>4614.0</v>
      </c>
      <c r="D246">
        <v>33450.0</v>
      </c>
      <c r="E246" t="s">
        <v>1781</v>
      </c>
      <c r="F246" t="str">
        <f t="shared" si="1"/>
        <v>4 614  </v>
      </c>
      <c r="G246" t="s">
        <v>1782</v>
      </c>
      <c r="H246" t="str">
        <f t="shared" si="2"/>
        <v>4614</v>
      </c>
    </row>
    <row r="247">
      <c r="A247" t="s">
        <v>631</v>
      </c>
      <c r="B247">
        <v>33397.0</v>
      </c>
      <c r="C247" s="4">
        <v>4631.0</v>
      </c>
      <c r="D247">
        <v>33560.0</v>
      </c>
      <c r="E247" t="s">
        <v>1783</v>
      </c>
      <c r="F247" t="str">
        <f t="shared" si="1"/>
        <v>4 631  </v>
      </c>
      <c r="G247" t="s">
        <v>1784</v>
      </c>
      <c r="H247" t="str">
        <f t="shared" si="2"/>
        <v>4631</v>
      </c>
    </row>
    <row r="248">
      <c r="A248" t="s">
        <v>1115</v>
      </c>
      <c r="B248">
        <v>33424.0</v>
      </c>
      <c r="C248" s="4">
        <v>4673.0</v>
      </c>
      <c r="D248">
        <v>33112.0</v>
      </c>
      <c r="E248" t="s">
        <v>1785</v>
      </c>
      <c r="F248" t="str">
        <f t="shared" si="1"/>
        <v>4 673  </v>
      </c>
      <c r="G248" t="s">
        <v>1786</v>
      </c>
      <c r="H248" t="str">
        <f t="shared" si="2"/>
        <v>4673</v>
      </c>
    </row>
    <row r="249">
      <c r="A249" t="s">
        <v>796</v>
      </c>
      <c r="B249">
        <v>33555.0</v>
      </c>
      <c r="C249" s="4">
        <v>4724.0</v>
      </c>
      <c r="D249">
        <v>33380.0</v>
      </c>
      <c r="E249" t="s">
        <v>1787</v>
      </c>
      <c r="F249" t="str">
        <f t="shared" si="1"/>
        <v>4 724  </v>
      </c>
      <c r="G249" t="s">
        <v>1788</v>
      </c>
      <c r="H249" t="str">
        <f t="shared" si="2"/>
        <v>4724</v>
      </c>
    </row>
    <row r="250">
      <c r="A250" t="s">
        <v>340</v>
      </c>
      <c r="B250">
        <v>33314.0</v>
      </c>
      <c r="C250" s="4">
        <v>4841.0</v>
      </c>
      <c r="D250">
        <v>33250.0</v>
      </c>
      <c r="E250" t="s">
        <v>1789</v>
      </c>
      <c r="F250" t="str">
        <f t="shared" si="1"/>
        <v>4 841  </v>
      </c>
      <c r="G250" t="s">
        <v>1790</v>
      </c>
      <c r="H250" t="str">
        <f t="shared" si="2"/>
        <v>4841</v>
      </c>
    </row>
    <row r="251">
      <c r="A251" t="s">
        <v>353</v>
      </c>
      <c r="B251">
        <v>33393.0</v>
      </c>
      <c r="C251" s="4">
        <v>5535.0</v>
      </c>
      <c r="D251">
        <v>33910.0</v>
      </c>
      <c r="E251" t="s">
        <v>1791</v>
      </c>
      <c r="F251" t="str">
        <f t="shared" si="1"/>
        <v>5 535  </v>
      </c>
      <c r="G251" t="s">
        <v>1792</v>
      </c>
      <c r="H251" t="str">
        <f t="shared" si="2"/>
        <v>5535</v>
      </c>
    </row>
    <row r="252">
      <c r="A252" t="s">
        <v>363</v>
      </c>
      <c r="B252">
        <v>33498.0</v>
      </c>
      <c r="C252" s="4">
        <v>7028.0</v>
      </c>
      <c r="D252">
        <v>33770.0</v>
      </c>
      <c r="E252" t="s">
        <v>1793</v>
      </c>
      <c r="F252" t="str">
        <f t="shared" si="1"/>
        <v>7 028  </v>
      </c>
      <c r="G252" t="s">
        <v>1794</v>
      </c>
      <c r="H252" t="str">
        <f t="shared" si="2"/>
        <v>7028</v>
      </c>
    </row>
    <row r="253">
      <c r="A253" t="s">
        <v>743</v>
      </c>
      <c r="B253">
        <v>33376.0</v>
      </c>
      <c r="C253" s="4">
        <v>7362.0</v>
      </c>
      <c r="D253">
        <v>33160.0</v>
      </c>
      <c r="E253" t="s">
        <v>1795</v>
      </c>
      <c r="F253" t="str">
        <f t="shared" si="1"/>
        <v>7 362  </v>
      </c>
      <c r="G253" t="s">
        <v>1796</v>
      </c>
      <c r="H253" t="str">
        <f t="shared" si="2"/>
        <v>7362</v>
      </c>
    </row>
    <row r="254">
      <c r="A254" t="s">
        <v>392</v>
      </c>
      <c r="B254">
        <v>33273.0</v>
      </c>
      <c r="C254" s="4">
        <v>7386.0</v>
      </c>
      <c r="D254">
        <v>33127.0</v>
      </c>
      <c r="E254" t="s">
        <v>1797</v>
      </c>
      <c r="F254" t="str">
        <f t="shared" si="1"/>
        <v>7 386  </v>
      </c>
      <c r="G254" t="s">
        <v>1798</v>
      </c>
      <c r="H254" t="str">
        <f t="shared" si="2"/>
        <v>7386</v>
      </c>
    </row>
    <row r="255">
      <c r="A255" t="s">
        <v>746</v>
      </c>
      <c r="B255">
        <v>33422.0</v>
      </c>
      <c r="C255" s="4">
        <v>8377.0</v>
      </c>
      <c r="D255">
        <v>33127.0</v>
      </c>
      <c r="E255" t="s">
        <v>1799</v>
      </c>
      <c r="F255" t="str">
        <f t="shared" si="1"/>
        <v>8 377  </v>
      </c>
      <c r="G255" t="s">
        <v>1800</v>
      </c>
      <c r="H255" t="str">
        <f t="shared" si="2"/>
        <v>8377</v>
      </c>
    </row>
    <row r="256">
      <c r="A256" t="s">
        <v>399</v>
      </c>
      <c r="B256">
        <v>33312.0</v>
      </c>
      <c r="C256" s="4">
        <v>8709.0</v>
      </c>
      <c r="D256">
        <v>33290.0</v>
      </c>
      <c r="E256" t="s">
        <v>1801</v>
      </c>
      <c r="F256" t="str">
        <f t="shared" si="1"/>
        <v>8 709  </v>
      </c>
      <c r="G256" t="s">
        <v>1802</v>
      </c>
      <c r="H256" t="str">
        <f t="shared" si="2"/>
        <v>8709</v>
      </c>
    </row>
    <row r="257">
      <c r="A257" t="s">
        <v>862</v>
      </c>
      <c r="B257">
        <v>33433.0</v>
      </c>
      <c r="C257" s="4">
        <v>9509.0</v>
      </c>
      <c r="D257">
        <v>33450.0</v>
      </c>
      <c r="E257" t="s">
        <v>1803</v>
      </c>
      <c r="F257" t="str">
        <f t="shared" si="1"/>
        <v>9 509  </v>
      </c>
      <c r="G257" t="s">
        <v>1804</v>
      </c>
      <c r="H257" t="str">
        <f t="shared" si="2"/>
        <v>9509</v>
      </c>
    </row>
    <row r="258">
      <c r="A258" t="s">
        <v>27</v>
      </c>
      <c r="B258">
        <v>33284.0</v>
      </c>
      <c r="C258" s="4">
        <v>9959.0</v>
      </c>
      <c r="D258">
        <v>33380.0</v>
      </c>
      <c r="E258" t="s">
        <v>1805</v>
      </c>
      <c r="F258" t="str">
        <f t="shared" si="1"/>
        <v>9 959  </v>
      </c>
      <c r="G258" t="s">
        <v>1806</v>
      </c>
      <c r="H258" t="str">
        <f t="shared" si="2"/>
        <v>9959</v>
      </c>
    </row>
    <row r="259">
      <c r="A259" t="s">
        <v>826</v>
      </c>
      <c r="B259">
        <v>33366.0</v>
      </c>
      <c r="C259" s="4">
        <v>11464.0</v>
      </c>
      <c r="D259">
        <v>33240.0</v>
      </c>
      <c r="E259" t="s">
        <v>1807</v>
      </c>
      <c r="F259" t="str">
        <f t="shared" si="1"/>
        <v>11 464  </v>
      </c>
      <c r="G259" t="s">
        <v>1808</v>
      </c>
      <c r="H259" t="str">
        <f t="shared" si="2"/>
        <v>11464</v>
      </c>
    </row>
    <row r="260">
      <c r="A260" t="s">
        <v>607</v>
      </c>
      <c r="B260">
        <v>33449.0</v>
      </c>
      <c r="C260" s="4">
        <v>31145.0</v>
      </c>
      <c r="D260">
        <v>33160.0</v>
      </c>
      <c r="E260" t="s">
        <v>1809</v>
      </c>
      <c r="F260" t="str">
        <f t="shared" si="1"/>
        <v>31 145  </v>
      </c>
      <c r="G260" t="s">
        <v>1810</v>
      </c>
      <c r="H260" t="str">
        <f t="shared" si="2"/>
        <v>31145</v>
      </c>
    </row>
    <row r="261">
      <c r="A261" t="s">
        <v>414</v>
      </c>
      <c r="B261">
        <v>33550.0</v>
      </c>
      <c r="C261" s="4">
        <v>34090.0</v>
      </c>
      <c r="D261">
        <v>33140.0</v>
      </c>
      <c r="E261" t="s">
        <v>1811</v>
      </c>
      <c r="F261" t="str">
        <f t="shared" si="1"/>
        <v>34 090  </v>
      </c>
      <c r="G261" t="s">
        <v>1812</v>
      </c>
      <c r="H261" t="str">
        <f t="shared" si="2"/>
        <v>34090</v>
      </c>
    </row>
    <row r="262">
      <c r="A262" t="s">
        <v>954</v>
      </c>
      <c r="B262">
        <v>33522.0</v>
      </c>
      <c r="C262" s="4">
        <v>42606.0</v>
      </c>
      <c r="D262">
        <v>33400.0</v>
      </c>
      <c r="E262" t="s">
        <v>1813</v>
      </c>
      <c r="F262" t="str">
        <f t="shared" si="1"/>
        <v>42 606  </v>
      </c>
      <c r="G262" t="s">
        <v>1814</v>
      </c>
      <c r="H262" t="str">
        <f t="shared" si="2"/>
        <v>42606</v>
      </c>
    </row>
    <row r="263">
      <c r="A263" t="s">
        <v>39</v>
      </c>
      <c r="B263">
        <v>33318.0</v>
      </c>
      <c r="C263" s="4">
        <v>63808.0</v>
      </c>
      <c r="D263">
        <v>33600.0</v>
      </c>
      <c r="E263" t="s">
        <v>1815</v>
      </c>
      <c r="F263" t="str">
        <f t="shared" si="1"/>
        <v>63 808  </v>
      </c>
      <c r="G263" t="s">
        <v>1816</v>
      </c>
      <c r="H263" t="str">
        <f t="shared" si="2"/>
        <v>63808</v>
      </c>
    </row>
    <row r="264">
      <c r="A264" t="s">
        <v>216</v>
      </c>
      <c r="B264">
        <v>33281.0</v>
      </c>
      <c r="C264" s="4">
        <v>70105.0</v>
      </c>
      <c r="D264">
        <v>33700.0</v>
      </c>
      <c r="E264" t="s">
        <v>1817</v>
      </c>
      <c r="F264" t="str">
        <f t="shared" si="1"/>
        <v>70 105  </v>
      </c>
      <c r="G264" t="s">
        <v>1818</v>
      </c>
      <c r="H264" t="str">
        <f t="shared" si="2"/>
        <v>70105</v>
      </c>
    </row>
    <row r="265">
      <c r="A265" t="s">
        <v>1819</v>
      </c>
      <c r="B265">
        <v>33.0</v>
      </c>
      <c r="C265" s="4">
        <v>1583384.0</v>
      </c>
      <c r="E265" t="s">
        <v>1820</v>
      </c>
      <c r="F265" t="str">
        <f t="shared" si="1"/>
        <v>1 583 384  </v>
      </c>
      <c r="G265" t="s">
        <v>1821</v>
      </c>
      <c r="H265" t="str">
        <f t="shared" si="2"/>
        <v>1583384</v>
      </c>
    </row>
    <row r="266">
      <c r="A266" t="s">
        <v>1822</v>
      </c>
      <c r="B266" t="s">
        <v>1823</v>
      </c>
      <c r="C266" s="4"/>
      <c r="D266" t="s">
        <v>1824</v>
      </c>
      <c r="E266" t="s">
        <v>1825</v>
      </c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</sheetData>
  <drawing r:id="rId1"/>
</worksheet>
</file>
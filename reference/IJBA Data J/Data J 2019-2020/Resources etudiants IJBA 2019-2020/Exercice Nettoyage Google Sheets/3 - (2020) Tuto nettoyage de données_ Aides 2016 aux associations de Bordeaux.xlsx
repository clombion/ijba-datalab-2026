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fichier brut extrait de Tabul" sheetId="1" r:id="rId4"/>
    <sheet state="visible" name="1-nettoyage des noms" sheetId="2" r:id="rId5"/>
    <sheet state="visible" name="2-nettoyage des montants" sheetId="3" r:id="rId6"/>
    <sheet state="visible" name="3-version finale nettoyée" sheetId="4" r:id="rId7"/>
    <sheet state="visible" name="Tableau croisé dynamique 2" sheetId="5" r:id="rId8"/>
  </sheets>
  <definedNames/>
  <calcPr/>
  <pivotCaches>
    <pivotCache cacheId="0" r:id="rId9"/>
  </pivotCaches>
</workbook>
</file>

<file path=xl/sharedStrings.xml><?xml version="1.0" encoding="utf-8"?>
<sst xmlns="http://schemas.openxmlformats.org/spreadsheetml/2006/main" count="261" uniqueCount="72">
  <si>
    <t>source des données: http://www.bordeaux.fr/images/ebx/fr/groupePiecesJointes/5876/16/pieceJointeSpec/150826/file/2016_aides_nature.pdf
EXPLICATIONS
Tabula n'a pas pu extraire le format du tableau correctement, mais au moins je sais que le contenu est fidèle au PDF original (pas d'erreur dans l'extraction des chiffres et les noms d'associations).
Il faut donc toiletter les données. Il semble qu'il y ait un problème à la fois dans la colonne des noms d'association et celle des montants; je vais donc les traiter séparément
Astuce: l'option "Habiller" dans "Format--&gt;Habillage du texte--&gt;Habiller" évite que le texte d'une cellule déborde sur une autre, ce qui est généralement ce que l'on veut dans des fichiers de données.</t>
  </si>
  <si>
    <t>VALORISATION DES AIDES EN NATURE ACCORDEES AUX ASSOCIATIONS EN 2016</t>
  </si>
  <si>
    <t>NOM DES BENEFICIAIRES</t>
  </si>
  <si>
    <t>PRESTATIONS EN
NATURE CHIFFREES</t>
  </si>
  <si>
    <t>"BAMBINO BERTHELOT" ASSOCIATION DE PARENTS D'ELEVES DE L'ECOLE MATERNELLE BERTHELOT A BORDEAUX</t>
  </si>
  <si>
    <t>56,00
4 359,52
34,00
675,00
400,00
20 632,00
2 791,00
631,00
14 561,67
15 042,00
3 888,00
228 670,97
124,00
31 971,23
74,00
1 517,00
4 146,00
27,00
12 532,00
663,00
214,00
24,00
339,00
200,00
185,10
56,00
796,05
3 848,86
1 478,00
5 391,00
13 988,00
4 305,18
564,00
12 605,00
332,00
299,00
118,67
106,00
340,00
102,00
178,00
170,00
356,00
34,00
621,00
4 482,14
265,00
7 722,00
1 432,26
17 008,05
72,00
5 715,00
178,00
265,00
5 105,00
587,00
239,40
670,00
5 920,00
5 951,68
442,00
7 446,13</t>
  </si>
  <si>
    <t>1001 JEUNES BORDELAIS</t>
  </si>
  <si>
    <t>2AA</t>
  </si>
  <si>
    <t>2SI2LA</t>
  </si>
  <si>
    <t>4 CATS</t>
  </si>
  <si>
    <t>9-33</t>
  </si>
  <si>
    <t>A TRAVERS CHANT</t>
  </si>
  <si>
    <t>A2RUNNING</t>
  </si>
  <si>
    <t>ABALONE CHASSE BORDEAUX</t>
  </si>
  <si>
    <t>ABEILLES BORDELAISES</t>
  </si>
  <si>
    <t>ACADEMIE BUSHIKAI KARATE DO</t>
  </si>
  <si>
    <t>ACADEMIE DES SCIENCES, BELLES LETTRES ET ARTS DE BORDEAUX</t>
  </si>
  <si>
    <t>ACADEMIE PROSPECTIVE NOUVELLES TECHNOLOGIES</t>
  </si>
  <si>
    <t>ACADEMIE YOUNUS</t>
  </si>
  <si>
    <t>ACCOMPAGNEMENT ET RECHERCHE PSYCHO-SOCIO EDUCATIFS POUR LES JEUNES (ARPEJE)</t>
  </si>
  <si>
    <t>ACCOMPAGNER CONDUIRE TRANSMETTRE - ACT</t>
  </si>
  <si>
    <t>ACCORDERIE BORDEAUX SUD</t>
  </si>
  <si>
    <t>ACHATS GROUPES ASSOCIATIF POUR L'ECONOMIE SOLIDAIRE DE BORDEAUX - AGAPES</t>
  </si>
  <si>
    <t>ACIDD, ASSOCIATION COMMUNICATION ET INFORMATION POUR LE DEVELOPPEMENT DURABLE</t>
  </si>
  <si>
    <t>ACTA GIRONDE - AGIR CONTRE LA TORTURE DES ANIMAUX</t>
  </si>
  <si>
    <t>ACTION CONTRE LA FAIM</t>
  </si>
  <si>
    <t>ACTION INTERNATIONALE POUR LA PAIX ET LE DEVELOPPEMENT</t>
  </si>
  <si>
    <t>AD LUCEM THEATRE</t>
  </si>
  <si>
    <t>ADORA - ASSOCIATION POUR LE DEVELOPPEMENT ET L'ACCOMPAGNEMENT, EN AQUITAINE, DE L'ORIENTATION PERSONNELLE ET
PROFESSIONNELLE, TOUT AU LONG DE LA VIE</t>
  </si>
  <si>
    <t>AEP SAINT PROJET</t>
  </si>
  <si>
    <t>AGENCE LOCALE DE L'ENERGIE ET DU CLIMAT (ALEC)</t>
  </si>
  <si>
    <t>AGENCE REGIONALE DE SANTE NOUVELLE AQUITAINE</t>
  </si>
  <si>
    <t>AGORA DES ARTS</t>
  </si>
  <si>
    <t>AIGUILLES ET CALAME</t>
  </si>
  <si>
    <t>AIKIDO BORDEAUX BASTIDE</t>
  </si>
  <si>
    <t>AIR ROLLER (ATTENTION INERTIE RENOUVELABLE)</t>
  </si>
  <si>
    <t>ALAM AMIS DU LIVRE ANCIEN ET MODERNE</t>
  </si>
  <si>
    <t>ALGERIENS DE L'AQUITAINE</t>
  </si>
  <si>
    <t>ALLIANCE DEPARTEMENT 33, JUSQU'AU BOUT ACCOMPAGNER LA VIE...</t>
  </si>
  <si>
    <t>ALLIANCE FRANCAISE DE BORDEAUX AQUITAINE</t>
  </si>
  <si>
    <t>ALPTIS</t>
  </si>
  <si>
    <t>ALTER INSERTION</t>
  </si>
  <si>
    <t>AMEPI</t>
  </si>
  <si>
    <t>AMICALE BORDELAISE TRACTION AVANT CITROEN</t>
  </si>
  <si>
    <t>AMICALE COMORIENNE DE BORDEAUX</t>
  </si>
  <si>
    <t>AMICALE DE LA RESIDENCE DU LAC</t>
  </si>
  <si>
    <t>AMICALE DES ANCIENS DE MARIE-BRIZARD - AAMB</t>
  </si>
  <si>
    <t>AMICALE DES ANCIENS DES NOUVELLES GALERIES DE BORDEAUX</t>
  </si>
  <si>
    <t>AMICALE DES ANCIENS GUERILLEROS ESPAGNOLS EN FRANCE-FFI - SECTION DE LA GIRONDE</t>
  </si>
  <si>
    <t>AMICALE DES AVEYRONNAIS DE BORDEAUX ET GIRONDE</t>
  </si>
  <si>
    <t>AMICALE DES ETABLISSEMENTS SCOLAIRES LAIQUES DE BACALAN - ALB</t>
  </si>
  <si>
    <t>AMICALE DES PHILIPPEVILLOIS, CONSTANTINOIS ET LEURS AMIS - APCA</t>
  </si>
  <si>
    <t>AMICALE DES RETRAITES U.G.R.R. - I.S.I.C.A. DE BORDEAUX</t>
  </si>
  <si>
    <t>AMICALE DU PATRONAGE LAIQUE ET DU CONSEIL DE PARENTS D'ELEVES DU GROUPE SCOLAIRE NUYENS</t>
  </si>
  <si>
    <t>AMICALE LAIQUE BORDEAUX CENTRE</t>
  </si>
  <si>
    <t>AMICALE LAIQUE DAVID JOHNSTON LAGRANGE ALBERT BARRAUD NAUJAC</t>
  </si>
  <si>
    <t>AMICALE LAIQUE DU GROUPE SCOLAIRE LEONARD-LENOIR - MONTAUD - NUITS</t>
  </si>
  <si>
    <t>AMICALE LAIQUE LEONARD LENOIR</t>
  </si>
  <si>
    <t>AMICALE NATIONALE DES RETRAITES DE L'AUDIOVISUEL</t>
  </si>
  <si>
    <t>AMIS D'ARS ET FIDES BORDEAUX</t>
  </si>
  <si>
    <t>AMIS D'ICI ET D'AILLEURS</t>
  </si>
  <si>
    <t>AMIS DU CAPC MUSEE</t>
  </si>
  <si>
    <t>AMITIES FRANCAISES</t>
  </si>
  <si>
    <t>AMITIES GENEALOGIQUES BORDELAISES</t>
  </si>
  <si>
    <t>AMNESTY INTERNATIONAL GROUPE 234 DE BORDEAUX CENTRE</t>
  </si>
  <si>
    <t>AMOR DEL TANGO</t>
  </si>
  <si>
    <t>ANCIENS BASTIDIENS-CLUB</t>
  </si>
  <si>
    <t>EXPLICATIONS
Les noms d'associations ont été extraits avec une ligne vide entre chaque nom de la colonne. Pour enlever les lignes, il suffit de trier la colonne de A à Z. L'ordre des noms ne changera pas, car ils étaient déjà en ordre alphabétique dans le document initial. Cela servira juste à positionner les lignes blanches tout en bas de la liste de noms. 
Donc après avoir copié les noms depuis le premier onglet, je fais Données --&gt; trier la feuille de A à Z.</t>
  </si>
  <si>
    <t>EXPLICATIONS
Les montants sont plus problématiques à manipuler: ils ont tous été extraits dans la même cellule ! Le réflexe, lorsque des données au sein d'une même cellule doivent être séparées, est d'utiliser la fonction SPLIT() (https://support.google.com/docs/answer/3094136?hl=fr).
Pour utiliser SPLIT() il faut trouver une signe qui sépare les éléments à séparer les uns des autres. Souvent ce signe est:
* une virgule: Sébastien, Françoise, Marie, Julien, Rayya...
* un espace: 12,6 345,17 45 43,3
* ou tout autre signe comme "+", "|", "-"...
Le problème est que la notation française des chiffres peut parfois utiliser des espaces pour séparer les milliers (58 000,40), ce qui rend l'utilisation de SPLIT() difficile si les montants sont eux-mêmes séparés par des espaces (58 000,40 42 100,10 30 000). Heureusement, ce n'est pas le cas ici car les montants sont séparés par un retour à la ligne ! Google spreadsheets permet d'écrire "retour à la ligne" dans une formule, en utilisant son code unicode (voir ici: https://support.google.com/docs/answer/3094120?hl=fr) au sein de "char()". pour le retour espace, le code unicode est 10 (newline), donc j'utilise char(10) pour représenter le retour à la ligne.
TRANSPOSE() me permet d'arranger les montants sur une colonne, car ils sont initialement disposés en ligne, un fois que j'ai utilisé SPLIT ().
Dans un second temps (colonne C), je m'assurer de retirer les espaces au sein des mots afin que la feuille de calcul reconnaisse que tous les montants sont bien des chiffres (sinon il y a un risque qu'ils soient traités comme du texte). J'utilise pour cela la fonction SUBSTITUTE(). Ma formule indique donc de remplacer les espaces (" ") par rien (""). Une fonction spécialisée dans la suppression des espaces existe (TRIM()) mais elle ne fonctionne que pour les espaces avant et après le contenu de la cellule.</t>
  </si>
  <si>
    <t xml:space="preserve">EXPLICATIONS
Pour finir le travail de toilettage, il ne reste plus que quelques étapes simples:
1- copier et coller les en-têtes originales (depuis l'onglet 0) dans les colonnes A et B
2- copier et coller les noms d'associations (depuis l'onglet 1) dans la colonne A
3- copier et coller les montants (depuis la colonne C de l'onglet 2) dans la colonne B. Etant donné que les montants de l'onglet 2 sont générés via une formule, Google Sheets va essayer de copier la formule si je vais un copier/coller simple. Il me faut donc uniquement copier les valeurs en allant dans "Modifier--&gt;Effectuer un collage spécial--&gt;coller uniquement les valeurs".
4. Par convention, les nombre sont affichés à droite dans les feuilles de calcul. Si ce n'est pas le cas, c'est que Google Sheets les reconnaît comme du texte (ce qui est le cas dans l'onglet 2). Il faut donc surligner les montants et utiliser "Format--&gt;Numéro--&gt;Nombre" pour qu'ils soient traités comme tels.
Mes données sont maintenant prêtes à être vérifiées plus en détail (avec un graphique en barre simple par exemple, pour voir si certains montants sortent du lot), et éventuellement éditées (afin de ne garder que ce qui m'intéresse) et/ou rapprochées avec d'autres données (en ajoutant par exemple la catégorie des associations pour s'intéresser aux secteurs du monde associatif que Bordeaux finance le plus).
</t>
  </si>
  <si>
    <t>SUM de PRESTATIONS EN
NATURE CHIFFREES</t>
  </si>
  <si>
    <t>Total général</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</si>
</sst>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font>
    <font>
      <name val="Helvetica Neue"/>
    </font>
    <font/>
    <font>
      <name val="Arial"/>
    </font>
  </fonts>
  <fills count="3">
    <fill>
      <patternFill patternType="none"/>
    </fill>
    <fill>
      <patternFill patternType="lightGray"/>
    </fill>
    <fill>
      <patternFill patternType="solid">
        <fgColor rgb="FFF3F3F3"/>
        <bgColor rgb="FFF3F3F3"/>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1"/>
    </xf>
    <xf borderId="0" fillId="0" fontId="2" numFmtId="0" xfId="0" applyAlignment="1" applyFont="1">
      <alignment shrinkToFit="0" wrapText="1"/>
    </xf>
    <xf borderId="0" fillId="0" fontId="2" numFmtId="0" xfId="0" applyAlignment="1" applyFont="1">
      <alignment readingOrder="0" shrinkToFit="0" wrapText="1"/>
    </xf>
    <xf borderId="0" fillId="2" fontId="3" numFmtId="0" xfId="0" applyAlignment="1" applyFont="1">
      <alignment readingOrder="0" shrinkToFit="0" vertical="center" wrapText="1"/>
    </xf>
    <xf borderId="0" fillId="0" fontId="3" numFmtId="0" xfId="0" applyAlignment="1" applyFont="1">
      <alignment shrinkToFit="0" vertical="bottom" wrapText="1"/>
    </xf>
    <xf borderId="0" fillId="0" fontId="2" numFmtId="4" xfId="0" applyAlignment="1" applyFont="1" applyNumberFormat="1">
      <alignment shrinkToFit="0" wrapText="1"/>
    </xf>
    <xf borderId="0" fillId="0" fontId="2" numFmtId="10" xfId="0" applyFont="1" applyNumberFormat="1"/>
  </cellXfs>
  <cellStyles count="1">
    <cellStyle xfId="0" name="Normal" builtinId="0"/>
  </cellStyles>
  <dxfs count="6">
    <dxf>
      <font/>
      <fill>
        <patternFill patternType="none"/>
      </fill>
      <border/>
    </dxf>
    <dxf>
      <font>
        <color rgb="FF000000"/>
      </font>
      <fill>
        <patternFill patternType="solid">
          <fgColor rgb="FFFFFFFF"/>
          <bgColor rgb="FFFFFFFF"/>
        </patternFill>
      </fill>
      <border/>
    </dxf>
    <dxf>
      <font>
        <color rgb="FF000000"/>
      </font>
      <fill>
        <patternFill patternType="solid">
          <fgColor rgb="FFF3F3F3"/>
          <bgColor rgb="FFF3F3F3"/>
        </patternFill>
      </fill>
      <border>
        <right style="thin">
          <color rgb="FFFFFFFF"/>
        </right>
      </border>
    </dxf>
    <dxf>
      <font>
        <color rgb="FFFFFFFF"/>
      </font>
      <fill>
        <patternFill patternType="solid">
          <fgColor rgb="FF666666"/>
          <bgColor rgb="FF666666"/>
        </patternFill>
      </fill>
      <border>
        <bottom style="thin">
          <color rgb="FFFFFFFF"/>
        </bottom>
      </border>
    </dxf>
    <dxf>
      <font>
        <color rgb="FF000000"/>
      </font>
      <fill>
        <patternFill patternType="solid">
          <fgColor rgb="FFD9D9D9"/>
          <bgColor rgb="FFD9D9D9"/>
        </patternFill>
      </fill>
      <border>
        <top style="thin">
          <color rgb="FFFFFFFF"/>
        </top>
      </border>
    </dxf>
    <dxf>
      <font>
        <b/>
        <color rgb="FF000000"/>
      </font>
      <fill>
        <patternFill patternType="solid">
          <fgColor rgb="FFD9D9D9"/>
          <bgColor rgb="FFD9D9D9"/>
        </patternFill>
      </fill>
      <border>
        <top style="double">
          <color rgb="FF000000"/>
        </top>
      </border>
    </dxf>
  </dxfs>
  <tableStyles count="1">
    <tableStyle count="12" table="0" name="Google Sheets Pivot Table Style">
      <tableStyleElement dxfId="1" type="wholeTable"/>
      <tableStyleElement dxfId="2" type="firstRowSubheading"/>
      <tableStyleElement dxfId="2" type="secondRowSubheading"/>
      <tableStyleElement dxfId="2" type="thirdRowSubheading"/>
      <tableStyleElement dxfId="3" type="firstColumnSubheading"/>
      <tableStyleElement dxfId="3" type="secondColumnSubheading"/>
      <tableStyleElement dxfId="3" type="thirdColumnSubheading"/>
      <tableStyleElement dxfId="3" type="headerRow"/>
      <tableStyleElement dxfId="4" type="firstSubtotalRow"/>
      <tableStyleElement dxfId="4" type="secondSubtotalRow"/>
      <tableStyleElement dxfId="4" type="thirdSubtotalRow"/>
      <tableStyleElement dxfId="5" type="totalRow"/>
    </tableStyle>
  </tableStyle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pivotCacheDefinition" Target="pivotCache/pivotCacheDefinition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B64" sheet="3-version finale nettoyée"/>
  </cacheSource>
  <cacheFields>
    <cacheField name="NOM DES BENEFICIAIRES" numFmtId="0">
      <sharedItems>
        <s v="&quot;BAMBINO BERTHELOT&quot; ASSOCIATION DE PARENTS D'ELEVES DE L'ECOLE MATERNELLE BERTHELOT A BORDEAUX"/>
        <s v="1001 JEUNES BORDELAIS"/>
        <s v="2AA"/>
        <s v="2SI2LA"/>
        <s v="4 CATS"/>
        <s v="9-33"/>
        <s v="A TRAVERS CHANT"/>
        <s v="A2RUNNING"/>
        <s v="ABALONE CHASSE BORDEAUX"/>
        <s v="ABEILLES BORDELAISES"/>
        <s v="ACADEMIE BUSHIKAI KARATE DO"/>
        <s v="ACADEMIE DES SCIENCES, BELLES LETTRES ET ARTS DE BORDEAUX"/>
        <s v="ACADEMIE PROSPECTIVE NOUVELLES TECHNOLOGIES"/>
        <s v="ACADEMIE YOUNUS"/>
        <s v="ACCOMPAGNEMENT ET RECHERCHE PSYCHO-SOCIO EDUCATIFS POUR LES JEUNES (ARPEJE)"/>
        <s v="ACCOMPAGNER CONDUIRE TRANSMETTRE - ACT"/>
        <s v="ACCORDERIE BORDEAUX SUD"/>
        <s v="ACHATS GROUPES ASSOCIATIF POUR L'ECONOMIE SOLIDAIRE DE BORDEAUX - AGAPES"/>
        <s v="ACIDD, ASSOCIATION COMMUNICATION ET INFORMATION POUR LE DEVELOPPEMENT DURABLE"/>
        <s v="ACTA GIRONDE - AGIR CONTRE LA TORTURE DES ANIMAUX"/>
        <s v="ACTION CONTRE LA FAIM"/>
        <s v="ACTION INTERNATIONALE POUR LA PAIX ET LE DEVELOPPEMENT"/>
        <s v="AD LUCEM THEATRE"/>
        <s v="ADORA - ASSOCIATION POUR LE DEVELOPPEMENT ET L'ACCOMPAGNEMENT, EN AQUITAINE, DE L'ORIENTATION PERSONNELLE ET&#10;PROFESSIONNELLE, TOUT AU LONG DE LA VIE"/>
        <s v="AEP SAINT PROJET"/>
        <s v="AGENCE LOCALE DE L'ENERGIE ET DU CLIMAT (ALEC)"/>
        <s v="AGENCE REGIONALE DE SANTE NOUVELLE AQUITAINE"/>
        <s v="AGORA DES ARTS"/>
        <s v="AIGUILLES ET CALAME"/>
        <s v="AIKIDO BORDEAUX BASTIDE"/>
        <s v="AIR ROLLER (ATTENTION INERTIE RENOUVELABLE)"/>
        <s v="ALAM AMIS DU LIVRE ANCIEN ET MODERNE"/>
        <s v="ALGERIENS DE L'AQUITAINE"/>
        <s v="ALLIANCE DEPARTEMENT 33, JUSQU'AU BOUT ACCOMPAGNER LA VIE..."/>
        <s v="ALLIANCE FRANCAISE DE BORDEAUX AQUITAINE"/>
        <s v="ALPTIS"/>
        <s v="ALTER INSERTION"/>
        <s v="AMEPI"/>
        <s v="AMICALE BORDELAISE TRACTION AVANT CITROEN"/>
        <s v="AMICALE COMORIENNE DE BORDEAUX"/>
        <s v="AMICALE DE LA RESIDENCE DU LAC"/>
        <s v="AMICALE DES ANCIENS DE MARIE-BRIZARD - AAMB"/>
        <s v="AMICALE DES ANCIENS DES NOUVELLES GALERIES DE BORDEAUX"/>
        <s v="AMICALE DES ANCIENS GUERILLEROS ESPAGNOLS EN FRANCE-FFI - SECTION DE LA GIRONDE"/>
        <s v="AMICALE DES AVEYRONNAIS DE BORDEAUX ET GIRONDE"/>
        <s v="AMICALE DES ETABLISSEMENTS SCOLAIRES LAIQUES DE BACALAN - ALB"/>
        <s v="AMICALE DES PHILIPPEVILLOIS, CONSTANTINOIS ET LEURS AMIS - APCA"/>
        <s v="AMICALE DES RETRAITES U.G.R.R. - I.S.I.C.A. DE BORDEAUX"/>
        <s v="AMICALE DU PATRONAGE LAIQUE ET DU CONSEIL DE PARENTS D'ELEVES DU GROUPE SCOLAIRE NUYENS"/>
        <s v="AMICALE LAIQUE BORDEAUX CENTRE"/>
        <s v="AMICALE LAIQUE DAVID JOHNSTON LAGRANGE ALBERT BARRAUD NAUJAC"/>
        <s v="AMICALE LAIQUE DU GROUPE SCOLAIRE LEONARD-LENOIR - MONTAUD - NUITS"/>
        <s v="AMICALE LAIQUE LEONARD LENOIR"/>
        <s v="AMICALE NATIONALE DES RETRAITES DE L'AUDIOVISUEL"/>
        <s v="AMIS D'ARS ET FIDES BORDEAUX"/>
        <s v="AMIS D'ICI ET D'AILLEURS"/>
        <s v="AMIS DU CAPC MUSEE"/>
        <s v="AMITIES FRANCAISES"/>
        <s v="AMITIES GENEALOGIQUES BORDELAISES"/>
        <s v="AMNESTY INTERNATIONAL GROUPE 234 DE BORDEAUX CENTRE"/>
        <s v="AMOR DEL TANGO"/>
        <s v="ANCIENS BASTIDIENS-CLUB"/>
      </sharedItems>
    </cacheField>
    <cacheField name="PRESTATIONS EN&#10;NATURE CHIFFREES" numFmtId="4">
      <sharedItems containsSemiMixedTypes="0" containsString="0" containsNumber="1">
        <n v="56.0"/>
        <n v="4359.52"/>
        <n v="34.0"/>
        <n v="675.0"/>
        <n v="400.0"/>
        <n v="20632.0"/>
        <n v="2791.0"/>
        <n v="631.0"/>
        <n v="14561.67"/>
        <n v="15042.0"/>
        <n v="3888.0"/>
        <n v="228670.97"/>
        <n v="124.0"/>
        <n v="31971.23"/>
        <n v="74.0"/>
        <n v="1517.0"/>
        <n v="4146.0"/>
        <n v="27.0"/>
        <n v="12532.0"/>
        <n v="663.0"/>
        <n v="214.0"/>
        <n v="24.0"/>
        <n v="339.0"/>
        <n v="200.0"/>
        <n v="185.1"/>
        <n v="796.05"/>
        <n v="3848.86"/>
        <n v="1478.0"/>
        <n v="5391.0"/>
        <n v="13988.0"/>
        <n v="4305.18"/>
        <n v="564.0"/>
        <n v="12605.0"/>
        <n v="332.0"/>
        <n v="299.0"/>
        <n v="118.67"/>
        <n v="106.0"/>
        <n v="340.0"/>
        <n v="102.0"/>
        <n v="178.0"/>
        <n v="170.0"/>
        <n v="356.0"/>
        <n v="621.0"/>
        <n v="4482.14"/>
        <n v="265.0"/>
        <n v="7722.0"/>
        <n v="1432.26"/>
        <n v="17008.05"/>
        <n v="72.0"/>
        <n v="5715.0"/>
        <n v="5105.0"/>
        <n v="587.0"/>
        <n v="239.4"/>
        <n v="670.0"/>
        <n v="5920.0"/>
        <n v="5951.68"/>
        <n v="442.0"/>
        <n v="7446.13"/>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eau croisé dynamique 2" cacheId="0" dataCaption="" compact="0" compactData="0">
  <location ref="A1:B64" firstHeaderRow="0" firstDataRow="1" firstDataCol="0"/>
  <pivotFields>
    <pivotField name="NOM DES BENEFICIAIRES"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autoSortScope>
        <pivotArea>
          <references>
            <reference field="4294967294">
              <x v="0"/>
            </reference>
          </references>
        </pivotArea>
      </autoSortScope>
    </pivotField>
    <pivotField name="PRESTATIONS EN&#10;NATURE CHIFFREES"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s>
  <rowFields>
    <field x="0"/>
  </rowFields>
  <dataFields>
    <dataField name="SUM of PRESTATIONS EN&#10;NATURE CHIFFREES" fld="1" showDataAs="percentOfTotal" baseField="0" numFmtId="10"/>
  </dataFields>
  <pivotTableStyleInfo name="Google Sheets Pivot Table Style" showRowHeaders="1" showColHeaders="1" showLastColumn="1"/>
</pivotTableDefinit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25"/>
    <col customWidth="1" min="2" max="2" width="28.25"/>
  </cols>
  <sheetData>
    <row r="1" ht="117.0" customHeight="1">
      <c r="A1" s="1" t="s">
        <v>0</v>
      </c>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row>
    <row r="2">
      <c r="A2" s="3"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row>
    <row r="3">
      <c r="A3" s="3" t="s">
        <v>2</v>
      </c>
      <c r="B3" s="3" t="s">
        <v>3</v>
      </c>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row>
    <row r="4">
      <c r="A4" s="3" t="s">
        <v>4</v>
      </c>
      <c r="B4" s="3" t="s">
        <v>5</v>
      </c>
      <c r="C4" s="2">
        <f>IFERROR(__xludf.DUMMYFUNCTION("split(B4,char(10))"),56.0)</f>
        <v>56</v>
      </c>
      <c r="D4" s="2">
        <f>IFERROR(__xludf.DUMMYFUNCTION("""COMPUTED_VALUE"""),4359.52)</f>
        <v>4359.52</v>
      </c>
      <c r="E4" s="2">
        <f>IFERROR(__xludf.DUMMYFUNCTION("""COMPUTED_VALUE"""),34.0)</f>
        <v>34</v>
      </c>
      <c r="F4" s="2">
        <f>IFERROR(__xludf.DUMMYFUNCTION("""COMPUTED_VALUE"""),675.0)</f>
        <v>675</v>
      </c>
      <c r="G4" s="2">
        <f>IFERROR(__xludf.DUMMYFUNCTION("""COMPUTED_VALUE"""),400.0)</f>
        <v>400</v>
      </c>
      <c r="H4" s="2">
        <f>IFERROR(__xludf.DUMMYFUNCTION("""COMPUTED_VALUE"""),20632.0)</f>
        <v>20632</v>
      </c>
      <c r="I4" s="2">
        <f>IFERROR(__xludf.DUMMYFUNCTION("""COMPUTED_VALUE"""),2791.0)</f>
        <v>2791</v>
      </c>
      <c r="J4" s="2">
        <f>IFERROR(__xludf.DUMMYFUNCTION("""COMPUTED_VALUE"""),631.0)</f>
        <v>631</v>
      </c>
      <c r="K4" s="2">
        <f>IFERROR(__xludf.DUMMYFUNCTION("""COMPUTED_VALUE"""),14561.67)</f>
        <v>14561.67</v>
      </c>
      <c r="L4" s="2">
        <f>IFERROR(__xludf.DUMMYFUNCTION("""COMPUTED_VALUE"""),15042.0)</f>
        <v>15042</v>
      </c>
      <c r="M4" s="2">
        <f>IFERROR(__xludf.DUMMYFUNCTION("""COMPUTED_VALUE"""),3888.0)</f>
        <v>3888</v>
      </c>
      <c r="N4" s="2">
        <f>IFERROR(__xludf.DUMMYFUNCTION("""COMPUTED_VALUE"""),228670.97)</f>
        <v>228670.97</v>
      </c>
      <c r="O4" s="2">
        <f>IFERROR(__xludf.DUMMYFUNCTION("""COMPUTED_VALUE"""),124.0)</f>
        <v>124</v>
      </c>
      <c r="P4" s="2">
        <f>IFERROR(__xludf.DUMMYFUNCTION("""COMPUTED_VALUE"""),31971.23)</f>
        <v>31971.23</v>
      </c>
      <c r="Q4" s="2">
        <f>IFERROR(__xludf.DUMMYFUNCTION("""COMPUTED_VALUE"""),74.0)</f>
        <v>74</v>
      </c>
      <c r="R4" s="2">
        <f>IFERROR(__xludf.DUMMYFUNCTION("""COMPUTED_VALUE"""),1517.0)</f>
        <v>1517</v>
      </c>
      <c r="S4" s="2">
        <f>IFERROR(__xludf.DUMMYFUNCTION("""COMPUTED_VALUE"""),4146.0)</f>
        <v>4146</v>
      </c>
      <c r="T4" s="2">
        <f>IFERROR(__xludf.DUMMYFUNCTION("""COMPUTED_VALUE"""),27.0)</f>
        <v>27</v>
      </c>
      <c r="U4" s="2">
        <f>IFERROR(__xludf.DUMMYFUNCTION("""COMPUTED_VALUE"""),12532.0)</f>
        <v>12532</v>
      </c>
      <c r="V4" s="2">
        <f>IFERROR(__xludf.DUMMYFUNCTION("""COMPUTED_VALUE"""),663.0)</f>
        <v>663</v>
      </c>
      <c r="W4" s="2">
        <f>IFERROR(__xludf.DUMMYFUNCTION("""COMPUTED_VALUE"""),214.0)</f>
        <v>214</v>
      </c>
      <c r="X4" s="2">
        <f>IFERROR(__xludf.DUMMYFUNCTION("""COMPUTED_VALUE"""),24.0)</f>
        <v>24</v>
      </c>
      <c r="Y4" s="2">
        <f>IFERROR(__xludf.DUMMYFUNCTION("""COMPUTED_VALUE"""),339.0)</f>
        <v>339</v>
      </c>
      <c r="Z4" s="2">
        <f>IFERROR(__xludf.DUMMYFUNCTION("""COMPUTED_VALUE"""),200.0)</f>
        <v>200</v>
      </c>
      <c r="AA4" s="2">
        <f>IFERROR(__xludf.DUMMYFUNCTION("""COMPUTED_VALUE"""),185.1)</f>
        <v>185.1</v>
      </c>
      <c r="AB4" s="2">
        <f>IFERROR(__xludf.DUMMYFUNCTION("""COMPUTED_VALUE"""),56.0)</f>
        <v>56</v>
      </c>
      <c r="AC4" s="2">
        <f>IFERROR(__xludf.DUMMYFUNCTION("""COMPUTED_VALUE"""),796.05)</f>
        <v>796.05</v>
      </c>
      <c r="AD4" s="2">
        <f>IFERROR(__xludf.DUMMYFUNCTION("""COMPUTED_VALUE"""),3848.86)</f>
        <v>3848.86</v>
      </c>
      <c r="AE4" s="2">
        <f>IFERROR(__xludf.DUMMYFUNCTION("""COMPUTED_VALUE"""),1478.0)</f>
        <v>1478</v>
      </c>
      <c r="AF4" s="2">
        <f>IFERROR(__xludf.DUMMYFUNCTION("""COMPUTED_VALUE"""),5391.0)</f>
        <v>5391</v>
      </c>
      <c r="AG4" s="2">
        <f>IFERROR(__xludf.DUMMYFUNCTION("""COMPUTED_VALUE"""),13988.0)</f>
        <v>13988</v>
      </c>
      <c r="AH4" s="2">
        <f>IFERROR(__xludf.DUMMYFUNCTION("""COMPUTED_VALUE"""),4305.18)</f>
        <v>4305.18</v>
      </c>
      <c r="AI4" s="2">
        <f>IFERROR(__xludf.DUMMYFUNCTION("""COMPUTED_VALUE"""),564.0)</f>
        <v>564</v>
      </c>
      <c r="AJ4" s="2">
        <f>IFERROR(__xludf.DUMMYFUNCTION("""COMPUTED_VALUE"""),12605.0)</f>
        <v>12605</v>
      </c>
      <c r="AK4" s="2">
        <f>IFERROR(__xludf.DUMMYFUNCTION("""COMPUTED_VALUE"""),332.0)</f>
        <v>332</v>
      </c>
      <c r="AL4" s="2">
        <f>IFERROR(__xludf.DUMMYFUNCTION("""COMPUTED_VALUE"""),299.0)</f>
        <v>299</v>
      </c>
      <c r="AM4" s="2">
        <f>IFERROR(__xludf.DUMMYFUNCTION("""COMPUTED_VALUE"""),118.67)</f>
        <v>118.67</v>
      </c>
      <c r="AN4" s="2">
        <f>IFERROR(__xludf.DUMMYFUNCTION("""COMPUTED_VALUE"""),106.0)</f>
        <v>106</v>
      </c>
      <c r="AO4" s="2">
        <f>IFERROR(__xludf.DUMMYFUNCTION("""COMPUTED_VALUE"""),340.0)</f>
        <v>340</v>
      </c>
      <c r="AP4" s="2">
        <f>IFERROR(__xludf.DUMMYFUNCTION("""COMPUTED_VALUE"""),102.0)</f>
        <v>102</v>
      </c>
      <c r="AQ4" s="2">
        <f>IFERROR(__xludf.DUMMYFUNCTION("""COMPUTED_VALUE"""),178.0)</f>
        <v>178</v>
      </c>
      <c r="AR4" s="2">
        <f>IFERROR(__xludf.DUMMYFUNCTION("""COMPUTED_VALUE"""),170.0)</f>
        <v>170</v>
      </c>
      <c r="AS4" s="2">
        <f>IFERROR(__xludf.DUMMYFUNCTION("""COMPUTED_VALUE"""),356.0)</f>
        <v>356</v>
      </c>
      <c r="AT4" s="2">
        <f>IFERROR(__xludf.DUMMYFUNCTION("""COMPUTED_VALUE"""),34.0)</f>
        <v>34</v>
      </c>
      <c r="AU4" s="2">
        <f>IFERROR(__xludf.DUMMYFUNCTION("""COMPUTED_VALUE"""),621.0)</f>
        <v>621</v>
      </c>
      <c r="AV4" s="2">
        <f>IFERROR(__xludf.DUMMYFUNCTION("""COMPUTED_VALUE"""),4482.14)</f>
        <v>4482.14</v>
      </c>
      <c r="AW4" s="2">
        <f>IFERROR(__xludf.DUMMYFUNCTION("""COMPUTED_VALUE"""),265.0)</f>
        <v>265</v>
      </c>
      <c r="AX4" s="2">
        <f>IFERROR(__xludf.DUMMYFUNCTION("""COMPUTED_VALUE"""),7722.0)</f>
        <v>7722</v>
      </c>
      <c r="AY4" s="2">
        <f>IFERROR(__xludf.DUMMYFUNCTION("""COMPUTED_VALUE"""),1432.26)</f>
        <v>1432.26</v>
      </c>
      <c r="AZ4" s="2">
        <f>IFERROR(__xludf.DUMMYFUNCTION("""COMPUTED_VALUE"""),17008.05)</f>
        <v>17008.05</v>
      </c>
      <c r="BA4" s="2">
        <f>IFERROR(__xludf.DUMMYFUNCTION("""COMPUTED_VALUE"""),72.0)</f>
        <v>72</v>
      </c>
      <c r="BB4" s="2">
        <f>IFERROR(__xludf.DUMMYFUNCTION("""COMPUTED_VALUE"""),5715.0)</f>
        <v>5715</v>
      </c>
      <c r="BC4" s="2">
        <f>IFERROR(__xludf.DUMMYFUNCTION("""COMPUTED_VALUE"""),178.0)</f>
        <v>178</v>
      </c>
      <c r="BD4" s="2">
        <f>IFERROR(__xludf.DUMMYFUNCTION("""COMPUTED_VALUE"""),265.0)</f>
        <v>265</v>
      </c>
      <c r="BE4" s="2">
        <f>IFERROR(__xludf.DUMMYFUNCTION("""COMPUTED_VALUE"""),5105.0)</f>
        <v>5105</v>
      </c>
      <c r="BF4" s="2">
        <f>IFERROR(__xludf.DUMMYFUNCTION("""COMPUTED_VALUE"""),587.0)</f>
        <v>587</v>
      </c>
      <c r="BG4" s="2">
        <f>IFERROR(__xludf.DUMMYFUNCTION("""COMPUTED_VALUE"""),239.4)</f>
        <v>239.4</v>
      </c>
      <c r="BH4" s="2">
        <f>IFERROR(__xludf.DUMMYFUNCTION("""COMPUTED_VALUE"""),670.0)</f>
        <v>670</v>
      </c>
      <c r="BI4" s="2">
        <f>IFERROR(__xludf.DUMMYFUNCTION("""COMPUTED_VALUE"""),5920.0)</f>
        <v>5920</v>
      </c>
      <c r="BJ4" s="2">
        <f>IFERROR(__xludf.DUMMYFUNCTION("""COMPUTED_VALUE"""),5951.68)</f>
        <v>5951.68</v>
      </c>
      <c r="BK4" s="2">
        <f>IFERROR(__xludf.DUMMYFUNCTION("""COMPUTED_VALUE"""),442.0)</f>
        <v>442</v>
      </c>
      <c r="BL4" s="2">
        <f>IFERROR(__xludf.DUMMYFUNCTION("""COMPUTED_VALUE"""),7446.13)</f>
        <v>7446.13</v>
      </c>
      <c r="BM4" s="2"/>
      <c r="BN4" s="2"/>
      <c r="BO4" s="2"/>
      <c r="BP4" s="2"/>
      <c r="BQ4" s="2"/>
      <c r="BR4" s="2"/>
      <c r="BS4" s="2"/>
      <c r="BT4" s="2"/>
      <c r="BU4" s="2"/>
      <c r="BV4" s="2"/>
    </row>
    <row r="5">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row>
    <row r="6">
      <c r="A6" s="3" t="s">
        <v>6</v>
      </c>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row>
    <row r="7">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row>
    <row r="8">
      <c r="A8" s="3" t="s">
        <v>7</v>
      </c>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row>
    <row r="9">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row>
    <row r="10">
      <c r="A10" s="3" t="s">
        <v>8</v>
      </c>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row>
    <row r="11">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row>
    <row r="12">
      <c r="A12" s="3" t="s">
        <v>9</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row>
    <row r="13">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row>
    <row r="14">
      <c r="A14" s="3" t="s">
        <v>10</v>
      </c>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row>
    <row r="15">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row>
    <row r="16">
      <c r="A16" s="3" t="s">
        <v>11</v>
      </c>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row>
    <row r="17">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row>
    <row r="18">
      <c r="A18" s="3" t="s">
        <v>12</v>
      </c>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row>
    <row r="20">
      <c r="A20" s="3" t="s">
        <v>13</v>
      </c>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row>
    <row r="22">
      <c r="A22" s="3" t="s">
        <v>14</v>
      </c>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row>
    <row r="24">
      <c r="A24" s="3" t="s">
        <v>15</v>
      </c>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row>
    <row r="26">
      <c r="A26" s="3" t="s">
        <v>16</v>
      </c>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row>
    <row r="28">
      <c r="A28" s="3" t="s">
        <v>17</v>
      </c>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row>
    <row r="30">
      <c r="A30" s="3" t="s">
        <v>18</v>
      </c>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row>
    <row r="32">
      <c r="A32" s="3" t="s">
        <v>19</v>
      </c>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row>
    <row r="34">
      <c r="A34" s="3" t="s">
        <v>20</v>
      </c>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row>
    <row r="36">
      <c r="A36" s="3" t="s">
        <v>21</v>
      </c>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row>
    <row r="38">
      <c r="A38" s="3" t="s">
        <v>22</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row>
    <row r="40">
      <c r="A40" s="3" t="s">
        <v>23</v>
      </c>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row>
    <row r="42">
      <c r="A42" s="3" t="s">
        <v>24</v>
      </c>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row>
    <row r="44">
      <c r="A44" s="3" t="s">
        <v>25</v>
      </c>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row>
    <row r="46">
      <c r="A46" s="3" t="s">
        <v>26</v>
      </c>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row>
    <row r="48">
      <c r="A48" s="3" t="s">
        <v>27</v>
      </c>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row>
    <row r="50">
      <c r="A50" s="3" t="s">
        <v>28</v>
      </c>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row>
    <row r="52">
      <c r="A52" s="3" t="s">
        <v>29</v>
      </c>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row>
    <row r="54">
      <c r="A54" s="3" t="s">
        <v>30</v>
      </c>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row>
    <row r="56">
      <c r="A56" s="3" t="s">
        <v>31</v>
      </c>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row>
    <row r="58">
      <c r="A58" s="3" t="s">
        <v>32</v>
      </c>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row>
    <row r="60">
      <c r="A60" s="3" t="s">
        <v>33</v>
      </c>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row>
    <row r="62">
      <c r="A62" s="3" t="s">
        <v>34</v>
      </c>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row>
    <row r="64">
      <c r="A64" s="3" t="s">
        <v>35</v>
      </c>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row>
    <row r="66">
      <c r="A66" s="3" t="s">
        <v>36</v>
      </c>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row>
    <row r="68">
      <c r="A68" s="3" t="s">
        <v>37</v>
      </c>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row>
    <row r="70">
      <c r="A70" s="3" t="s">
        <v>38</v>
      </c>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row>
    <row r="72">
      <c r="A72" s="3" t="s">
        <v>39</v>
      </c>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row>
    <row r="74">
      <c r="A74" s="3" t="s">
        <v>40</v>
      </c>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row>
    <row r="76">
      <c r="A76" s="3" t="s">
        <v>41</v>
      </c>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row>
    <row r="78">
      <c r="A78" s="3" t="s">
        <v>42</v>
      </c>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row>
    <row r="80">
      <c r="A80" s="3" t="s">
        <v>43</v>
      </c>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row>
    <row r="82">
      <c r="A82" s="3" t="s">
        <v>44</v>
      </c>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row>
    <row r="84">
      <c r="A84" s="3" t="s">
        <v>45</v>
      </c>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row>
    <row r="86">
      <c r="A86" s="3" t="s">
        <v>46</v>
      </c>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row>
    <row r="88">
      <c r="A88" s="3" t="s">
        <v>47</v>
      </c>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row>
    <row r="90">
      <c r="A90" s="3" t="s">
        <v>48</v>
      </c>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row>
    <row r="92">
      <c r="A92" s="3" t="s">
        <v>49</v>
      </c>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row>
    <row r="94">
      <c r="A94" s="3" t="s">
        <v>50</v>
      </c>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row>
    <row r="96">
      <c r="A96" s="3" t="s">
        <v>51</v>
      </c>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row>
    <row r="98">
      <c r="A98" s="3" t="s">
        <v>52</v>
      </c>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row>
    <row r="100">
      <c r="A100" s="3" t="s">
        <v>53</v>
      </c>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row>
    <row r="102">
      <c r="A102" s="3" t="s">
        <v>54</v>
      </c>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row>
    <row r="104">
      <c r="A104" s="3" t="s">
        <v>55</v>
      </c>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row>
    <row r="106">
      <c r="A106" s="3" t="s">
        <v>56</v>
      </c>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row>
    <row r="108">
      <c r="A108" s="3" t="s">
        <v>57</v>
      </c>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row>
    <row r="110">
      <c r="A110" s="3" t="s">
        <v>58</v>
      </c>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row>
    <row r="112">
      <c r="A112" s="3" t="s">
        <v>59</v>
      </c>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row>
    <row r="114">
      <c r="A114" s="3" t="s">
        <v>60</v>
      </c>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row>
    <row r="116">
      <c r="A116" s="3" t="s">
        <v>61</v>
      </c>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row>
    <row r="118">
      <c r="A118" s="3" t="s">
        <v>62</v>
      </c>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row>
    <row r="120">
      <c r="A120" s="3" t="s">
        <v>63</v>
      </c>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row>
    <row r="122">
      <c r="A122" s="3" t="s">
        <v>64</v>
      </c>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row>
    <row r="124">
      <c r="A124" s="3" t="s">
        <v>65</v>
      </c>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row>
    <row r="126">
      <c r="A126" s="3" t="s">
        <v>66</v>
      </c>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c r="BV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c r="BV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c r="BV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c r="BS933" s="2"/>
      <c r="BT933" s="2"/>
      <c r="BU933" s="2"/>
      <c r="BV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2"/>
      <c r="BT935" s="2"/>
      <c r="BU935" s="2"/>
      <c r="BV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c r="BV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c r="BS938" s="2"/>
      <c r="BT938" s="2"/>
      <c r="BU938" s="2"/>
      <c r="BV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c r="BS939" s="2"/>
      <c r="BT939" s="2"/>
      <c r="BU939" s="2"/>
      <c r="BV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c r="BS940" s="2"/>
      <c r="BT940" s="2"/>
      <c r="BU940" s="2"/>
      <c r="BV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c r="BS941" s="2"/>
      <c r="BT941" s="2"/>
      <c r="BU941" s="2"/>
      <c r="BV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2"/>
      <c r="BT942" s="2"/>
      <c r="BU942" s="2"/>
      <c r="BV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c r="BS943" s="2"/>
      <c r="BT943" s="2"/>
      <c r="BU943" s="2"/>
      <c r="BV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c r="BS979" s="2"/>
      <c r="BT979" s="2"/>
      <c r="BU979" s="2"/>
      <c r="BV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c r="BS980" s="2"/>
      <c r="BT980" s="2"/>
      <c r="BU980" s="2"/>
      <c r="BV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c r="BR981" s="2"/>
      <c r="BS981" s="2"/>
      <c r="BT981" s="2"/>
      <c r="BU981" s="2"/>
      <c r="BV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c r="BS982" s="2"/>
      <c r="BT982" s="2"/>
      <c r="BU982" s="2"/>
      <c r="BV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c r="BR983" s="2"/>
      <c r="BS983" s="2"/>
      <c r="BT983" s="2"/>
      <c r="BU983" s="2"/>
      <c r="BV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c r="BS984" s="2"/>
      <c r="BT984" s="2"/>
      <c r="BU984" s="2"/>
      <c r="BV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c r="BR985" s="2"/>
      <c r="BS985" s="2"/>
      <c r="BT985" s="2"/>
      <c r="BU985" s="2"/>
      <c r="BV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c r="BR986" s="2"/>
      <c r="BS986" s="2"/>
      <c r="BT986" s="2"/>
      <c r="BU986" s="2"/>
      <c r="BV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c r="BP987" s="2"/>
      <c r="BQ987" s="2"/>
      <c r="BR987" s="2"/>
      <c r="BS987" s="2"/>
      <c r="BT987" s="2"/>
      <c r="BU987" s="2"/>
      <c r="BV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
      <c r="BR988" s="2"/>
      <c r="BS988" s="2"/>
      <c r="BT988" s="2"/>
      <c r="BU988" s="2"/>
      <c r="BV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c r="BP989" s="2"/>
      <c r="BQ989" s="2"/>
      <c r="BR989" s="2"/>
      <c r="BS989" s="2"/>
      <c r="BT989" s="2"/>
      <c r="BU989" s="2"/>
      <c r="BV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
      <c r="BR990" s="2"/>
      <c r="BS990" s="2"/>
      <c r="BT990" s="2"/>
      <c r="BU990" s="2"/>
      <c r="BV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c r="BP991" s="2"/>
      <c r="BQ991" s="2"/>
      <c r="BR991" s="2"/>
      <c r="BS991" s="2"/>
      <c r="BT991" s="2"/>
      <c r="BU991" s="2"/>
      <c r="BV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c r="BP992" s="2"/>
      <c r="BQ992" s="2"/>
      <c r="BR992" s="2"/>
      <c r="BS992" s="2"/>
      <c r="BT992" s="2"/>
      <c r="BU992" s="2"/>
      <c r="BV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c r="BO993" s="2"/>
      <c r="BP993" s="2"/>
      <c r="BQ993" s="2"/>
      <c r="BR993" s="2"/>
      <c r="BS993" s="2"/>
      <c r="BT993" s="2"/>
      <c r="BU993" s="2"/>
      <c r="BV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c r="BO994" s="2"/>
      <c r="BP994" s="2"/>
      <c r="BQ994" s="2"/>
      <c r="BR994" s="2"/>
      <c r="BS994" s="2"/>
      <c r="BT994" s="2"/>
      <c r="BU994" s="2"/>
      <c r="BV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c r="BO995" s="2"/>
      <c r="BP995" s="2"/>
      <c r="BQ995" s="2"/>
      <c r="BR995" s="2"/>
      <c r="BS995" s="2"/>
      <c r="BT995" s="2"/>
      <c r="BU995" s="2"/>
      <c r="BV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c r="BO996" s="2"/>
      <c r="BP996" s="2"/>
      <c r="BQ996" s="2"/>
      <c r="BR996" s="2"/>
      <c r="BS996" s="2"/>
      <c r="BT996" s="2"/>
      <c r="BU996" s="2"/>
      <c r="BV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c r="BN997" s="2"/>
      <c r="BO997" s="2"/>
      <c r="BP997" s="2"/>
      <c r="BQ997" s="2"/>
      <c r="BR997" s="2"/>
      <c r="BS997" s="2"/>
      <c r="BT997" s="2"/>
      <c r="BU997" s="2"/>
      <c r="BV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c r="BO998" s="2"/>
      <c r="BP998" s="2"/>
      <c r="BQ998" s="2"/>
      <c r="BR998" s="2"/>
      <c r="BS998" s="2"/>
      <c r="BT998" s="2"/>
      <c r="BU998" s="2"/>
      <c r="BV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c r="BM999" s="2"/>
      <c r="BN999" s="2"/>
      <c r="BO999" s="2"/>
      <c r="BP999" s="2"/>
      <c r="BQ999" s="2"/>
      <c r="BR999" s="2"/>
      <c r="BS999" s="2"/>
      <c r="BT999" s="2"/>
      <c r="BU999" s="2"/>
      <c r="BV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c r="BM1000" s="2"/>
      <c r="BN1000" s="2"/>
      <c r="BO1000" s="2"/>
      <c r="BP1000" s="2"/>
      <c r="BQ1000" s="2"/>
      <c r="BR1000" s="2"/>
      <c r="BS1000" s="2"/>
      <c r="BT1000" s="2"/>
      <c r="BU1000" s="2"/>
      <c r="BV1000" s="2"/>
    </row>
  </sheetData>
  <mergeCells count="1">
    <mergeCell ref="A1:D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134.25" customHeight="1">
      <c r="A1" s="1" t="s">
        <v>67</v>
      </c>
    </row>
    <row r="2">
      <c r="B2" t="s">
        <v>4</v>
      </c>
    </row>
    <row r="3">
      <c r="B3" t="s">
        <v>6</v>
      </c>
    </row>
    <row r="4">
      <c r="B4" t="s">
        <v>7</v>
      </c>
    </row>
    <row r="5">
      <c r="B5" t="s">
        <v>8</v>
      </c>
    </row>
    <row r="6">
      <c r="B6" t="s">
        <v>9</v>
      </c>
    </row>
    <row r="7">
      <c r="B7" t="s">
        <v>10</v>
      </c>
    </row>
    <row r="8">
      <c r="B8" t="s">
        <v>11</v>
      </c>
    </row>
    <row r="9">
      <c r="B9" t="s">
        <v>12</v>
      </c>
    </row>
    <row r="10">
      <c r="B10" t="s">
        <v>13</v>
      </c>
    </row>
    <row r="11">
      <c r="B11" t="s">
        <v>14</v>
      </c>
    </row>
    <row r="12">
      <c r="B12" t="s">
        <v>15</v>
      </c>
    </row>
    <row r="13">
      <c r="B13" t="s">
        <v>16</v>
      </c>
    </row>
    <row r="14">
      <c r="B14" t="s">
        <v>17</v>
      </c>
    </row>
    <row r="15">
      <c r="B15" t="s">
        <v>18</v>
      </c>
    </row>
    <row r="16">
      <c r="B16" t="s">
        <v>19</v>
      </c>
    </row>
    <row r="17">
      <c r="B17" t="s">
        <v>20</v>
      </c>
    </row>
    <row r="18">
      <c r="B18" t="s">
        <v>21</v>
      </c>
    </row>
    <row r="19">
      <c r="B19" t="s">
        <v>22</v>
      </c>
    </row>
    <row r="20">
      <c r="B20" t="s">
        <v>23</v>
      </c>
    </row>
    <row r="21">
      <c r="B21" t="s">
        <v>24</v>
      </c>
    </row>
    <row r="22">
      <c r="B22" t="s">
        <v>25</v>
      </c>
    </row>
    <row r="23">
      <c r="B23" t="s">
        <v>26</v>
      </c>
    </row>
    <row r="24">
      <c r="B24" t="s">
        <v>27</v>
      </c>
    </row>
    <row r="25">
      <c r="B25" t="s">
        <v>28</v>
      </c>
    </row>
    <row r="26">
      <c r="B26" t="s">
        <v>29</v>
      </c>
    </row>
    <row r="27">
      <c r="B27" t="s">
        <v>30</v>
      </c>
    </row>
    <row r="28">
      <c r="B28" t="s">
        <v>31</v>
      </c>
    </row>
    <row r="29">
      <c r="B29" t="s">
        <v>32</v>
      </c>
    </row>
    <row r="30">
      <c r="B30" t="s">
        <v>33</v>
      </c>
    </row>
    <row r="31">
      <c r="B31" t="s">
        <v>34</v>
      </c>
    </row>
    <row r="32">
      <c r="B32" t="s">
        <v>35</v>
      </c>
    </row>
    <row r="33">
      <c r="B33" t="s">
        <v>36</v>
      </c>
    </row>
    <row r="34">
      <c r="B34" t="s">
        <v>37</v>
      </c>
    </row>
    <row r="35">
      <c r="B35" t="s">
        <v>38</v>
      </c>
    </row>
    <row r="36">
      <c r="B36" t="s">
        <v>39</v>
      </c>
    </row>
    <row r="37">
      <c r="B37" t="s">
        <v>40</v>
      </c>
    </row>
    <row r="38">
      <c r="B38" t="s">
        <v>41</v>
      </c>
    </row>
    <row r="39">
      <c r="B39" t="s">
        <v>42</v>
      </c>
    </row>
    <row r="40">
      <c r="B40" t="s">
        <v>43</v>
      </c>
    </row>
    <row r="41">
      <c r="B41" t="s">
        <v>44</v>
      </c>
    </row>
    <row r="42">
      <c r="B42" t="s">
        <v>45</v>
      </c>
    </row>
    <row r="43">
      <c r="B43" t="s">
        <v>46</v>
      </c>
    </row>
    <row r="44">
      <c r="B44" t="s">
        <v>47</v>
      </c>
    </row>
    <row r="45">
      <c r="B45" t="s">
        <v>48</v>
      </c>
    </row>
    <row r="46">
      <c r="B46" t="s">
        <v>49</v>
      </c>
    </row>
    <row r="47">
      <c r="B47" t="s">
        <v>50</v>
      </c>
    </row>
    <row r="48">
      <c r="B48" t="s">
        <v>51</v>
      </c>
    </row>
    <row r="49">
      <c r="B49" t="s">
        <v>52</v>
      </c>
    </row>
    <row r="50">
      <c r="B50" t="s">
        <v>53</v>
      </c>
    </row>
    <row r="51">
      <c r="B51" t="s">
        <v>54</v>
      </c>
    </row>
    <row r="52">
      <c r="B52" t="s">
        <v>55</v>
      </c>
    </row>
    <row r="53">
      <c r="B53" t="s">
        <v>56</v>
      </c>
    </row>
    <row r="54">
      <c r="B54" t="s">
        <v>57</v>
      </c>
    </row>
    <row r="55">
      <c r="B55" t="s">
        <v>58</v>
      </c>
    </row>
    <row r="56">
      <c r="B56" t="s">
        <v>59</v>
      </c>
    </row>
    <row r="57">
      <c r="B57" t="s">
        <v>60</v>
      </c>
    </row>
    <row r="58">
      <c r="B58" t="s">
        <v>61</v>
      </c>
    </row>
    <row r="59">
      <c r="B59" t="s">
        <v>62</v>
      </c>
    </row>
    <row r="60">
      <c r="B60" t="s">
        <v>63</v>
      </c>
    </row>
    <row r="61">
      <c r="B61" t="s">
        <v>64</v>
      </c>
    </row>
    <row r="62">
      <c r="B62" t="s">
        <v>65</v>
      </c>
    </row>
    <row r="63">
      <c r="B63" t="s">
        <v>66</v>
      </c>
    </row>
  </sheetData>
  <mergeCells count="1">
    <mergeCell ref="A1:E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68</v>
      </c>
    </row>
    <row r="2">
      <c r="A2">
        <f>IFERROR(__xludf.DUMMYFUNCTION("transpose(split('0-fichier brut extrait de Tabul'!B4,char(10)))"),56.0)</f>
        <v>56</v>
      </c>
      <c r="C2" t="str">
        <f t="shared" ref="C2:C63" si="1">SUBSTITUTE(A2," ","")</f>
        <v>56</v>
      </c>
    </row>
    <row r="3">
      <c r="A3">
        <f>IFERROR(__xludf.DUMMYFUNCTION("""COMPUTED_VALUE"""),4359.52)</f>
        <v>4359.52</v>
      </c>
      <c r="C3" t="str">
        <f t="shared" si="1"/>
        <v>4359,52</v>
      </c>
    </row>
    <row r="4">
      <c r="A4">
        <f>IFERROR(__xludf.DUMMYFUNCTION("""COMPUTED_VALUE"""),34.0)</f>
        <v>34</v>
      </c>
      <c r="C4" t="str">
        <f t="shared" si="1"/>
        <v>34</v>
      </c>
    </row>
    <row r="5">
      <c r="A5">
        <f>IFERROR(__xludf.DUMMYFUNCTION("""COMPUTED_VALUE"""),675.0)</f>
        <v>675</v>
      </c>
      <c r="C5" t="str">
        <f t="shared" si="1"/>
        <v>675</v>
      </c>
    </row>
    <row r="6">
      <c r="A6">
        <f>IFERROR(__xludf.DUMMYFUNCTION("""COMPUTED_VALUE"""),400.0)</f>
        <v>400</v>
      </c>
      <c r="C6" t="str">
        <f t="shared" si="1"/>
        <v>400</v>
      </c>
    </row>
    <row r="7">
      <c r="A7">
        <f>IFERROR(__xludf.DUMMYFUNCTION("""COMPUTED_VALUE"""),20632.0)</f>
        <v>20632</v>
      </c>
      <c r="C7" t="str">
        <f t="shared" si="1"/>
        <v>20632</v>
      </c>
    </row>
    <row r="8">
      <c r="A8">
        <f>IFERROR(__xludf.DUMMYFUNCTION("""COMPUTED_VALUE"""),2791.0)</f>
        <v>2791</v>
      </c>
      <c r="C8" t="str">
        <f t="shared" si="1"/>
        <v>2791</v>
      </c>
    </row>
    <row r="9">
      <c r="A9">
        <f>IFERROR(__xludf.DUMMYFUNCTION("""COMPUTED_VALUE"""),631.0)</f>
        <v>631</v>
      </c>
      <c r="C9" t="str">
        <f t="shared" si="1"/>
        <v>631</v>
      </c>
    </row>
    <row r="10">
      <c r="A10">
        <f>IFERROR(__xludf.DUMMYFUNCTION("""COMPUTED_VALUE"""),14561.67)</f>
        <v>14561.67</v>
      </c>
      <c r="C10" t="str">
        <f t="shared" si="1"/>
        <v>14561,67</v>
      </c>
    </row>
    <row r="11">
      <c r="A11">
        <f>IFERROR(__xludf.DUMMYFUNCTION("""COMPUTED_VALUE"""),15042.0)</f>
        <v>15042</v>
      </c>
      <c r="C11" t="str">
        <f t="shared" si="1"/>
        <v>15042</v>
      </c>
    </row>
    <row r="12">
      <c r="A12">
        <f>IFERROR(__xludf.DUMMYFUNCTION("""COMPUTED_VALUE"""),3888.0)</f>
        <v>3888</v>
      </c>
      <c r="C12" t="str">
        <f t="shared" si="1"/>
        <v>3888</v>
      </c>
    </row>
    <row r="13">
      <c r="A13">
        <f>IFERROR(__xludf.DUMMYFUNCTION("""COMPUTED_VALUE"""),228670.97)</f>
        <v>228670.97</v>
      </c>
      <c r="C13" t="str">
        <f t="shared" si="1"/>
        <v>228670,97</v>
      </c>
    </row>
    <row r="14">
      <c r="A14">
        <f>IFERROR(__xludf.DUMMYFUNCTION("""COMPUTED_VALUE"""),124.0)</f>
        <v>124</v>
      </c>
      <c r="C14" t="str">
        <f t="shared" si="1"/>
        <v>124</v>
      </c>
    </row>
    <row r="15">
      <c r="A15">
        <f>IFERROR(__xludf.DUMMYFUNCTION("""COMPUTED_VALUE"""),31971.23)</f>
        <v>31971.23</v>
      </c>
      <c r="C15" t="str">
        <f t="shared" si="1"/>
        <v>31971,23</v>
      </c>
    </row>
    <row r="16">
      <c r="A16">
        <f>IFERROR(__xludf.DUMMYFUNCTION("""COMPUTED_VALUE"""),74.0)</f>
        <v>74</v>
      </c>
      <c r="C16" t="str">
        <f t="shared" si="1"/>
        <v>74</v>
      </c>
    </row>
    <row r="17">
      <c r="A17">
        <f>IFERROR(__xludf.DUMMYFUNCTION("""COMPUTED_VALUE"""),1517.0)</f>
        <v>1517</v>
      </c>
      <c r="C17" t="str">
        <f t="shared" si="1"/>
        <v>1517</v>
      </c>
    </row>
    <row r="18">
      <c r="A18">
        <f>IFERROR(__xludf.DUMMYFUNCTION("""COMPUTED_VALUE"""),4146.0)</f>
        <v>4146</v>
      </c>
      <c r="C18" t="str">
        <f t="shared" si="1"/>
        <v>4146</v>
      </c>
    </row>
    <row r="19">
      <c r="A19">
        <f>IFERROR(__xludf.DUMMYFUNCTION("""COMPUTED_VALUE"""),27.0)</f>
        <v>27</v>
      </c>
      <c r="C19" t="str">
        <f t="shared" si="1"/>
        <v>27</v>
      </c>
    </row>
    <row r="20">
      <c r="A20">
        <f>IFERROR(__xludf.DUMMYFUNCTION("""COMPUTED_VALUE"""),12532.0)</f>
        <v>12532</v>
      </c>
      <c r="C20" t="str">
        <f t="shared" si="1"/>
        <v>12532</v>
      </c>
    </row>
    <row r="21">
      <c r="A21">
        <f>IFERROR(__xludf.DUMMYFUNCTION("""COMPUTED_VALUE"""),663.0)</f>
        <v>663</v>
      </c>
      <c r="C21" t="str">
        <f t="shared" si="1"/>
        <v>663</v>
      </c>
    </row>
    <row r="22">
      <c r="A22">
        <f>IFERROR(__xludf.DUMMYFUNCTION("""COMPUTED_VALUE"""),214.0)</f>
        <v>214</v>
      </c>
      <c r="C22" t="str">
        <f t="shared" si="1"/>
        <v>214</v>
      </c>
    </row>
    <row r="23">
      <c r="A23">
        <f>IFERROR(__xludf.DUMMYFUNCTION("""COMPUTED_VALUE"""),24.0)</f>
        <v>24</v>
      </c>
      <c r="C23" t="str">
        <f t="shared" si="1"/>
        <v>24</v>
      </c>
    </row>
    <row r="24">
      <c r="A24">
        <f>IFERROR(__xludf.DUMMYFUNCTION("""COMPUTED_VALUE"""),339.0)</f>
        <v>339</v>
      </c>
      <c r="C24" t="str">
        <f t="shared" si="1"/>
        <v>339</v>
      </c>
    </row>
    <row r="25">
      <c r="A25">
        <f>IFERROR(__xludf.DUMMYFUNCTION("""COMPUTED_VALUE"""),200.0)</f>
        <v>200</v>
      </c>
      <c r="C25" t="str">
        <f t="shared" si="1"/>
        <v>200</v>
      </c>
    </row>
    <row r="26">
      <c r="A26">
        <f>IFERROR(__xludf.DUMMYFUNCTION("""COMPUTED_VALUE"""),185.1)</f>
        <v>185.1</v>
      </c>
      <c r="C26" t="str">
        <f t="shared" si="1"/>
        <v>185,1</v>
      </c>
    </row>
    <row r="27">
      <c r="A27">
        <f>IFERROR(__xludf.DUMMYFUNCTION("""COMPUTED_VALUE"""),56.0)</f>
        <v>56</v>
      </c>
      <c r="C27" t="str">
        <f t="shared" si="1"/>
        <v>56</v>
      </c>
    </row>
    <row r="28">
      <c r="A28">
        <f>IFERROR(__xludf.DUMMYFUNCTION("""COMPUTED_VALUE"""),796.05)</f>
        <v>796.05</v>
      </c>
      <c r="C28" t="str">
        <f t="shared" si="1"/>
        <v>796,05</v>
      </c>
    </row>
    <row r="29">
      <c r="A29">
        <f>IFERROR(__xludf.DUMMYFUNCTION("""COMPUTED_VALUE"""),3848.86)</f>
        <v>3848.86</v>
      </c>
      <c r="C29" t="str">
        <f t="shared" si="1"/>
        <v>3848,86</v>
      </c>
    </row>
    <row r="30">
      <c r="A30">
        <f>IFERROR(__xludf.DUMMYFUNCTION("""COMPUTED_VALUE"""),1478.0)</f>
        <v>1478</v>
      </c>
      <c r="C30" t="str">
        <f t="shared" si="1"/>
        <v>1478</v>
      </c>
    </row>
    <row r="31">
      <c r="A31">
        <f>IFERROR(__xludf.DUMMYFUNCTION("""COMPUTED_VALUE"""),5391.0)</f>
        <v>5391</v>
      </c>
      <c r="C31" t="str">
        <f t="shared" si="1"/>
        <v>5391</v>
      </c>
    </row>
    <row r="32">
      <c r="A32">
        <f>IFERROR(__xludf.DUMMYFUNCTION("""COMPUTED_VALUE"""),13988.0)</f>
        <v>13988</v>
      </c>
      <c r="C32" t="str">
        <f t="shared" si="1"/>
        <v>13988</v>
      </c>
    </row>
    <row r="33">
      <c r="A33">
        <f>IFERROR(__xludf.DUMMYFUNCTION("""COMPUTED_VALUE"""),4305.18)</f>
        <v>4305.18</v>
      </c>
      <c r="C33" t="str">
        <f t="shared" si="1"/>
        <v>4305,18</v>
      </c>
    </row>
    <row r="34">
      <c r="A34">
        <f>IFERROR(__xludf.DUMMYFUNCTION("""COMPUTED_VALUE"""),564.0)</f>
        <v>564</v>
      </c>
      <c r="C34" t="str">
        <f t="shared" si="1"/>
        <v>564</v>
      </c>
    </row>
    <row r="35">
      <c r="A35">
        <f>IFERROR(__xludf.DUMMYFUNCTION("""COMPUTED_VALUE"""),12605.0)</f>
        <v>12605</v>
      </c>
      <c r="C35" t="str">
        <f t="shared" si="1"/>
        <v>12605</v>
      </c>
    </row>
    <row r="36">
      <c r="A36">
        <f>IFERROR(__xludf.DUMMYFUNCTION("""COMPUTED_VALUE"""),332.0)</f>
        <v>332</v>
      </c>
      <c r="C36" t="str">
        <f t="shared" si="1"/>
        <v>332</v>
      </c>
    </row>
    <row r="37">
      <c r="A37">
        <f>IFERROR(__xludf.DUMMYFUNCTION("""COMPUTED_VALUE"""),299.0)</f>
        <v>299</v>
      </c>
      <c r="C37" t="str">
        <f t="shared" si="1"/>
        <v>299</v>
      </c>
    </row>
    <row r="38">
      <c r="A38">
        <f>IFERROR(__xludf.DUMMYFUNCTION("""COMPUTED_VALUE"""),118.67)</f>
        <v>118.67</v>
      </c>
      <c r="C38" t="str">
        <f t="shared" si="1"/>
        <v>118,67</v>
      </c>
    </row>
    <row r="39">
      <c r="A39">
        <f>IFERROR(__xludf.DUMMYFUNCTION("""COMPUTED_VALUE"""),106.0)</f>
        <v>106</v>
      </c>
      <c r="C39" t="str">
        <f t="shared" si="1"/>
        <v>106</v>
      </c>
    </row>
    <row r="40">
      <c r="A40">
        <f>IFERROR(__xludf.DUMMYFUNCTION("""COMPUTED_VALUE"""),340.0)</f>
        <v>340</v>
      </c>
      <c r="C40" t="str">
        <f t="shared" si="1"/>
        <v>340</v>
      </c>
    </row>
    <row r="41">
      <c r="A41">
        <f>IFERROR(__xludf.DUMMYFUNCTION("""COMPUTED_VALUE"""),102.0)</f>
        <v>102</v>
      </c>
      <c r="C41" t="str">
        <f t="shared" si="1"/>
        <v>102</v>
      </c>
    </row>
    <row r="42">
      <c r="A42">
        <f>IFERROR(__xludf.DUMMYFUNCTION("""COMPUTED_VALUE"""),178.0)</f>
        <v>178</v>
      </c>
      <c r="C42" t="str">
        <f t="shared" si="1"/>
        <v>178</v>
      </c>
    </row>
    <row r="43">
      <c r="A43">
        <f>IFERROR(__xludf.DUMMYFUNCTION("""COMPUTED_VALUE"""),170.0)</f>
        <v>170</v>
      </c>
      <c r="C43" t="str">
        <f t="shared" si="1"/>
        <v>170</v>
      </c>
    </row>
    <row r="44">
      <c r="A44">
        <f>IFERROR(__xludf.DUMMYFUNCTION("""COMPUTED_VALUE"""),356.0)</f>
        <v>356</v>
      </c>
      <c r="C44" t="str">
        <f t="shared" si="1"/>
        <v>356</v>
      </c>
    </row>
    <row r="45">
      <c r="A45">
        <f>IFERROR(__xludf.DUMMYFUNCTION("""COMPUTED_VALUE"""),34.0)</f>
        <v>34</v>
      </c>
      <c r="C45" t="str">
        <f t="shared" si="1"/>
        <v>34</v>
      </c>
    </row>
    <row r="46">
      <c r="A46">
        <f>IFERROR(__xludf.DUMMYFUNCTION("""COMPUTED_VALUE"""),621.0)</f>
        <v>621</v>
      </c>
      <c r="C46" t="str">
        <f t="shared" si="1"/>
        <v>621</v>
      </c>
    </row>
    <row r="47">
      <c r="A47">
        <f>IFERROR(__xludf.DUMMYFUNCTION("""COMPUTED_VALUE"""),4482.14)</f>
        <v>4482.14</v>
      </c>
      <c r="C47" t="str">
        <f t="shared" si="1"/>
        <v>4482,14</v>
      </c>
    </row>
    <row r="48">
      <c r="A48">
        <f>IFERROR(__xludf.DUMMYFUNCTION("""COMPUTED_VALUE"""),265.0)</f>
        <v>265</v>
      </c>
      <c r="C48" t="str">
        <f t="shared" si="1"/>
        <v>265</v>
      </c>
    </row>
    <row r="49">
      <c r="A49">
        <f>IFERROR(__xludf.DUMMYFUNCTION("""COMPUTED_VALUE"""),7722.0)</f>
        <v>7722</v>
      </c>
      <c r="C49" t="str">
        <f t="shared" si="1"/>
        <v>7722</v>
      </c>
    </row>
    <row r="50">
      <c r="A50">
        <f>IFERROR(__xludf.DUMMYFUNCTION("""COMPUTED_VALUE"""),1432.26)</f>
        <v>1432.26</v>
      </c>
      <c r="C50" t="str">
        <f t="shared" si="1"/>
        <v>1432,26</v>
      </c>
    </row>
    <row r="51">
      <c r="A51">
        <f>IFERROR(__xludf.DUMMYFUNCTION("""COMPUTED_VALUE"""),17008.05)</f>
        <v>17008.05</v>
      </c>
      <c r="C51" t="str">
        <f t="shared" si="1"/>
        <v>17008,05</v>
      </c>
    </row>
    <row r="52">
      <c r="A52">
        <f>IFERROR(__xludf.DUMMYFUNCTION("""COMPUTED_VALUE"""),72.0)</f>
        <v>72</v>
      </c>
      <c r="C52" t="str">
        <f t="shared" si="1"/>
        <v>72</v>
      </c>
    </row>
    <row r="53">
      <c r="A53">
        <f>IFERROR(__xludf.DUMMYFUNCTION("""COMPUTED_VALUE"""),5715.0)</f>
        <v>5715</v>
      </c>
      <c r="C53" t="str">
        <f t="shared" si="1"/>
        <v>5715</v>
      </c>
    </row>
    <row r="54">
      <c r="A54">
        <f>IFERROR(__xludf.DUMMYFUNCTION("""COMPUTED_VALUE"""),178.0)</f>
        <v>178</v>
      </c>
      <c r="C54" t="str">
        <f t="shared" si="1"/>
        <v>178</v>
      </c>
    </row>
    <row r="55">
      <c r="A55">
        <f>IFERROR(__xludf.DUMMYFUNCTION("""COMPUTED_VALUE"""),265.0)</f>
        <v>265</v>
      </c>
      <c r="C55" t="str">
        <f t="shared" si="1"/>
        <v>265</v>
      </c>
    </row>
    <row r="56">
      <c r="A56">
        <f>IFERROR(__xludf.DUMMYFUNCTION("""COMPUTED_VALUE"""),5105.0)</f>
        <v>5105</v>
      </c>
      <c r="C56" t="str">
        <f t="shared" si="1"/>
        <v>5105</v>
      </c>
    </row>
    <row r="57">
      <c r="A57">
        <f>IFERROR(__xludf.DUMMYFUNCTION("""COMPUTED_VALUE"""),587.0)</f>
        <v>587</v>
      </c>
      <c r="C57" t="str">
        <f t="shared" si="1"/>
        <v>587</v>
      </c>
    </row>
    <row r="58">
      <c r="A58">
        <f>IFERROR(__xludf.DUMMYFUNCTION("""COMPUTED_VALUE"""),239.4)</f>
        <v>239.4</v>
      </c>
      <c r="C58" t="str">
        <f t="shared" si="1"/>
        <v>239,4</v>
      </c>
    </row>
    <row r="59">
      <c r="A59">
        <f>IFERROR(__xludf.DUMMYFUNCTION("""COMPUTED_VALUE"""),670.0)</f>
        <v>670</v>
      </c>
      <c r="C59" t="str">
        <f t="shared" si="1"/>
        <v>670</v>
      </c>
    </row>
    <row r="60">
      <c r="A60">
        <f>IFERROR(__xludf.DUMMYFUNCTION("""COMPUTED_VALUE"""),5920.0)</f>
        <v>5920</v>
      </c>
      <c r="C60" t="str">
        <f t="shared" si="1"/>
        <v>5920</v>
      </c>
    </row>
    <row r="61">
      <c r="A61">
        <f>IFERROR(__xludf.DUMMYFUNCTION("""COMPUTED_VALUE"""),5951.68)</f>
        <v>5951.68</v>
      </c>
      <c r="C61" t="str">
        <f t="shared" si="1"/>
        <v>5951,68</v>
      </c>
    </row>
    <row r="62">
      <c r="A62">
        <f>IFERROR(__xludf.DUMMYFUNCTION("""COMPUTED_VALUE"""),442.0)</f>
        <v>442</v>
      </c>
      <c r="C62" t="str">
        <f t="shared" si="1"/>
        <v>442</v>
      </c>
    </row>
    <row r="63">
      <c r="A63">
        <f>IFERROR(__xludf.DUMMYFUNCTION("""COMPUTED_VALUE"""),7446.13)</f>
        <v>7446.13</v>
      </c>
      <c r="C63" t="str">
        <f t="shared" si="1"/>
        <v>7446,13</v>
      </c>
    </row>
  </sheetData>
  <mergeCells count="1">
    <mergeCell ref="A1:H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4.0"/>
    <col customWidth="1" min="2" max="2" width="17.13"/>
  </cols>
  <sheetData>
    <row r="1" ht="205.5" customHeight="1">
      <c r="A1" s="4" t="s">
        <v>69</v>
      </c>
      <c r="C1" s="2"/>
      <c r="D1" s="2"/>
      <c r="E1" s="2"/>
      <c r="F1" s="2"/>
      <c r="G1" s="2"/>
      <c r="H1" s="2"/>
      <c r="I1" s="2"/>
      <c r="J1" s="2"/>
      <c r="K1" s="2"/>
      <c r="L1" s="2"/>
      <c r="M1" s="2"/>
      <c r="N1" s="2"/>
      <c r="O1" s="2"/>
      <c r="P1" s="2"/>
      <c r="Q1" s="2"/>
      <c r="R1" s="2"/>
      <c r="S1" s="2"/>
      <c r="T1" s="2"/>
      <c r="U1" s="2"/>
      <c r="V1" s="2"/>
      <c r="W1" s="2"/>
      <c r="X1" s="2"/>
      <c r="Y1" s="2"/>
      <c r="Z1" s="2"/>
    </row>
    <row r="2">
      <c r="A2" s="5" t="s">
        <v>2</v>
      </c>
      <c r="B2" s="5" t="s">
        <v>3</v>
      </c>
      <c r="C2" s="2"/>
      <c r="D2" s="2"/>
      <c r="E2" s="2"/>
      <c r="F2" s="2"/>
      <c r="G2" s="2"/>
      <c r="H2" s="2"/>
      <c r="I2" s="2"/>
      <c r="J2" s="2"/>
      <c r="K2" s="2"/>
      <c r="L2" s="2"/>
      <c r="M2" s="2"/>
      <c r="N2" s="2"/>
      <c r="O2" s="2"/>
      <c r="P2" s="2"/>
      <c r="Q2" s="2"/>
      <c r="R2" s="2"/>
      <c r="S2" s="2"/>
      <c r="T2" s="2"/>
      <c r="U2" s="2"/>
      <c r="V2" s="2"/>
      <c r="W2" s="2"/>
      <c r="X2" s="2"/>
      <c r="Y2" s="2"/>
      <c r="Z2" s="2"/>
    </row>
    <row r="3">
      <c r="A3" s="2" t="s">
        <v>4</v>
      </c>
      <c r="B3" s="6">
        <v>56.0</v>
      </c>
      <c r="C3" s="6" t="str">
        <f t="shared" ref="C3:C12" si="1">IF(B3 &lt; 1000,"&lt; 1000",IF(AND(B3&gt;1000,B3&lt;5000),"1000-5000",""))</f>
        <v>&lt; 1000</v>
      </c>
      <c r="D3" s="6"/>
      <c r="E3" s="2"/>
      <c r="F3" s="2"/>
      <c r="G3" s="2"/>
      <c r="H3" s="2"/>
      <c r="I3" s="2"/>
      <c r="J3" s="2"/>
      <c r="K3" s="2"/>
      <c r="L3" s="2"/>
      <c r="M3" s="2"/>
      <c r="N3" s="2"/>
      <c r="O3" s="2"/>
      <c r="P3" s="2"/>
      <c r="Q3" s="2"/>
      <c r="R3" s="2"/>
      <c r="S3" s="2"/>
      <c r="T3" s="2"/>
      <c r="U3" s="2"/>
      <c r="V3" s="2"/>
      <c r="W3" s="2"/>
      <c r="X3" s="2"/>
      <c r="Y3" s="2"/>
      <c r="Z3" s="2"/>
    </row>
    <row r="4">
      <c r="A4" s="2" t="s">
        <v>6</v>
      </c>
      <c r="B4" s="6">
        <v>4359.52</v>
      </c>
      <c r="C4" s="6" t="str">
        <f t="shared" si="1"/>
        <v>1000-5000</v>
      </c>
      <c r="D4" s="6"/>
      <c r="E4" s="2"/>
      <c r="F4" s="2"/>
      <c r="G4" s="2"/>
      <c r="H4" s="2"/>
      <c r="I4" s="2"/>
      <c r="J4" s="2"/>
      <c r="K4" s="2"/>
      <c r="L4" s="2"/>
      <c r="M4" s="2"/>
      <c r="N4" s="2"/>
      <c r="O4" s="2"/>
      <c r="P4" s="2"/>
      <c r="Q4" s="2"/>
      <c r="R4" s="2"/>
      <c r="S4" s="2"/>
      <c r="T4" s="2"/>
      <c r="U4" s="2"/>
      <c r="V4" s="2"/>
      <c r="W4" s="2"/>
      <c r="X4" s="2"/>
      <c r="Y4" s="2"/>
      <c r="Z4" s="2"/>
    </row>
    <row r="5">
      <c r="A5" s="2" t="s">
        <v>7</v>
      </c>
      <c r="B5" s="6">
        <v>34.0</v>
      </c>
      <c r="C5" s="6" t="str">
        <f t="shared" si="1"/>
        <v>&lt; 1000</v>
      </c>
      <c r="D5" s="6"/>
      <c r="E5" s="2"/>
      <c r="F5" s="2"/>
      <c r="G5" s="2"/>
      <c r="H5" s="2"/>
      <c r="I5" s="2"/>
      <c r="J5" s="2"/>
      <c r="K5" s="2"/>
      <c r="L5" s="2"/>
      <c r="M5" s="2"/>
      <c r="N5" s="2"/>
      <c r="O5" s="2"/>
      <c r="P5" s="2"/>
      <c r="Q5" s="2"/>
      <c r="R5" s="2"/>
      <c r="S5" s="2"/>
      <c r="T5" s="2"/>
      <c r="U5" s="2"/>
      <c r="V5" s="2"/>
      <c r="W5" s="2"/>
      <c r="X5" s="2"/>
      <c r="Y5" s="2"/>
      <c r="Z5" s="2"/>
    </row>
    <row r="6">
      <c r="A6" s="2" t="s">
        <v>8</v>
      </c>
      <c r="B6" s="6">
        <v>675.0</v>
      </c>
      <c r="C6" s="6" t="str">
        <f t="shared" si="1"/>
        <v>&lt; 1000</v>
      </c>
      <c r="D6" s="6"/>
      <c r="E6" s="2"/>
      <c r="F6" s="2"/>
      <c r="G6" s="2"/>
      <c r="H6" s="2"/>
      <c r="I6" s="2"/>
      <c r="J6" s="2"/>
      <c r="K6" s="2"/>
      <c r="L6" s="2"/>
      <c r="M6" s="2"/>
      <c r="N6" s="2"/>
      <c r="O6" s="2"/>
      <c r="P6" s="2"/>
      <c r="Q6" s="2"/>
      <c r="R6" s="2"/>
      <c r="S6" s="2"/>
      <c r="T6" s="2"/>
      <c r="U6" s="2"/>
      <c r="V6" s="2"/>
      <c r="W6" s="2"/>
      <c r="X6" s="2"/>
      <c r="Y6" s="2"/>
      <c r="Z6" s="2"/>
    </row>
    <row r="7">
      <c r="A7" s="2" t="s">
        <v>9</v>
      </c>
      <c r="B7" s="6">
        <v>400.0</v>
      </c>
      <c r="C7" s="6" t="str">
        <f t="shared" si="1"/>
        <v>&lt; 1000</v>
      </c>
      <c r="D7" s="6"/>
      <c r="E7" s="2"/>
      <c r="F7" s="2"/>
      <c r="G7" s="2"/>
      <c r="H7" s="2"/>
      <c r="I7" s="2"/>
      <c r="J7" s="2"/>
      <c r="K7" s="2"/>
      <c r="L7" s="2"/>
      <c r="M7" s="2"/>
      <c r="N7" s="2"/>
      <c r="O7" s="2"/>
      <c r="P7" s="2"/>
      <c r="Q7" s="2"/>
      <c r="R7" s="2"/>
      <c r="S7" s="2"/>
      <c r="T7" s="2"/>
      <c r="U7" s="2"/>
      <c r="V7" s="2"/>
      <c r="W7" s="2"/>
      <c r="X7" s="2"/>
      <c r="Y7" s="2"/>
      <c r="Z7" s="2"/>
    </row>
    <row r="8">
      <c r="A8" s="2" t="s">
        <v>10</v>
      </c>
      <c r="B8" s="6">
        <v>20632.0</v>
      </c>
      <c r="C8" s="6" t="str">
        <f t="shared" si="1"/>
        <v/>
      </c>
      <c r="D8" s="6"/>
      <c r="E8" s="2"/>
      <c r="F8" s="2"/>
      <c r="G8" s="2"/>
      <c r="H8" s="2"/>
      <c r="I8" s="2"/>
      <c r="J8" s="2"/>
      <c r="K8" s="2"/>
      <c r="L8" s="2"/>
      <c r="M8" s="2"/>
      <c r="N8" s="2"/>
      <c r="O8" s="2"/>
      <c r="P8" s="2"/>
      <c r="Q8" s="2"/>
      <c r="R8" s="2"/>
      <c r="S8" s="2"/>
      <c r="T8" s="2"/>
      <c r="U8" s="2"/>
      <c r="V8" s="2"/>
      <c r="W8" s="2"/>
      <c r="X8" s="2"/>
      <c r="Y8" s="2"/>
      <c r="Z8" s="2"/>
    </row>
    <row r="9">
      <c r="A9" s="2" t="s">
        <v>11</v>
      </c>
      <c r="B9" s="6">
        <v>2791.0</v>
      </c>
      <c r="C9" s="6" t="str">
        <f t="shared" si="1"/>
        <v>1000-5000</v>
      </c>
      <c r="D9" s="6"/>
      <c r="E9" s="2"/>
      <c r="F9" s="2"/>
      <c r="G9" s="2"/>
      <c r="H9" s="2"/>
      <c r="I9" s="2"/>
      <c r="J9" s="2"/>
      <c r="K9" s="2"/>
      <c r="L9" s="2"/>
      <c r="M9" s="2"/>
      <c r="N9" s="2"/>
      <c r="O9" s="2"/>
      <c r="P9" s="2"/>
      <c r="Q9" s="2"/>
      <c r="R9" s="2"/>
      <c r="S9" s="2"/>
      <c r="T9" s="2"/>
      <c r="U9" s="2"/>
      <c r="V9" s="2"/>
      <c r="W9" s="2"/>
      <c r="X9" s="2"/>
      <c r="Y9" s="2"/>
      <c r="Z9" s="2"/>
    </row>
    <row r="10">
      <c r="A10" s="2" t="s">
        <v>12</v>
      </c>
      <c r="B10" s="6">
        <v>631.0</v>
      </c>
      <c r="C10" s="6" t="str">
        <f t="shared" si="1"/>
        <v>&lt; 1000</v>
      </c>
      <c r="D10" s="6"/>
      <c r="E10" s="2"/>
      <c r="F10" s="2"/>
      <c r="G10" s="2"/>
      <c r="H10" s="2"/>
      <c r="I10" s="2"/>
      <c r="J10" s="2"/>
      <c r="K10" s="2"/>
      <c r="L10" s="2"/>
      <c r="M10" s="2"/>
      <c r="N10" s="2"/>
      <c r="O10" s="2"/>
      <c r="P10" s="2"/>
      <c r="Q10" s="2"/>
      <c r="R10" s="2"/>
      <c r="S10" s="2"/>
      <c r="T10" s="2"/>
      <c r="U10" s="2"/>
      <c r="V10" s="2"/>
      <c r="W10" s="2"/>
      <c r="X10" s="2"/>
      <c r="Y10" s="2"/>
      <c r="Z10" s="2"/>
    </row>
    <row r="11">
      <c r="A11" s="2" t="s">
        <v>13</v>
      </c>
      <c r="B11" s="6">
        <v>14561.67</v>
      </c>
      <c r="C11" s="6" t="str">
        <f t="shared" si="1"/>
        <v/>
      </c>
      <c r="D11" s="6"/>
      <c r="E11" s="2"/>
      <c r="F11" s="2"/>
      <c r="G11" s="2"/>
      <c r="H11" s="2"/>
      <c r="I11" s="2"/>
      <c r="J11" s="2"/>
      <c r="K11" s="2"/>
      <c r="L11" s="2"/>
      <c r="M11" s="2"/>
      <c r="N11" s="2"/>
      <c r="O11" s="2"/>
      <c r="P11" s="2"/>
      <c r="Q11" s="2"/>
      <c r="R11" s="2"/>
      <c r="S11" s="2"/>
      <c r="T11" s="2"/>
      <c r="U11" s="2"/>
      <c r="V11" s="2"/>
      <c r="W11" s="2"/>
      <c r="X11" s="2"/>
      <c r="Y11" s="2"/>
      <c r="Z11" s="2"/>
    </row>
    <row r="12">
      <c r="A12" s="2" t="s">
        <v>14</v>
      </c>
      <c r="B12" s="6">
        <v>15042.0</v>
      </c>
      <c r="C12" s="6" t="str">
        <f t="shared" si="1"/>
        <v/>
      </c>
      <c r="D12" s="6"/>
      <c r="E12" s="2"/>
      <c r="F12" s="2"/>
      <c r="G12" s="2"/>
      <c r="H12" s="2"/>
      <c r="I12" s="2"/>
      <c r="J12" s="2"/>
      <c r="K12" s="2"/>
      <c r="L12" s="2"/>
      <c r="M12" s="2"/>
      <c r="N12" s="2"/>
      <c r="O12" s="2"/>
      <c r="P12" s="2"/>
      <c r="Q12" s="2"/>
      <c r="R12" s="2"/>
      <c r="S12" s="2"/>
      <c r="T12" s="2"/>
      <c r="U12" s="2"/>
      <c r="V12" s="2"/>
      <c r="W12" s="2"/>
      <c r="X12" s="2"/>
      <c r="Y12" s="2"/>
      <c r="Z12" s="2"/>
    </row>
    <row r="13">
      <c r="A13" s="2" t="s">
        <v>15</v>
      </c>
      <c r="B13" s="6">
        <v>3888.0</v>
      </c>
      <c r="C13" s="6"/>
      <c r="D13" s="6"/>
      <c r="E13" s="2"/>
      <c r="F13" s="2"/>
      <c r="G13" s="2"/>
      <c r="H13" s="2"/>
      <c r="I13" s="2"/>
      <c r="J13" s="2"/>
      <c r="K13" s="2"/>
      <c r="L13" s="2"/>
      <c r="M13" s="2"/>
      <c r="N13" s="2"/>
      <c r="O13" s="2"/>
      <c r="P13" s="2"/>
      <c r="Q13" s="2"/>
      <c r="R13" s="2"/>
      <c r="S13" s="2"/>
      <c r="T13" s="2"/>
      <c r="U13" s="2"/>
      <c r="V13" s="2"/>
      <c r="W13" s="2"/>
      <c r="X13" s="2"/>
      <c r="Y13" s="2"/>
      <c r="Z13" s="2"/>
    </row>
    <row r="14">
      <c r="A14" s="2" t="s">
        <v>16</v>
      </c>
      <c r="B14" s="6">
        <v>228670.97</v>
      </c>
      <c r="C14" s="6"/>
      <c r="D14" s="6"/>
      <c r="E14" s="2"/>
      <c r="F14" s="2"/>
      <c r="G14" s="2"/>
      <c r="H14" s="2"/>
      <c r="I14" s="2"/>
      <c r="J14" s="2"/>
      <c r="K14" s="2"/>
      <c r="L14" s="2"/>
      <c r="M14" s="2"/>
      <c r="N14" s="2"/>
      <c r="O14" s="2"/>
      <c r="P14" s="2"/>
      <c r="Q14" s="2"/>
      <c r="R14" s="2"/>
      <c r="S14" s="2"/>
      <c r="T14" s="2"/>
      <c r="U14" s="2"/>
      <c r="V14" s="2"/>
      <c r="W14" s="2"/>
      <c r="X14" s="2"/>
      <c r="Y14" s="2"/>
      <c r="Z14" s="2"/>
    </row>
    <row r="15">
      <c r="A15" s="2" t="s">
        <v>17</v>
      </c>
      <c r="B15" s="6">
        <v>124.0</v>
      </c>
      <c r="C15" s="6"/>
      <c r="D15" s="6"/>
      <c r="E15" s="2"/>
      <c r="F15" s="2"/>
      <c r="G15" s="2"/>
      <c r="H15" s="2"/>
      <c r="I15" s="2"/>
      <c r="J15" s="2"/>
      <c r="K15" s="2"/>
      <c r="L15" s="2"/>
      <c r="M15" s="2"/>
      <c r="N15" s="2"/>
      <c r="O15" s="2"/>
      <c r="P15" s="2"/>
      <c r="Q15" s="2"/>
      <c r="R15" s="2"/>
      <c r="S15" s="2"/>
      <c r="T15" s="2"/>
      <c r="U15" s="2"/>
      <c r="V15" s="2"/>
      <c r="W15" s="2"/>
      <c r="X15" s="2"/>
      <c r="Y15" s="2"/>
      <c r="Z15" s="2"/>
    </row>
    <row r="16">
      <c r="A16" s="2" t="s">
        <v>18</v>
      </c>
      <c r="B16" s="6">
        <v>31971.23</v>
      </c>
      <c r="C16" s="6"/>
      <c r="D16" s="6"/>
      <c r="E16" s="2"/>
      <c r="F16" s="2"/>
      <c r="G16" s="2"/>
      <c r="H16" s="2"/>
      <c r="I16" s="2"/>
      <c r="J16" s="2"/>
      <c r="K16" s="2"/>
      <c r="L16" s="2"/>
      <c r="M16" s="2"/>
      <c r="N16" s="2"/>
      <c r="O16" s="2"/>
      <c r="P16" s="2"/>
      <c r="Q16" s="2"/>
      <c r="R16" s="2"/>
      <c r="S16" s="2"/>
      <c r="T16" s="2"/>
      <c r="U16" s="2"/>
      <c r="V16" s="2"/>
      <c r="W16" s="2"/>
      <c r="X16" s="2"/>
      <c r="Y16" s="2"/>
      <c r="Z16" s="2"/>
    </row>
    <row r="17">
      <c r="A17" s="2" t="s">
        <v>19</v>
      </c>
      <c r="B17" s="6">
        <v>74.0</v>
      </c>
      <c r="C17" s="6"/>
      <c r="D17" s="6"/>
      <c r="E17" s="2"/>
      <c r="F17" s="2"/>
      <c r="G17" s="2"/>
      <c r="H17" s="2"/>
      <c r="I17" s="2"/>
      <c r="J17" s="2"/>
      <c r="K17" s="2"/>
      <c r="L17" s="2"/>
      <c r="M17" s="2"/>
      <c r="N17" s="2"/>
      <c r="O17" s="2"/>
      <c r="P17" s="2"/>
      <c r="Q17" s="2"/>
      <c r="R17" s="2"/>
      <c r="S17" s="2"/>
      <c r="T17" s="2"/>
      <c r="U17" s="2"/>
      <c r="V17" s="2"/>
      <c r="W17" s="2"/>
      <c r="X17" s="2"/>
      <c r="Y17" s="2"/>
      <c r="Z17" s="2"/>
    </row>
    <row r="18">
      <c r="A18" s="2" t="s">
        <v>20</v>
      </c>
      <c r="B18" s="6">
        <v>1517.0</v>
      </c>
      <c r="C18" s="6"/>
      <c r="D18" s="6"/>
      <c r="E18" s="2"/>
      <c r="F18" s="2"/>
      <c r="G18" s="2"/>
      <c r="H18" s="2"/>
      <c r="I18" s="2"/>
      <c r="J18" s="2"/>
      <c r="K18" s="2"/>
      <c r="L18" s="2"/>
      <c r="M18" s="2"/>
      <c r="N18" s="2"/>
      <c r="O18" s="2"/>
      <c r="P18" s="2"/>
      <c r="Q18" s="2"/>
      <c r="R18" s="2"/>
      <c r="S18" s="2"/>
      <c r="T18" s="2"/>
      <c r="U18" s="2"/>
      <c r="V18" s="2"/>
      <c r="W18" s="2"/>
      <c r="X18" s="2"/>
      <c r="Y18" s="2"/>
      <c r="Z18" s="2"/>
    </row>
    <row r="19">
      <c r="A19" s="2" t="s">
        <v>21</v>
      </c>
      <c r="B19" s="6">
        <v>4146.0</v>
      </c>
      <c r="C19" s="6"/>
      <c r="D19" s="6"/>
      <c r="E19" s="2"/>
      <c r="F19" s="2"/>
      <c r="G19" s="2"/>
      <c r="H19" s="2"/>
      <c r="I19" s="2"/>
      <c r="J19" s="2"/>
      <c r="K19" s="2"/>
      <c r="L19" s="2"/>
      <c r="M19" s="2"/>
      <c r="N19" s="2"/>
      <c r="O19" s="2"/>
      <c r="P19" s="2"/>
      <c r="Q19" s="2"/>
      <c r="R19" s="2"/>
      <c r="S19" s="2"/>
      <c r="T19" s="2"/>
      <c r="U19" s="2"/>
      <c r="V19" s="2"/>
      <c r="W19" s="2"/>
      <c r="X19" s="2"/>
      <c r="Y19" s="2"/>
      <c r="Z19" s="2"/>
    </row>
    <row r="20">
      <c r="A20" s="2" t="s">
        <v>22</v>
      </c>
      <c r="B20" s="6">
        <v>27.0</v>
      </c>
      <c r="C20" s="6"/>
      <c r="D20" s="6"/>
      <c r="E20" s="2"/>
      <c r="F20" s="2"/>
      <c r="G20" s="2"/>
      <c r="H20" s="2"/>
      <c r="I20" s="2"/>
      <c r="J20" s="2"/>
      <c r="K20" s="2"/>
      <c r="L20" s="2"/>
      <c r="M20" s="2"/>
      <c r="N20" s="2"/>
      <c r="O20" s="2"/>
      <c r="P20" s="2"/>
      <c r="Q20" s="2"/>
      <c r="R20" s="2"/>
      <c r="S20" s="2"/>
      <c r="T20" s="2"/>
      <c r="U20" s="2"/>
      <c r="V20" s="2"/>
      <c r="W20" s="2"/>
      <c r="X20" s="2"/>
      <c r="Y20" s="2"/>
      <c r="Z20" s="2"/>
    </row>
    <row r="21">
      <c r="A21" s="2" t="s">
        <v>23</v>
      </c>
      <c r="B21" s="6">
        <v>12532.0</v>
      </c>
      <c r="C21" s="6"/>
      <c r="D21" s="6"/>
      <c r="E21" s="2"/>
      <c r="F21" s="2"/>
      <c r="G21" s="2"/>
      <c r="H21" s="2"/>
      <c r="I21" s="2"/>
      <c r="J21" s="2"/>
      <c r="K21" s="2"/>
      <c r="L21" s="2"/>
      <c r="M21" s="2"/>
      <c r="N21" s="2"/>
      <c r="O21" s="2"/>
      <c r="P21" s="2"/>
      <c r="Q21" s="2"/>
      <c r="R21" s="2"/>
      <c r="S21" s="2"/>
      <c r="T21" s="2"/>
      <c r="U21" s="2"/>
      <c r="V21" s="2"/>
      <c r="W21" s="2"/>
      <c r="X21" s="2"/>
      <c r="Y21" s="2"/>
      <c r="Z21" s="2"/>
    </row>
    <row r="22">
      <c r="A22" s="2" t="s">
        <v>24</v>
      </c>
      <c r="B22" s="6">
        <v>663.0</v>
      </c>
      <c r="C22" s="6"/>
      <c r="D22" s="6"/>
      <c r="E22" s="2"/>
      <c r="F22" s="2"/>
      <c r="G22" s="2"/>
      <c r="H22" s="2"/>
      <c r="I22" s="2"/>
      <c r="J22" s="2"/>
      <c r="K22" s="2"/>
      <c r="L22" s="2"/>
      <c r="M22" s="2"/>
      <c r="N22" s="2"/>
      <c r="O22" s="2"/>
      <c r="P22" s="2"/>
      <c r="Q22" s="2"/>
      <c r="R22" s="2"/>
      <c r="S22" s="2"/>
      <c r="T22" s="2"/>
      <c r="U22" s="2"/>
      <c r="V22" s="2"/>
      <c r="W22" s="2"/>
      <c r="X22" s="2"/>
      <c r="Y22" s="2"/>
      <c r="Z22" s="2"/>
    </row>
    <row r="23">
      <c r="A23" s="2" t="s">
        <v>25</v>
      </c>
      <c r="B23" s="6">
        <v>214.0</v>
      </c>
      <c r="C23" s="6"/>
      <c r="D23" s="6"/>
      <c r="E23" s="2"/>
      <c r="F23" s="2"/>
      <c r="G23" s="2"/>
      <c r="H23" s="2"/>
      <c r="I23" s="2"/>
      <c r="J23" s="2"/>
      <c r="K23" s="2"/>
      <c r="L23" s="2"/>
      <c r="M23" s="2"/>
      <c r="N23" s="2"/>
      <c r="O23" s="2"/>
      <c r="P23" s="2"/>
      <c r="Q23" s="2"/>
      <c r="R23" s="2"/>
      <c r="S23" s="2"/>
      <c r="T23" s="2"/>
      <c r="U23" s="2"/>
      <c r="V23" s="2"/>
      <c r="W23" s="2"/>
      <c r="X23" s="2"/>
      <c r="Y23" s="2"/>
      <c r="Z23" s="2"/>
    </row>
    <row r="24">
      <c r="A24" s="2" t="s">
        <v>26</v>
      </c>
      <c r="B24" s="6">
        <v>24.0</v>
      </c>
      <c r="C24" s="6"/>
      <c r="D24" s="6"/>
      <c r="E24" s="2"/>
      <c r="F24" s="2"/>
      <c r="G24" s="2"/>
      <c r="H24" s="2"/>
      <c r="I24" s="2"/>
      <c r="J24" s="2"/>
      <c r="K24" s="2"/>
      <c r="L24" s="2"/>
      <c r="M24" s="2"/>
      <c r="N24" s="2"/>
      <c r="O24" s="2"/>
      <c r="P24" s="2"/>
      <c r="Q24" s="2"/>
      <c r="R24" s="2"/>
      <c r="S24" s="2"/>
      <c r="T24" s="2"/>
      <c r="U24" s="2"/>
      <c r="V24" s="2"/>
      <c r="W24" s="2"/>
      <c r="X24" s="2"/>
      <c r="Y24" s="2"/>
      <c r="Z24" s="2"/>
    </row>
    <row r="25">
      <c r="A25" s="2" t="s">
        <v>27</v>
      </c>
      <c r="B25" s="6">
        <v>339.0</v>
      </c>
      <c r="C25" s="6"/>
      <c r="D25" s="6"/>
      <c r="E25" s="2"/>
      <c r="F25" s="2"/>
      <c r="G25" s="2"/>
      <c r="H25" s="2"/>
      <c r="I25" s="2"/>
      <c r="J25" s="2"/>
      <c r="K25" s="2"/>
      <c r="L25" s="2"/>
      <c r="M25" s="2"/>
      <c r="N25" s="2"/>
      <c r="O25" s="2"/>
      <c r="P25" s="2"/>
      <c r="Q25" s="2"/>
      <c r="R25" s="2"/>
      <c r="S25" s="2"/>
      <c r="T25" s="2"/>
      <c r="U25" s="2"/>
      <c r="V25" s="2"/>
      <c r="W25" s="2"/>
      <c r="X25" s="2"/>
      <c r="Y25" s="2"/>
      <c r="Z25" s="2"/>
    </row>
    <row r="26">
      <c r="A26" s="2" t="s">
        <v>28</v>
      </c>
      <c r="B26" s="6">
        <v>200.0</v>
      </c>
      <c r="C26" s="6"/>
      <c r="D26" s="6"/>
      <c r="E26" s="2"/>
      <c r="F26" s="2"/>
      <c r="G26" s="2"/>
      <c r="H26" s="2"/>
      <c r="I26" s="2"/>
      <c r="J26" s="2"/>
      <c r="K26" s="2"/>
      <c r="L26" s="2"/>
      <c r="M26" s="2"/>
      <c r="N26" s="2"/>
      <c r="O26" s="2"/>
      <c r="P26" s="2"/>
      <c r="Q26" s="2"/>
      <c r="R26" s="2"/>
      <c r="S26" s="2"/>
      <c r="T26" s="2"/>
      <c r="U26" s="2"/>
      <c r="V26" s="2"/>
      <c r="W26" s="2"/>
      <c r="X26" s="2"/>
      <c r="Y26" s="2"/>
      <c r="Z26" s="2"/>
    </row>
    <row r="27">
      <c r="A27" s="2" t="s">
        <v>29</v>
      </c>
      <c r="B27" s="6">
        <v>185.1</v>
      </c>
      <c r="C27" s="6"/>
      <c r="D27" s="6"/>
      <c r="E27" s="2"/>
      <c r="F27" s="2"/>
      <c r="G27" s="2"/>
      <c r="H27" s="2"/>
      <c r="I27" s="2"/>
      <c r="J27" s="2"/>
      <c r="K27" s="2"/>
      <c r="L27" s="2"/>
      <c r="M27" s="2"/>
      <c r="N27" s="2"/>
      <c r="O27" s="2"/>
      <c r="P27" s="2"/>
      <c r="Q27" s="2"/>
      <c r="R27" s="2"/>
      <c r="S27" s="2"/>
      <c r="T27" s="2"/>
      <c r="U27" s="2"/>
      <c r="V27" s="2"/>
      <c r="W27" s="2"/>
      <c r="X27" s="2"/>
      <c r="Y27" s="2"/>
      <c r="Z27" s="2"/>
    </row>
    <row r="28">
      <c r="A28" s="2" t="s">
        <v>30</v>
      </c>
      <c r="B28" s="6">
        <v>56.0</v>
      </c>
      <c r="C28" s="6"/>
      <c r="D28" s="6"/>
      <c r="E28" s="2"/>
      <c r="F28" s="2"/>
      <c r="G28" s="2"/>
      <c r="H28" s="2"/>
      <c r="I28" s="2"/>
      <c r="J28" s="2"/>
      <c r="K28" s="2"/>
      <c r="L28" s="2"/>
      <c r="M28" s="2"/>
      <c r="N28" s="2"/>
      <c r="O28" s="2"/>
      <c r="P28" s="2"/>
      <c r="Q28" s="2"/>
      <c r="R28" s="2"/>
      <c r="S28" s="2"/>
      <c r="T28" s="2"/>
      <c r="U28" s="2"/>
      <c r="V28" s="2"/>
      <c r="W28" s="2"/>
      <c r="X28" s="2"/>
      <c r="Y28" s="2"/>
      <c r="Z28" s="2"/>
    </row>
    <row r="29">
      <c r="A29" s="2" t="s">
        <v>31</v>
      </c>
      <c r="B29" s="6">
        <v>796.05</v>
      </c>
      <c r="C29" s="6"/>
      <c r="D29" s="6"/>
      <c r="E29" s="2"/>
      <c r="F29" s="2"/>
      <c r="G29" s="2"/>
      <c r="H29" s="2"/>
      <c r="I29" s="2"/>
      <c r="J29" s="2"/>
      <c r="K29" s="2"/>
      <c r="L29" s="2"/>
      <c r="M29" s="2"/>
      <c r="N29" s="2"/>
      <c r="O29" s="2"/>
      <c r="P29" s="2"/>
      <c r="Q29" s="2"/>
      <c r="R29" s="2"/>
      <c r="S29" s="2"/>
      <c r="T29" s="2"/>
      <c r="U29" s="2"/>
      <c r="V29" s="2"/>
      <c r="W29" s="2"/>
      <c r="X29" s="2"/>
      <c r="Y29" s="2"/>
      <c r="Z29" s="2"/>
    </row>
    <row r="30">
      <c r="A30" s="2" t="s">
        <v>32</v>
      </c>
      <c r="B30" s="6">
        <v>3848.86</v>
      </c>
      <c r="C30" s="6"/>
      <c r="D30" s="6"/>
      <c r="E30" s="2"/>
      <c r="F30" s="2"/>
      <c r="G30" s="2"/>
      <c r="H30" s="2"/>
      <c r="I30" s="2"/>
      <c r="J30" s="2"/>
      <c r="K30" s="2"/>
      <c r="L30" s="2"/>
      <c r="M30" s="2"/>
      <c r="N30" s="2"/>
      <c r="O30" s="2"/>
      <c r="P30" s="2"/>
      <c r="Q30" s="2"/>
      <c r="R30" s="2"/>
      <c r="S30" s="2"/>
      <c r="T30" s="2"/>
      <c r="U30" s="2"/>
      <c r="V30" s="2"/>
      <c r="W30" s="2"/>
      <c r="X30" s="2"/>
      <c r="Y30" s="2"/>
      <c r="Z30" s="2"/>
    </row>
    <row r="31">
      <c r="A31" s="2" t="s">
        <v>33</v>
      </c>
      <c r="B31" s="6">
        <v>1478.0</v>
      </c>
      <c r="C31" s="6"/>
      <c r="D31" s="6"/>
      <c r="E31" s="2"/>
      <c r="F31" s="2"/>
      <c r="G31" s="2"/>
      <c r="H31" s="2"/>
      <c r="I31" s="2"/>
      <c r="J31" s="2"/>
      <c r="K31" s="2"/>
      <c r="L31" s="2"/>
      <c r="M31" s="2"/>
      <c r="N31" s="2"/>
      <c r="O31" s="2"/>
      <c r="P31" s="2"/>
      <c r="Q31" s="2"/>
      <c r="R31" s="2"/>
      <c r="S31" s="2"/>
      <c r="T31" s="2"/>
      <c r="U31" s="2"/>
      <c r="V31" s="2"/>
      <c r="W31" s="2"/>
      <c r="X31" s="2"/>
      <c r="Y31" s="2"/>
      <c r="Z31" s="2"/>
    </row>
    <row r="32">
      <c r="A32" s="2" t="s">
        <v>34</v>
      </c>
      <c r="B32" s="6">
        <v>5391.0</v>
      </c>
      <c r="C32" s="6"/>
      <c r="D32" s="6"/>
      <c r="E32" s="2"/>
      <c r="F32" s="2"/>
      <c r="G32" s="2"/>
      <c r="H32" s="2"/>
      <c r="I32" s="2"/>
      <c r="J32" s="2"/>
      <c r="K32" s="2"/>
      <c r="L32" s="2"/>
      <c r="M32" s="2"/>
      <c r="N32" s="2"/>
      <c r="O32" s="2"/>
      <c r="P32" s="2"/>
      <c r="Q32" s="2"/>
      <c r="R32" s="2"/>
      <c r="S32" s="2"/>
      <c r="T32" s="2"/>
      <c r="U32" s="2"/>
      <c r="V32" s="2"/>
      <c r="W32" s="2"/>
      <c r="X32" s="2"/>
      <c r="Y32" s="2"/>
      <c r="Z32" s="2"/>
    </row>
    <row r="33">
      <c r="A33" s="2" t="s">
        <v>35</v>
      </c>
      <c r="B33" s="6">
        <v>13988.0</v>
      </c>
      <c r="C33" s="6"/>
      <c r="D33" s="6"/>
      <c r="E33" s="2"/>
      <c r="F33" s="2"/>
      <c r="G33" s="2"/>
      <c r="H33" s="2"/>
      <c r="I33" s="2"/>
      <c r="J33" s="2"/>
      <c r="K33" s="2"/>
      <c r="L33" s="2"/>
      <c r="M33" s="2"/>
      <c r="N33" s="2"/>
      <c r="O33" s="2"/>
      <c r="P33" s="2"/>
      <c r="Q33" s="2"/>
      <c r="R33" s="2"/>
      <c r="S33" s="2"/>
      <c r="T33" s="2"/>
      <c r="U33" s="2"/>
      <c r="V33" s="2"/>
      <c r="W33" s="2"/>
      <c r="X33" s="2"/>
      <c r="Y33" s="2"/>
      <c r="Z33" s="2"/>
    </row>
    <row r="34">
      <c r="A34" s="2" t="s">
        <v>36</v>
      </c>
      <c r="B34" s="6">
        <v>4305.18</v>
      </c>
      <c r="C34" s="6"/>
      <c r="D34" s="6"/>
      <c r="E34" s="2"/>
      <c r="F34" s="2"/>
      <c r="G34" s="2"/>
      <c r="H34" s="2"/>
      <c r="I34" s="2"/>
      <c r="J34" s="2"/>
      <c r="K34" s="2"/>
      <c r="L34" s="2"/>
      <c r="M34" s="2"/>
      <c r="N34" s="2"/>
      <c r="O34" s="2"/>
      <c r="P34" s="2"/>
      <c r="Q34" s="2"/>
      <c r="R34" s="2"/>
      <c r="S34" s="2"/>
      <c r="T34" s="2"/>
      <c r="U34" s="2"/>
      <c r="V34" s="2"/>
      <c r="W34" s="2"/>
      <c r="X34" s="2"/>
      <c r="Y34" s="2"/>
      <c r="Z34" s="2"/>
    </row>
    <row r="35">
      <c r="A35" s="2" t="s">
        <v>37</v>
      </c>
      <c r="B35" s="6">
        <v>564.0</v>
      </c>
      <c r="C35" s="6"/>
      <c r="D35" s="6"/>
      <c r="E35" s="2"/>
      <c r="F35" s="2"/>
      <c r="G35" s="2"/>
      <c r="H35" s="2"/>
      <c r="I35" s="2"/>
      <c r="J35" s="2"/>
      <c r="K35" s="2"/>
      <c r="L35" s="2"/>
      <c r="M35" s="2"/>
      <c r="N35" s="2"/>
      <c r="O35" s="2"/>
      <c r="P35" s="2"/>
      <c r="Q35" s="2"/>
      <c r="R35" s="2"/>
      <c r="S35" s="2"/>
      <c r="T35" s="2"/>
      <c r="U35" s="2"/>
      <c r="V35" s="2"/>
      <c r="W35" s="2"/>
      <c r="X35" s="2"/>
      <c r="Y35" s="2"/>
      <c r="Z35" s="2"/>
    </row>
    <row r="36">
      <c r="A36" s="2" t="s">
        <v>38</v>
      </c>
      <c r="B36" s="6">
        <v>12605.0</v>
      </c>
      <c r="C36" s="6"/>
      <c r="D36" s="6"/>
      <c r="E36" s="2"/>
      <c r="F36" s="2"/>
      <c r="G36" s="2"/>
      <c r="H36" s="2"/>
      <c r="I36" s="2"/>
      <c r="J36" s="2"/>
      <c r="K36" s="2"/>
      <c r="L36" s="2"/>
      <c r="M36" s="2"/>
      <c r="N36" s="2"/>
      <c r="O36" s="2"/>
      <c r="P36" s="2"/>
      <c r="Q36" s="2"/>
      <c r="R36" s="2"/>
      <c r="S36" s="2"/>
      <c r="T36" s="2"/>
      <c r="U36" s="2"/>
      <c r="V36" s="2"/>
      <c r="W36" s="2"/>
      <c r="X36" s="2"/>
      <c r="Y36" s="2"/>
      <c r="Z36" s="2"/>
    </row>
    <row r="37">
      <c r="A37" s="2" t="s">
        <v>39</v>
      </c>
      <c r="B37" s="6">
        <v>332.0</v>
      </c>
      <c r="C37" s="6"/>
      <c r="D37" s="6"/>
      <c r="E37" s="2"/>
      <c r="F37" s="2"/>
      <c r="G37" s="2"/>
      <c r="H37" s="2"/>
      <c r="I37" s="2"/>
      <c r="J37" s="2"/>
      <c r="K37" s="2"/>
      <c r="L37" s="2"/>
      <c r="M37" s="2"/>
      <c r="N37" s="2"/>
      <c r="O37" s="2"/>
      <c r="P37" s="2"/>
      <c r="Q37" s="2"/>
      <c r="R37" s="2"/>
      <c r="S37" s="2"/>
      <c r="T37" s="2"/>
      <c r="U37" s="2"/>
      <c r="V37" s="2"/>
      <c r="W37" s="2"/>
      <c r="X37" s="2"/>
      <c r="Y37" s="2"/>
      <c r="Z37" s="2"/>
    </row>
    <row r="38">
      <c r="A38" s="2" t="s">
        <v>40</v>
      </c>
      <c r="B38" s="6">
        <v>299.0</v>
      </c>
      <c r="C38" s="6"/>
      <c r="D38" s="6"/>
      <c r="E38" s="2"/>
      <c r="F38" s="2"/>
      <c r="G38" s="2"/>
      <c r="H38" s="2"/>
      <c r="I38" s="2"/>
      <c r="J38" s="2"/>
      <c r="K38" s="2"/>
      <c r="L38" s="2"/>
      <c r="M38" s="2"/>
      <c r="N38" s="2"/>
      <c r="O38" s="2"/>
      <c r="P38" s="2"/>
      <c r="Q38" s="2"/>
      <c r="R38" s="2"/>
      <c r="S38" s="2"/>
      <c r="T38" s="2"/>
      <c r="U38" s="2"/>
      <c r="V38" s="2"/>
      <c r="W38" s="2"/>
      <c r="X38" s="2"/>
      <c r="Y38" s="2"/>
      <c r="Z38" s="2"/>
    </row>
    <row r="39">
      <c r="A39" s="2" t="s">
        <v>41</v>
      </c>
      <c r="B39" s="6">
        <v>118.67</v>
      </c>
      <c r="C39" s="6"/>
      <c r="D39" s="6"/>
      <c r="E39" s="2"/>
      <c r="F39" s="2"/>
      <c r="G39" s="2"/>
      <c r="H39" s="2"/>
      <c r="I39" s="2"/>
      <c r="J39" s="2"/>
      <c r="K39" s="2"/>
      <c r="L39" s="2"/>
      <c r="M39" s="2"/>
      <c r="N39" s="2"/>
      <c r="O39" s="2"/>
      <c r="P39" s="2"/>
      <c r="Q39" s="2"/>
      <c r="R39" s="2"/>
      <c r="S39" s="2"/>
      <c r="T39" s="2"/>
      <c r="U39" s="2"/>
      <c r="V39" s="2"/>
      <c r="W39" s="2"/>
      <c r="X39" s="2"/>
      <c r="Y39" s="2"/>
      <c r="Z39" s="2"/>
    </row>
    <row r="40">
      <c r="A40" s="2" t="s">
        <v>42</v>
      </c>
      <c r="B40" s="6">
        <v>106.0</v>
      </c>
      <c r="C40" s="6"/>
      <c r="D40" s="6"/>
      <c r="E40" s="2"/>
      <c r="F40" s="2"/>
      <c r="G40" s="2"/>
      <c r="H40" s="2"/>
      <c r="I40" s="2"/>
      <c r="J40" s="2"/>
      <c r="K40" s="2"/>
      <c r="L40" s="2"/>
      <c r="M40" s="2"/>
      <c r="N40" s="2"/>
      <c r="O40" s="2"/>
      <c r="P40" s="2"/>
      <c r="Q40" s="2"/>
      <c r="R40" s="2"/>
      <c r="S40" s="2"/>
      <c r="T40" s="2"/>
      <c r="U40" s="2"/>
      <c r="V40" s="2"/>
      <c r="W40" s="2"/>
      <c r="X40" s="2"/>
      <c r="Y40" s="2"/>
      <c r="Z40" s="2"/>
    </row>
    <row r="41">
      <c r="A41" s="2" t="s">
        <v>43</v>
      </c>
      <c r="B41" s="6">
        <v>340.0</v>
      </c>
      <c r="C41" s="6"/>
      <c r="D41" s="6"/>
      <c r="E41" s="2"/>
      <c r="F41" s="2"/>
      <c r="G41" s="2"/>
      <c r="H41" s="2"/>
      <c r="I41" s="2"/>
      <c r="J41" s="2"/>
      <c r="K41" s="2"/>
      <c r="L41" s="2"/>
      <c r="M41" s="2"/>
      <c r="N41" s="2"/>
      <c r="O41" s="2"/>
      <c r="P41" s="2"/>
      <c r="Q41" s="2"/>
      <c r="R41" s="2"/>
      <c r="S41" s="2"/>
      <c r="T41" s="2"/>
      <c r="U41" s="2"/>
      <c r="V41" s="2"/>
      <c r="W41" s="2"/>
      <c r="X41" s="2"/>
      <c r="Y41" s="2"/>
      <c r="Z41" s="2"/>
    </row>
    <row r="42">
      <c r="A42" s="2" t="s">
        <v>44</v>
      </c>
      <c r="B42" s="6">
        <v>102.0</v>
      </c>
      <c r="C42" s="6"/>
      <c r="D42" s="6"/>
      <c r="E42" s="2"/>
      <c r="F42" s="2"/>
      <c r="G42" s="2"/>
      <c r="H42" s="2"/>
      <c r="I42" s="2"/>
      <c r="J42" s="2"/>
      <c r="K42" s="2"/>
      <c r="L42" s="2"/>
      <c r="M42" s="2"/>
      <c r="N42" s="2"/>
      <c r="O42" s="2"/>
      <c r="P42" s="2"/>
      <c r="Q42" s="2"/>
      <c r="R42" s="2"/>
      <c r="S42" s="2"/>
      <c r="T42" s="2"/>
      <c r="U42" s="2"/>
      <c r="V42" s="2"/>
      <c r="W42" s="2"/>
      <c r="X42" s="2"/>
      <c r="Y42" s="2"/>
      <c r="Z42" s="2"/>
    </row>
    <row r="43">
      <c r="A43" s="2" t="s">
        <v>45</v>
      </c>
      <c r="B43" s="6">
        <v>178.0</v>
      </c>
      <c r="C43" s="6"/>
      <c r="D43" s="6"/>
      <c r="E43" s="2"/>
      <c r="F43" s="2"/>
      <c r="G43" s="2"/>
      <c r="H43" s="2"/>
      <c r="I43" s="2"/>
      <c r="J43" s="2"/>
      <c r="K43" s="2"/>
      <c r="L43" s="2"/>
      <c r="M43" s="2"/>
      <c r="N43" s="2"/>
      <c r="O43" s="2"/>
      <c r="P43" s="2"/>
      <c r="Q43" s="2"/>
      <c r="R43" s="2"/>
      <c r="S43" s="2"/>
      <c r="T43" s="2"/>
      <c r="U43" s="2"/>
      <c r="V43" s="2"/>
      <c r="W43" s="2"/>
      <c r="X43" s="2"/>
      <c r="Y43" s="2"/>
      <c r="Z43" s="2"/>
    </row>
    <row r="44">
      <c r="A44" s="2" t="s">
        <v>46</v>
      </c>
      <c r="B44" s="6">
        <v>170.0</v>
      </c>
      <c r="C44" s="6"/>
      <c r="D44" s="6"/>
      <c r="E44" s="2"/>
      <c r="F44" s="2"/>
      <c r="G44" s="2"/>
      <c r="H44" s="2"/>
      <c r="I44" s="2"/>
      <c r="J44" s="2"/>
      <c r="K44" s="2"/>
      <c r="L44" s="2"/>
      <c r="M44" s="2"/>
      <c r="N44" s="2"/>
      <c r="O44" s="2"/>
      <c r="P44" s="2"/>
      <c r="Q44" s="2"/>
      <c r="R44" s="2"/>
      <c r="S44" s="2"/>
      <c r="T44" s="2"/>
      <c r="U44" s="2"/>
      <c r="V44" s="2"/>
      <c r="W44" s="2"/>
      <c r="X44" s="2"/>
      <c r="Y44" s="2"/>
      <c r="Z44" s="2"/>
    </row>
    <row r="45">
      <c r="A45" s="2" t="s">
        <v>47</v>
      </c>
      <c r="B45" s="6">
        <v>356.0</v>
      </c>
      <c r="C45" s="6"/>
      <c r="D45" s="6"/>
      <c r="E45" s="2"/>
      <c r="F45" s="2"/>
      <c r="G45" s="2"/>
      <c r="H45" s="2"/>
      <c r="I45" s="2"/>
      <c r="J45" s="2"/>
      <c r="K45" s="2"/>
      <c r="L45" s="2"/>
      <c r="M45" s="2"/>
      <c r="N45" s="2"/>
      <c r="O45" s="2"/>
      <c r="P45" s="2"/>
      <c r="Q45" s="2"/>
      <c r="R45" s="2"/>
      <c r="S45" s="2"/>
      <c r="T45" s="2"/>
      <c r="U45" s="2"/>
      <c r="V45" s="2"/>
      <c r="W45" s="2"/>
      <c r="X45" s="2"/>
      <c r="Y45" s="2"/>
      <c r="Z45" s="2"/>
    </row>
    <row r="46">
      <c r="A46" s="2" t="s">
        <v>48</v>
      </c>
      <c r="B46" s="6">
        <v>34.0</v>
      </c>
      <c r="C46" s="6"/>
      <c r="D46" s="6"/>
      <c r="E46" s="2"/>
      <c r="F46" s="2"/>
      <c r="G46" s="2"/>
      <c r="H46" s="2"/>
      <c r="I46" s="2"/>
      <c r="J46" s="2"/>
      <c r="K46" s="2"/>
      <c r="L46" s="2"/>
      <c r="M46" s="2"/>
      <c r="N46" s="2"/>
      <c r="O46" s="2"/>
      <c r="P46" s="2"/>
      <c r="Q46" s="2"/>
      <c r="R46" s="2"/>
      <c r="S46" s="2"/>
      <c r="T46" s="2"/>
      <c r="U46" s="2"/>
      <c r="V46" s="2"/>
      <c r="W46" s="2"/>
      <c r="X46" s="2"/>
      <c r="Y46" s="2"/>
      <c r="Z46" s="2"/>
    </row>
    <row r="47">
      <c r="A47" s="2" t="s">
        <v>49</v>
      </c>
      <c r="B47" s="6">
        <v>621.0</v>
      </c>
      <c r="C47" s="6"/>
      <c r="D47" s="6"/>
      <c r="E47" s="2"/>
      <c r="F47" s="2"/>
      <c r="G47" s="2"/>
      <c r="H47" s="2"/>
      <c r="I47" s="2"/>
      <c r="J47" s="2"/>
      <c r="K47" s="2"/>
      <c r="L47" s="2"/>
      <c r="M47" s="2"/>
      <c r="N47" s="2"/>
      <c r="O47" s="2"/>
      <c r="P47" s="2"/>
      <c r="Q47" s="2"/>
      <c r="R47" s="2"/>
      <c r="S47" s="2"/>
      <c r="T47" s="2"/>
      <c r="U47" s="2"/>
      <c r="V47" s="2"/>
      <c r="W47" s="2"/>
      <c r="X47" s="2"/>
      <c r="Y47" s="2"/>
      <c r="Z47" s="2"/>
    </row>
    <row r="48">
      <c r="A48" s="2" t="s">
        <v>50</v>
      </c>
      <c r="B48" s="6">
        <v>4482.14</v>
      </c>
      <c r="C48" s="6"/>
      <c r="D48" s="6"/>
      <c r="E48" s="2"/>
      <c r="F48" s="2"/>
      <c r="G48" s="2"/>
      <c r="H48" s="2"/>
      <c r="I48" s="2"/>
      <c r="J48" s="2"/>
      <c r="K48" s="2"/>
      <c r="L48" s="2"/>
      <c r="M48" s="2"/>
      <c r="N48" s="2"/>
      <c r="O48" s="2"/>
      <c r="P48" s="2"/>
      <c r="Q48" s="2"/>
      <c r="R48" s="2"/>
      <c r="S48" s="2"/>
      <c r="T48" s="2"/>
      <c r="U48" s="2"/>
      <c r="V48" s="2"/>
      <c r="W48" s="2"/>
      <c r="X48" s="2"/>
      <c r="Y48" s="2"/>
      <c r="Z48" s="2"/>
    </row>
    <row r="49">
      <c r="A49" s="2" t="s">
        <v>51</v>
      </c>
      <c r="B49" s="6">
        <v>265.0</v>
      </c>
      <c r="C49" s="6"/>
      <c r="D49" s="6"/>
      <c r="E49" s="2"/>
      <c r="F49" s="2"/>
      <c r="G49" s="2"/>
      <c r="H49" s="2"/>
      <c r="I49" s="2"/>
      <c r="J49" s="2"/>
      <c r="K49" s="2"/>
      <c r="L49" s="2"/>
      <c r="M49" s="2"/>
      <c r="N49" s="2"/>
      <c r="O49" s="2"/>
      <c r="P49" s="2"/>
      <c r="Q49" s="2"/>
      <c r="R49" s="2"/>
      <c r="S49" s="2"/>
      <c r="T49" s="2"/>
      <c r="U49" s="2"/>
      <c r="V49" s="2"/>
      <c r="W49" s="2"/>
      <c r="X49" s="2"/>
      <c r="Y49" s="2"/>
      <c r="Z49" s="2"/>
    </row>
    <row r="50">
      <c r="A50" s="2" t="s">
        <v>52</v>
      </c>
      <c r="B50" s="6">
        <v>7722.0</v>
      </c>
      <c r="C50" s="6"/>
      <c r="D50" s="6"/>
      <c r="E50" s="2"/>
      <c r="F50" s="2"/>
      <c r="G50" s="2"/>
      <c r="H50" s="2"/>
      <c r="I50" s="2"/>
      <c r="J50" s="2"/>
      <c r="K50" s="2"/>
      <c r="L50" s="2"/>
      <c r="M50" s="2"/>
      <c r="N50" s="2"/>
      <c r="O50" s="2"/>
      <c r="P50" s="2"/>
      <c r="Q50" s="2"/>
      <c r="R50" s="2"/>
      <c r="S50" s="2"/>
      <c r="T50" s="2"/>
      <c r="U50" s="2"/>
      <c r="V50" s="2"/>
      <c r="W50" s="2"/>
      <c r="X50" s="2"/>
      <c r="Y50" s="2"/>
      <c r="Z50" s="2"/>
    </row>
    <row r="51">
      <c r="A51" s="2" t="s">
        <v>53</v>
      </c>
      <c r="B51" s="6">
        <v>1432.26</v>
      </c>
      <c r="C51" s="6"/>
      <c r="D51" s="6"/>
      <c r="E51" s="2"/>
      <c r="F51" s="2"/>
      <c r="G51" s="2"/>
      <c r="H51" s="2"/>
      <c r="I51" s="2"/>
      <c r="J51" s="2"/>
      <c r="K51" s="2"/>
      <c r="L51" s="2"/>
      <c r="M51" s="2"/>
      <c r="N51" s="2"/>
      <c r="O51" s="2"/>
      <c r="P51" s="2"/>
      <c r="Q51" s="2"/>
      <c r="R51" s="2"/>
      <c r="S51" s="2"/>
      <c r="T51" s="2"/>
      <c r="U51" s="2"/>
      <c r="V51" s="2"/>
      <c r="W51" s="2"/>
      <c r="X51" s="2"/>
      <c r="Y51" s="2"/>
      <c r="Z51" s="2"/>
    </row>
    <row r="52">
      <c r="A52" s="2" t="s">
        <v>54</v>
      </c>
      <c r="B52" s="6">
        <v>17008.05</v>
      </c>
      <c r="C52" s="6"/>
      <c r="D52" s="6"/>
      <c r="E52" s="2"/>
      <c r="F52" s="2"/>
      <c r="G52" s="2"/>
      <c r="H52" s="2"/>
      <c r="I52" s="2"/>
      <c r="J52" s="2"/>
      <c r="K52" s="2"/>
      <c r="L52" s="2"/>
      <c r="M52" s="2"/>
      <c r="N52" s="2"/>
      <c r="O52" s="2"/>
      <c r="P52" s="2"/>
      <c r="Q52" s="2"/>
      <c r="R52" s="2"/>
      <c r="S52" s="2"/>
      <c r="T52" s="2"/>
      <c r="U52" s="2"/>
      <c r="V52" s="2"/>
      <c r="W52" s="2"/>
      <c r="X52" s="2"/>
      <c r="Y52" s="2"/>
      <c r="Z52" s="2"/>
    </row>
    <row r="53">
      <c r="A53" s="2" t="s">
        <v>55</v>
      </c>
      <c r="B53" s="6">
        <v>72.0</v>
      </c>
      <c r="C53" s="6"/>
      <c r="D53" s="6"/>
      <c r="E53" s="2"/>
      <c r="F53" s="2"/>
      <c r="G53" s="2"/>
      <c r="H53" s="2"/>
      <c r="I53" s="2"/>
      <c r="J53" s="2"/>
      <c r="K53" s="2"/>
      <c r="L53" s="2"/>
      <c r="M53" s="2"/>
      <c r="N53" s="2"/>
      <c r="O53" s="2"/>
      <c r="P53" s="2"/>
      <c r="Q53" s="2"/>
      <c r="R53" s="2"/>
      <c r="S53" s="2"/>
      <c r="T53" s="2"/>
      <c r="U53" s="2"/>
      <c r="V53" s="2"/>
      <c r="W53" s="2"/>
      <c r="X53" s="2"/>
      <c r="Y53" s="2"/>
      <c r="Z53" s="2"/>
    </row>
    <row r="54">
      <c r="A54" s="2" t="s">
        <v>56</v>
      </c>
      <c r="B54" s="6">
        <v>5715.0</v>
      </c>
      <c r="C54" s="6"/>
      <c r="D54" s="6"/>
      <c r="E54" s="2"/>
      <c r="F54" s="2"/>
      <c r="G54" s="2"/>
      <c r="H54" s="2"/>
      <c r="I54" s="2"/>
      <c r="J54" s="2"/>
      <c r="K54" s="2"/>
      <c r="L54" s="2"/>
      <c r="M54" s="2"/>
      <c r="N54" s="2"/>
      <c r="O54" s="2"/>
      <c r="P54" s="2"/>
      <c r="Q54" s="2"/>
      <c r="R54" s="2"/>
      <c r="S54" s="2"/>
      <c r="T54" s="2"/>
      <c r="U54" s="2"/>
      <c r="V54" s="2"/>
      <c r="W54" s="2"/>
      <c r="X54" s="2"/>
      <c r="Y54" s="2"/>
      <c r="Z54" s="2"/>
    </row>
    <row r="55">
      <c r="A55" s="2" t="s">
        <v>57</v>
      </c>
      <c r="B55" s="6">
        <v>178.0</v>
      </c>
      <c r="C55" s="6"/>
      <c r="D55" s="6"/>
      <c r="E55" s="2"/>
      <c r="F55" s="2"/>
      <c r="G55" s="2"/>
      <c r="H55" s="2"/>
      <c r="I55" s="2"/>
      <c r="J55" s="2"/>
      <c r="K55" s="2"/>
      <c r="L55" s="2"/>
      <c r="M55" s="2"/>
      <c r="N55" s="2"/>
      <c r="O55" s="2"/>
      <c r="P55" s="2"/>
      <c r="Q55" s="2"/>
      <c r="R55" s="2"/>
      <c r="S55" s="2"/>
      <c r="T55" s="2"/>
      <c r="U55" s="2"/>
      <c r="V55" s="2"/>
      <c r="W55" s="2"/>
      <c r="X55" s="2"/>
      <c r="Y55" s="2"/>
      <c r="Z55" s="2"/>
    </row>
    <row r="56">
      <c r="A56" s="2" t="s">
        <v>58</v>
      </c>
      <c r="B56" s="6">
        <v>265.0</v>
      </c>
      <c r="C56" s="6"/>
      <c r="D56" s="6"/>
      <c r="E56" s="2"/>
      <c r="F56" s="2"/>
      <c r="G56" s="2"/>
      <c r="H56" s="2"/>
      <c r="I56" s="2"/>
      <c r="J56" s="2"/>
      <c r="K56" s="2"/>
      <c r="L56" s="2"/>
      <c r="M56" s="2"/>
      <c r="N56" s="2"/>
      <c r="O56" s="2"/>
      <c r="P56" s="2"/>
      <c r="Q56" s="2"/>
      <c r="R56" s="2"/>
      <c r="S56" s="2"/>
      <c r="T56" s="2"/>
      <c r="U56" s="2"/>
      <c r="V56" s="2"/>
      <c r="W56" s="2"/>
      <c r="X56" s="2"/>
      <c r="Y56" s="2"/>
      <c r="Z56" s="2"/>
    </row>
    <row r="57">
      <c r="A57" s="2" t="s">
        <v>59</v>
      </c>
      <c r="B57" s="6">
        <v>5105.0</v>
      </c>
      <c r="C57" s="6"/>
      <c r="D57" s="6"/>
      <c r="E57" s="2"/>
      <c r="F57" s="2"/>
      <c r="G57" s="2"/>
      <c r="H57" s="2"/>
      <c r="I57" s="2"/>
      <c r="J57" s="2"/>
      <c r="K57" s="2"/>
      <c r="L57" s="2"/>
      <c r="M57" s="2"/>
      <c r="N57" s="2"/>
      <c r="O57" s="2"/>
      <c r="P57" s="2"/>
      <c r="Q57" s="2"/>
      <c r="R57" s="2"/>
      <c r="S57" s="2"/>
      <c r="T57" s="2"/>
      <c r="U57" s="2"/>
      <c r="V57" s="2"/>
      <c r="W57" s="2"/>
      <c r="X57" s="2"/>
      <c r="Y57" s="2"/>
      <c r="Z57" s="2"/>
    </row>
    <row r="58">
      <c r="A58" s="2" t="s">
        <v>60</v>
      </c>
      <c r="B58" s="6">
        <v>587.0</v>
      </c>
      <c r="C58" s="6"/>
      <c r="D58" s="6"/>
      <c r="E58" s="2"/>
      <c r="F58" s="2"/>
      <c r="G58" s="2"/>
      <c r="H58" s="2"/>
      <c r="I58" s="2"/>
      <c r="J58" s="2"/>
      <c r="K58" s="2"/>
      <c r="L58" s="2"/>
      <c r="M58" s="2"/>
      <c r="N58" s="2"/>
      <c r="O58" s="2"/>
      <c r="P58" s="2"/>
      <c r="Q58" s="2"/>
      <c r="R58" s="2"/>
      <c r="S58" s="2"/>
      <c r="T58" s="2"/>
      <c r="U58" s="2"/>
      <c r="V58" s="2"/>
      <c r="W58" s="2"/>
      <c r="X58" s="2"/>
      <c r="Y58" s="2"/>
      <c r="Z58" s="2"/>
    </row>
    <row r="59">
      <c r="A59" s="2" t="s">
        <v>61</v>
      </c>
      <c r="B59" s="6">
        <v>239.4</v>
      </c>
      <c r="C59" s="6"/>
      <c r="D59" s="6"/>
      <c r="E59" s="2"/>
      <c r="F59" s="2"/>
      <c r="G59" s="2"/>
      <c r="H59" s="2"/>
      <c r="I59" s="2"/>
      <c r="J59" s="2"/>
      <c r="K59" s="2"/>
      <c r="L59" s="2"/>
      <c r="M59" s="2"/>
      <c r="N59" s="2"/>
      <c r="O59" s="2"/>
      <c r="P59" s="2"/>
      <c r="Q59" s="2"/>
      <c r="R59" s="2"/>
      <c r="S59" s="2"/>
      <c r="T59" s="2"/>
      <c r="U59" s="2"/>
      <c r="V59" s="2"/>
      <c r="W59" s="2"/>
      <c r="X59" s="2"/>
      <c r="Y59" s="2"/>
      <c r="Z59" s="2"/>
    </row>
    <row r="60">
      <c r="A60" s="2" t="s">
        <v>62</v>
      </c>
      <c r="B60" s="6">
        <v>670.0</v>
      </c>
      <c r="C60" s="6"/>
      <c r="D60" s="6"/>
      <c r="E60" s="2"/>
      <c r="F60" s="2"/>
      <c r="G60" s="2"/>
      <c r="H60" s="2"/>
      <c r="I60" s="2"/>
      <c r="J60" s="2"/>
      <c r="K60" s="2"/>
      <c r="L60" s="2"/>
      <c r="M60" s="2"/>
      <c r="N60" s="2"/>
      <c r="O60" s="2"/>
      <c r="P60" s="2"/>
      <c r="Q60" s="2"/>
      <c r="R60" s="2"/>
      <c r="S60" s="2"/>
      <c r="T60" s="2"/>
      <c r="U60" s="2"/>
      <c r="V60" s="2"/>
      <c r="W60" s="2"/>
      <c r="X60" s="2"/>
      <c r="Y60" s="2"/>
      <c r="Z60" s="2"/>
    </row>
    <row r="61">
      <c r="A61" s="2" t="s">
        <v>63</v>
      </c>
      <c r="B61" s="6">
        <v>5920.0</v>
      </c>
      <c r="C61" s="6"/>
      <c r="D61" s="6"/>
      <c r="E61" s="2"/>
      <c r="F61" s="2"/>
      <c r="G61" s="2"/>
      <c r="H61" s="2"/>
      <c r="I61" s="2"/>
      <c r="J61" s="2"/>
      <c r="K61" s="2"/>
      <c r="L61" s="2"/>
      <c r="M61" s="2"/>
      <c r="N61" s="2"/>
      <c r="O61" s="2"/>
      <c r="P61" s="2"/>
      <c r="Q61" s="2"/>
      <c r="R61" s="2"/>
      <c r="S61" s="2"/>
      <c r="T61" s="2"/>
      <c r="U61" s="2"/>
      <c r="V61" s="2"/>
      <c r="W61" s="2"/>
      <c r="X61" s="2"/>
      <c r="Y61" s="2"/>
      <c r="Z61" s="2"/>
    </row>
    <row r="62">
      <c r="A62" s="2" t="s">
        <v>64</v>
      </c>
      <c r="B62" s="6">
        <v>5951.68</v>
      </c>
      <c r="C62" s="6"/>
      <c r="D62" s="6"/>
      <c r="E62" s="2"/>
      <c r="F62" s="2"/>
      <c r="G62" s="2"/>
      <c r="H62" s="2"/>
      <c r="I62" s="2"/>
      <c r="J62" s="2"/>
      <c r="K62" s="2"/>
      <c r="L62" s="2"/>
      <c r="M62" s="2"/>
      <c r="N62" s="2"/>
      <c r="O62" s="2"/>
      <c r="P62" s="2"/>
      <c r="Q62" s="2"/>
      <c r="R62" s="2"/>
      <c r="S62" s="2"/>
      <c r="T62" s="2"/>
      <c r="U62" s="2"/>
      <c r="V62" s="2"/>
      <c r="W62" s="2"/>
      <c r="X62" s="2"/>
      <c r="Y62" s="2"/>
      <c r="Z62" s="2"/>
    </row>
    <row r="63">
      <c r="A63" s="2" t="s">
        <v>65</v>
      </c>
      <c r="B63" s="6">
        <v>442.0</v>
      </c>
      <c r="C63" s="6"/>
      <c r="D63" s="6"/>
      <c r="E63" s="2"/>
      <c r="F63" s="2"/>
      <c r="G63" s="2"/>
      <c r="H63" s="2"/>
      <c r="I63" s="2"/>
      <c r="J63" s="2"/>
      <c r="K63" s="2"/>
      <c r="L63" s="2"/>
      <c r="M63" s="2"/>
      <c r="N63" s="2"/>
      <c r="O63" s="2"/>
      <c r="P63" s="2"/>
      <c r="Q63" s="2"/>
      <c r="R63" s="2"/>
      <c r="S63" s="2"/>
      <c r="T63" s="2"/>
      <c r="U63" s="2"/>
      <c r="V63" s="2"/>
      <c r="W63" s="2"/>
      <c r="X63" s="2"/>
      <c r="Y63" s="2"/>
      <c r="Z63" s="2"/>
    </row>
    <row r="64">
      <c r="A64" s="2" t="s">
        <v>66</v>
      </c>
      <c r="B64" s="6">
        <v>7446.13</v>
      </c>
      <c r="C64" s="6"/>
      <c r="D64" s="6"/>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mergeCells count="1">
    <mergeCell ref="A1:B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1.25"/>
    <col customWidth="1" min="2" max="2" width="30.75"/>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sheetData>
  <drawing r:id="rId2"/>
</worksheet>
</file>
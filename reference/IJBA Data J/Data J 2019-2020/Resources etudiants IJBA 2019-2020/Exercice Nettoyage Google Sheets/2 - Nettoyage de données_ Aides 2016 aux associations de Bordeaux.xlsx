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fichier brut extrait de Tabul" sheetId="1" r:id="rId5"/>
  </sheets>
  <definedNames/>
  <calcPr/>
</workbook>
</file>

<file path=xl/sharedStrings.xml><?xml version="1.0" encoding="utf-8"?>
<sst xmlns="http://schemas.openxmlformats.org/spreadsheetml/2006/main" count="66" uniqueCount="66">
  <si>
    <t>VALORISATION DES AIDES EN NATURE ACCORDEES AUX ASSOCIATIONS EN 2016</t>
  </si>
  <si>
    <t>NOM DES BENEFICIAIRES</t>
  </si>
  <si>
    <t>PRESTATIONS EN
NATURE CHIFFREES</t>
  </si>
  <si>
    <t>"BAMBINO BERTHELOT" ASSOCIATION DE PARENTS D'ELEVES DE L'ECOLE MATERNELLE BERTHELOT A BORDEAUX</t>
  </si>
  <si>
    <t>56,00
4 359,52
34,00
675,00
400,00
20 632,00
2 791,00
631,00
14 561,67
15 042,00
3 888,00
228 670,97
124,00
31 971,23
74,00
1 517,00
4 146,00
27,00
12 532,00
663,00
214,00
24,00
339,00
200,00
185,10
56,00
796,05
3 848,86
1 478,00
5 391,00
13 988,00
4 305,18
564,00
12 605,00
332,00
299,00
118,67
106,00
340,00
102,00
178,00
170,00
356,00
34,00
621,00
4 482,14
265,00
7 722,00
1 432,26
17 008,05
72,00
5 715,00
178,00
265,00
5 105,00
587,00
239,40
670,00
5 920,00
5 951,68
442,00
7 446,13</t>
  </si>
  <si>
    <t>1001 JEUNES BORDELAIS</t>
  </si>
  <si>
    <t>2AA</t>
  </si>
  <si>
    <t>2SI2LA</t>
  </si>
  <si>
    <t>4 CATS</t>
  </si>
  <si>
    <t>9-33</t>
  </si>
  <si>
    <t>A TRAVERS CHANT</t>
  </si>
  <si>
    <t>A2RUNNING</t>
  </si>
  <si>
    <t>ABALONE CHASSE BORDEAUX</t>
  </si>
  <si>
    <t>ABEILLES BORDELAISES</t>
  </si>
  <si>
    <t>ACADEMIE BUSHIKAI KARATE DO</t>
  </si>
  <si>
    <t>ACADEMIE DES SCIENCES, BELLES LETTRES ET ARTS DE BORDEAUX</t>
  </si>
  <si>
    <t>ACADEMIE PROSPECTIVE NOUVELLES TECHNOLOGIES</t>
  </si>
  <si>
    <t>ACADEMIE YOUNUS</t>
  </si>
  <si>
    <t>ACCOMPAGNEMENT ET RECHERCHE PSYCHO-SOCIO EDUCATIFS POUR LES JEUNES (ARPEJE)</t>
  </si>
  <si>
    <t>ACCOMPAGNER CONDUIRE TRANSMETTRE - ACT</t>
  </si>
  <si>
    <t>ACCORDERIE BORDEAUX SUD</t>
  </si>
  <si>
    <t>ACHATS GROUPES ASSOCIATIF POUR L'ECONOMIE SOLIDAIRE DE BORDEAUX - AGAPES</t>
  </si>
  <si>
    <t>ACIDD, ASSOCIATION COMMUNICATION ET INFORMATION POUR LE DEVELOPPEMENT DURABLE</t>
  </si>
  <si>
    <t>ACTA GIRONDE - AGIR CONTRE LA TORTURE DES ANIMAUX</t>
  </si>
  <si>
    <t>ACTION CONTRE LA FAIM</t>
  </si>
  <si>
    <t>ACTION INTERNATIONALE POUR LA PAIX ET LE DEVELOPPEMENT</t>
  </si>
  <si>
    <t>AD LUCEM THEATRE</t>
  </si>
  <si>
    <t>ADORA - ASSOCIATION POUR LE DEVELOPPEMENT ET L'ACCOMPAGNEMENT, EN AQUITAINE, DE L'ORIENTATION PERSONNELLE ET
PROFESSIONNELLE, TOUT AU LONG DE LA VIE</t>
  </si>
  <si>
    <t>AEP SAINT PROJET</t>
  </si>
  <si>
    <t>AGENCE LOCALE DE L'ENERGIE ET DU CLIMAT (ALEC)</t>
  </si>
  <si>
    <t>AGENCE REGIONALE DE SANTE NOUVELLE AQUITAINE</t>
  </si>
  <si>
    <t>AGORA DES ARTS</t>
  </si>
  <si>
    <t>AIGUILLES ET CALAME</t>
  </si>
  <si>
    <t>AIKIDO BORDEAUX BASTIDE</t>
  </si>
  <si>
    <t>AIR ROLLER (ATTENTION INERTIE RENOUVELABLE)</t>
  </si>
  <si>
    <t>ALAM AMIS DU LIVRE ANCIEN ET MODERNE</t>
  </si>
  <si>
    <t>ALGERIENS DE L'AQUITAINE</t>
  </si>
  <si>
    <t>ALLIANCE DEPARTEMENT 33, JUSQU'AU BOUT ACCOMPAGNER LA VIE...</t>
  </si>
  <si>
    <t>ALLIANCE FRANCAISE DE BORDEAUX AQUITAINE</t>
  </si>
  <si>
    <t>ALPTIS</t>
  </si>
  <si>
    <t>ALTER INSERTION</t>
  </si>
  <si>
    <t>AMEPI</t>
  </si>
  <si>
    <t>AMICALE BORDELAISE TRACTION AVANT CITROEN</t>
  </si>
  <si>
    <t>AMICALE COMORIENNE DE BORDEAUX</t>
  </si>
  <si>
    <t>AMICALE DE LA RESIDENCE DU LAC</t>
  </si>
  <si>
    <t>AMICALE DES ANCIENS DE MARIE-BRIZARD - AAMB</t>
  </si>
  <si>
    <t>AMICALE DES ANCIENS DES NOUVELLES GALERIES DE BORDEAUX</t>
  </si>
  <si>
    <t>AMICALE DES ANCIENS GUERILLEROS ESPAGNOLS EN FRANCE-FFI - SECTION DE LA GIRONDE</t>
  </si>
  <si>
    <t>AMICALE DES AVEYRONNAIS DE BORDEAUX ET GIRONDE</t>
  </si>
  <si>
    <t>AMICALE DES ETABLISSEMENTS SCOLAIRES LAIQUES DE BACALAN - ALB</t>
  </si>
  <si>
    <t>AMICALE DES PHILIPPEVILLOIS, CONSTANTINOIS ET LEURS AMIS - APCA</t>
  </si>
  <si>
    <t>AMICALE DES RETRAITES U.G.R.R. - I.S.I.C.A. DE BORDEAUX</t>
  </si>
  <si>
    <t>AMICALE DU PATRONAGE LAIQUE ET DU CONSEIL DE PARENTS D'ELEVES DU GROUPE SCOLAIRE NUYENS</t>
  </si>
  <si>
    <t>AMICALE LAIQUE BORDEAUX CENTRE</t>
  </si>
  <si>
    <t>AMICALE LAIQUE DAVID JOHNSTON LAGRANGE ALBERT BARRAUD NAUJAC</t>
  </si>
  <si>
    <t>AMICALE LAIQUE DU GROUPE SCOLAIRE LEONARD-LENOIR - MONTAUD - NUITS</t>
  </si>
  <si>
    <t>AMICALE LAIQUE LEONARD LENOIR</t>
  </si>
  <si>
    <t>AMICALE NATIONALE DES RETRAITES DE L'AUDIOVISUEL</t>
  </si>
  <si>
    <t>AMIS D'ARS ET FIDES BORDEAUX</t>
  </si>
  <si>
    <t>AMIS D'ICI ET D'AILLEURS</t>
  </si>
  <si>
    <t>AMIS DU CAPC MUSEE</t>
  </si>
  <si>
    <t>AMITIES FRANCAISES</t>
  </si>
  <si>
    <t>AMITIES GENEALOGIQUES BORDELAISES</t>
  </si>
  <si>
    <t>AMNESTY INTERNATIONAL GROUPE 234 DE BORDEAUX CENTRE</t>
  </si>
  <si>
    <t>AMOR DEL TANGO</t>
  </si>
  <si>
    <t>ANCIENS BASTIDIENS-CLUB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</si>
</sst>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2.29"/>
    <col customWidth="1" min="3" max="6" width="14.4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5.75" customHeight="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ht="15.75" customHeight="1">
      <c r="A3" s="1" t="s">
        <v>3</v>
      </c>
      <c r="B3" s="1" t="s">
        <v>4</v>
      </c>
      <c r="C3" s="1" t="str">
        <f>IFERROR(__xludf.DUMMYFUNCTION("split(B3,char(10))"),"56,00")</f>
        <v>56,00</v>
      </c>
      <c r="D3" s="1" t="str">
        <f>IFERROR(__xludf.DUMMYFUNCTION("""COMPUTED_VALUE"""),"4 359,52")</f>
        <v>4 359,52</v>
      </c>
      <c r="E3" s="1" t="str">
        <f>IFERROR(__xludf.DUMMYFUNCTION("""COMPUTED_VALUE"""),"34,00")</f>
        <v>34,00</v>
      </c>
      <c r="F3" s="1" t="str">
        <f>IFERROR(__xludf.DUMMYFUNCTION("""COMPUTED_VALUE"""),"675,00")</f>
        <v>675,00</v>
      </c>
      <c r="G3" s="1" t="str">
        <f>IFERROR(__xludf.DUMMYFUNCTION("""COMPUTED_VALUE"""),"400,00")</f>
        <v>400,00</v>
      </c>
      <c r="H3" s="1" t="str">
        <f>IFERROR(__xludf.DUMMYFUNCTION("""COMPUTED_VALUE"""),"20 632,00")</f>
        <v>20 632,00</v>
      </c>
      <c r="I3" s="1" t="str">
        <f>IFERROR(__xludf.DUMMYFUNCTION("""COMPUTED_VALUE"""),"2 791,00")</f>
        <v>2 791,00</v>
      </c>
      <c r="J3" s="1" t="str">
        <f>IFERROR(__xludf.DUMMYFUNCTION("""COMPUTED_VALUE"""),"631,00")</f>
        <v>631,00</v>
      </c>
      <c r="K3" s="1" t="str">
        <f>IFERROR(__xludf.DUMMYFUNCTION("""COMPUTED_VALUE"""),"14 561,67")</f>
        <v>14 561,67</v>
      </c>
      <c r="L3" s="1" t="str">
        <f>IFERROR(__xludf.DUMMYFUNCTION("""COMPUTED_VALUE"""),"15 042,00")</f>
        <v>15 042,00</v>
      </c>
      <c r="M3" s="1" t="str">
        <f>IFERROR(__xludf.DUMMYFUNCTION("""COMPUTED_VALUE"""),"3 888,00")</f>
        <v>3 888,00</v>
      </c>
      <c r="N3" s="1" t="str">
        <f>IFERROR(__xludf.DUMMYFUNCTION("""COMPUTED_VALUE"""),"228 670,97")</f>
        <v>228 670,97</v>
      </c>
      <c r="O3" s="1" t="str">
        <f>IFERROR(__xludf.DUMMYFUNCTION("""COMPUTED_VALUE"""),"124,00")</f>
        <v>124,00</v>
      </c>
      <c r="P3" s="1" t="str">
        <f>IFERROR(__xludf.DUMMYFUNCTION("""COMPUTED_VALUE"""),"31 971,23")</f>
        <v>31 971,23</v>
      </c>
      <c r="Q3" s="1" t="str">
        <f>IFERROR(__xludf.DUMMYFUNCTION("""COMPUTED_VALUE"""),"74,00")</f>
        <v>74,00</v>
      </c>
      <c r="R3" s="1" t="str">
        <f>IFERROR(__xludf.DUMMYFUNCTION("""COMPUTED_VALUE"""),"1 517,00")</f>
        <v>1 517,00</v>
      </c>
      <c r="S3" s="1" t="str">
        <f>IFERROR(__xludf.DUMMYFUNCTION("""COMPUTED_VALUE"""),"4 146,00")</f>
        <v>4 146,00</v>
      </c>
      <c r="T3" s="1" t="str">
        <f>IFERROR(__xludf.DUMMYFUNCTION("""COMPUTED_VALUE"""),"27,00")</f>
        <v>27,00</v>
      </c>
      <c r="U3" s="1" t="str">
        <f>IFERROR(__xludf.DUMMYFUNCTION("""COMPUTED_VALUE"""),"12 532,00")</f>
        <v>12 532,00</v>
      </c>
      <c r="V3" s="1" t="str">
        <f>IFERROR(__xludf.DUMMYFUNCTION("""COMPUTED_VALUE"""),"663,00")</f>
        <v>663,00</v>
      </c>
      <c r="W3" s="1" t="str">
        <f>IFERROR(__xludf.DUMMYFUNCTION("""COMPUTED_VALUE"""),"214,00")</f>
        <v>214,00</v>
      </c>
      <c r="X3" s="1" t="str">
        <f>IFERROR(__xludf.DUMMYFUNCTION("""COMPUTED_VALUE"""),"24,00")</f>
        <v>24,00</v>
      </c>
      <c r="Y3" s="1" t="str">
        <f>IFERROR(__xludf.DUMMYFUNCTION("""COMPUTED_VALUE"""),"339,00")</f>
        <v>339,00</v>
      </c>
      <c r="Z3" s="1" t="str">
        <f>IFERROR(__xludf.DUMMYFUNCTION("""COMPUTED_VALUE"""),"200,00")</f>
        <v>200,00</v>
      </c>
      <c r="AA3" s="1" t="str">
        <f>IFERROR(__xludf.DUMMYFUNCTION("""COMPUTED_VALUE"""),"185,10")</f>
        <v>185,10</v>
      </c>
      <c r="AB3" s="1" t="str">
        <f>IFERROR(__xludf.DUMMYFUNCTION("""COMPUTED_VALUE"""),"56,00")</f>
        <v>56,00</v>
      </c>
      <c r="AC3" s="1" t="str">
        <f>IFERROR(__xludf.DUMMYFUNCTION("""COMPUTED_VALUE"""),"796,05")</f>
        <v>796,05</v>
      </c>
      <c r="AD3" s="1" t="str">
        <f>IFERROR(__xludf.DUMMYFUNCTION("""COMPUTED_VALUE"""),"3 848,86")</f>
        <v>3 848,86</v>
      </c>
      <c r="AE3" s="1" t="str">
        <f>IFERROR(__xludf.DUMMYFUNCTION("""COMPUTED_VALUE"""),"1 478,00")</f>
        <v>1 478,00</v>
      </c>
      <c r="AF3" s="1" t="str">
        <f>IFERROR(__xludf.DUMMYFUNCTION("""COMPUTED_VALUE"""),"5 391,00")</f>
        <v>5 391,00</v>
      </c>
      <c r="AG3" s="1" t="str">
        <f>IFERROR(__xludf.DUMMYFUNCTION("""COMPUTED_VALUE"""),"13 988,00")</f>
        <v>13 988,00</v>
      </c>
      <c r="AH3" s="1" t="str">
        <f>IFERROR(__xludf.DUMMYFUNCTION("""COMPUTED_VALUE"""),"4 305,18")</f>
        <v>4 305,18</v>
      </c>
      <c r="AI3" s="1" t="str">
        <f>IFERROR(__xludf.DUMMYFUNCTION("""COMPUTED_VALUE"""),"564,00")</f>
        <v>564,00</v>
      </c>
      <c r="AJ3" s="1" t="str">
        <f>IFERROR(__xludf.DUMMYFUNCTION("""COMPUTED_VALUE"""),"12 605,00")</f>
        <v>12 605,00</v>
      </c>
      <c r="AK3" s="1" t="str">
        <f>IFERROR(__xludf.DUMMYFUNCTION("""COMPUTED_VALUE"""),"332,00")</f>
        <v>332,00</v>
      </c>
      <c r="AL3" s="1" t="str">
        <f>IFERROR(__xludf.DUMMYFUNCTION("""COMPUTED_VALUE"""),"299,00")</f>
        <v>299,00</v>
      </c>
      <c r="AM3" s="1" t="str">
        <f>IFERROR(__xludf.DUMMYFUNCTION("""COMPUTED_VALUE"""),"118,67")</f>
        <v>118,67</v>
      </c>
      <c r="AN3" s="1" t="str">
        <f>IFERROR(__xludf.DUMMYFUNCTION("""COMPUTED_VALUE"""),"106,00")</f>
        <v>106,00</v>
      </c>
      <c r="AO3" s="1" t="str">
        <f>IFERROR(__xludf.DUMMYFUNCTION("""COMPUTED_VALUE"""),"340,00")</f>
        <v>340,00</v>
      </c>
      <c r="AP3" s="1" t="str">
        <f>IFERROR(__xludf.DUMMYFUNCTION("""COMPUTED_VALUE"""),"102,00")</f>
        <v>102,00</v>
      </c>
      <c r="AQ3" s="1" t="str">
        <f>IFERROR(__xludf.DUMMYFUNCTION("""COMPUTED_VALUE"""),"178,00")</f>
        <v>178,00</v>
      </c>
      <c r="AR3" s="1" t="str">
        <f>IFERROR(__xludf.DUMMYFUNCTION("""COMPUTED_VALUE"""),"170,00")</f>
        <v>170,00</v>
      </c>
      <c r="AS3" s="1" t="str">
        <f>IFERROR(__xludf.DUMMYFUNCTION("""COMPUTED_VALUE"""),"356,00")</f>
        <v>356,00</v>
      </c>
      <c r="AT3" s="1" t="str">
        <f>IFERROR(__xludf.DUMMYFUNCTION("""COMPUTED_VALUE"""),"34,00")</f>
        <v>34,00</v>
      </c>
      <c r="AU3" s="1" t="str">
        <f>IFERROR(__xludf.DUMMYFUNCTION("""COMPUTED_VALUE"""),"621,00")</f>
        <v>621,00</v>
      </c>
      <c r="AV3" s="1" t="str">
        <f>IFERROR(__xludf.DUMMYFUNCTION("""COMPUTED_VALUE"""),"4 482,14")</f>
        <v>4 482,14</v>
      </c>
      <c r="AW3" s="1" t="str">
        <f>IFERROR(__xludf.DUMMYFUNCTION("""COMPUTED_VALUE"""),"265,00")</f>
        <v>265,00</v>
      </c>
      <c r="AX3" s="1" t="str">
        <f>IFERROR(__xludf.DUMMYFUNCTION("""COMPUTED_VALUE"""),"7 722,00")</f>
        <v>7 722,00</v>
      </c>
      <c r="AY3" s="1" t="str">
        <f>IFERROR(__xludf.DUMMYFUNCTION("""COMPUTED_VALUE"""),"1 432,26")</f>
        <v>1 432,26</v>
      </c>
      <c r="AZ3" s="1" t="str">
        <f>IFERROR(__xludf.DUMMYFUNCTION("""COMPUTED_VALUE"""),"17 008,05")</f>
        <v>17 008,05</v>
      </c>
      <c r="BA3" s="1" t="str">
        <f>IFERROR(__xludf.DUMMYFUNCTION("""COMPUTED_VALUE"""),"72,00")</f>
        <v>72,00</v>
      </c>
      <c r="BB3" s="1" t="str">
        <f>IFERROR(__xludf.DUMMYFUNCTION("""COMPUTED_VALUE"""),"5 715,00")</f>
        <v>5 715,00</v>
      </c>
      <c r="BC3" s="1" t="str">
        <f>IFERROR(__xludf.DUMMYFUNCTION("""COMPUTED_VALUE"""),"178,00")</f>
        <v>178,00</v>
      </c>
      <c r="BD3" s="1" t="str">
        <f>IFERROR(__xludf.DUMMYFUNCTION("""COMPUTED_VALUE"""),"265,00")</f>
        <v>265,00</v>
      </c>
      <c r="BE3" s="1" t="str">
        <f>IFERROR(__xludf.DUMMYFUNCTION("""COMPUTED_VALUE"""),"5 105,00")</f>
        <v>5 105,00</v>
      </c>
      <c r="BF3" s="1" t="str">
        <f>IFERROR(__xludf.DUMMYFUNCTION("""COMPUTED_VALUE"""),"587,00")</f>
        <v>587,00</v>
      </c>
      <c r="BG3" s="1" t="str">
        <f>IFERROR(__xludf.DUMMYFUNCTION("""COMPUTED_VALUE"""),"239,40")</f>
        <v>239,40</v>
      </c>
      <c r="BH3" s="1" t="str">
        <f>IFERROR(__xludf.DUMMYFUNCTION("""COMPUTED_VALUE"""),"670,00")</f>
        <v>670,00</v>
      </c>
      <c r="BI3" s="1" t="str">
        <f>IFERROR(__xludf.DUMMYFUNCTION("""COMPUTED_VALUE"""),"5 920,00")</f>
        <v>5 920,00</v>
      </c>
      <c r="BJ3" s="1" t="str">
        <f>IFERROR(__xludf.DUMMYFUNCTION("""COMPUTED_VALUE"""),"5 951,68")</f>
        <v>5 951,68</v>
      </c>
      <c r="BK3" s="1" t="str">
        <f>IFERROR(__xludf.DUMMYFUNCTION("""COMPUTED_VALUE"""),"442,00")</f>
        <v>442,00</v>
      </c>
      <c r="BL3" s="1" t="str">
        <f>IFERROR(__xludf.DUMMYFUNCTION("""COMPUTED_VALUE"""),"7 446,13")</f>
        <v>7 446,13</v>
      </c>
      <c r="BM3" s="1"/>
      <c r="BN3" s="1"/>
      <c r="BO3" s="1"/>
      <c r="BP3" s="1"/>
      <c r="BQ3" s="1"/>
      <c r="BR3" s="1"/>
      <c r="BS3" s="1"/>
      <c r="BT3" s="1"/>
      <c r="BU3" s="1"/>
      <c r="BV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ht="15.75" customHeight="1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ht="15.75" customHeight="1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ht="15.75" customHeight="1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ht="15.75" customHeight="1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ht="15.75" customHeight="1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ht="15.75" customHeight="1">
      <c r="A15" s="1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ht="15.75" customHeight="1">
      <c r="A17" s="1" t="s">
        <v>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</row>
    <row r="19" ht="15.75" customHeight="1">
      <c r="A19" s="1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ht="15.75" customHeight="1">
      <c r="A21" s="1" t="s">
        <v>13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ht="15.75" customHeight="1">
      <c r="A23" s="1" t="s">
        <v>14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ht="15.75" customHeight="1">
      <c r="A25" s="1" t="s">
        <v>15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ht="15.75" customHeight="1">
      <c r="A27" s="1" t="s">
        <v>16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ht="15.75" customHeight="1">
      <c r="A29" s="1" t="s">
        <v>17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ht="15.75" customHeight="1">
      <c r="A31" s="1" t="s">
        <v>18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ht="15.75" customHeight="1">
      <c r="A33" s="1" t="s">
        <v>19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ht="15.75" customHeight="1">
      <c r="A35" s="1" t="s">
        <v>20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ht="15.75" customHeight="1">
      <c r="A37" s="1" t="s">
        <v>21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ht="15.75" customHeight="1">
      <c r="A39" s="1" t="s">
        <v>22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ht="15.75" customHeight="1">
      <c r="A41" s="1" t="s">
        <v>23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ht="15.75" customHeight="1">
      <c r="A43" s="1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ht="15.75" customHeight="1">
      <c r="A45" s="1" t="s">
        <v>25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ht="15.75" customHeight="1">
      <c r="A47" s="1" t="s">
        <v>26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ht="15.75" customHeight="1">
      <c r="A49" s="1" t="s">
        <v>27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ht="15.75" customHeight="1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ht="15.75" customHeight="1">
      <c r="A53" s="1" t="s">
        <v>29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ht="15.75" customHeight="1">
      <c r="A55" s="1" t="s">
        <v>30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ht="15.75" customHeight="1">
      <c r="A57" s="1" t="s">
        <v>31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ht="15.75" customHeight="1">
      <c r="A59" s="1" t="s">
        <v>32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ht="15.75" customHeight="1">
      <c r="A61" s="1" t="s">
        <v>33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ht="15.75" customHeight="1">
      <c r="A63" s="1" t="s">
        <v>34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ht="15.75" customHeight="1">
      <c r="A65" s="1" t="s">
        <v>35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ht="15.75" customHeight="1">
      <c r="A67" s="1" t="s">
        <v>36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ht="15.75" customHeight="1">
      <c r="A69" s="1" t="s">
        <v>37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ht="15.75" customHeight="1">
      <c r="A71" s="1" t="s">
        <v>38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ht="15.75" customHeight="1">
      <c r="A73" s="1" t="s">
        <v>39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ht="15.75" customHeight="1">
      <c r="A75" s="1" t="s">
        <v>40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ht="15.75" customHeight="1">
      <c r="A77" s="1" t="s">
        <v>41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ht="15.75" customHeight="1">
      <c r="A79" s="1" t="s">
        <v>42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ht="15.75" customHeight="1">
      <c r="A81" s="1" t="s">
        <v>43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ht="15.75" customHeight="1">
      <c r="A83" s="1" t="s">
        <v>44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ht="15.75" customHeight="1">
      <c r="A85" s="1" t="s">
        <v>45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ht="15.75" customHeight="1">
      <c r="A87" s="1" t="s">
        <v>46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ht="15.75" customHeight="1">
      <c r="A89" s="1" t="s">
        <v>47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ht="15.75" customHeight="1">
      <c r="A91" s="1" t="s">
        <v>48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ht="15.75" customHeight="1">
      <c r="A93" s="1" t="s">
        <v>49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ht="15.75" customHeight="1">
      <c r="A95" s="1" t="s">
        <v>50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ht="15.75" customHeight="1">
      <c r="A97" s="1" t="s">
        <v>51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ht="15.75" customHeight="1">
      <c r="A99" s="1" t="s">
        <v>52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ht="15.75" customHeight="1">
      <c r="A101" s="1" t="s">
        <v>53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ht="15.75" customHeight="1">
      <c r="A103" s="1" t="s">
        <v>54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ht="15.75" customHeight="1">
      <c r="A105" s="1" t="s">
        <v>55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ht="15.75" customHeight="1">
      <c r="A107" s="1" t="s">
        <v>56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ht="15.75" customHeight="1">
      <c r="A109" s="1" t="s">
        <v>57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ht="15.75" customHeight="1">
      <c r="A111" s="1" t="s">
        <v>58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ht="15.75" customHeight="1">
      <c r="A113" s="1" t="s">
        <v>59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ht="15.75" customHeight="1">
      <c r="A115" s="1" t="s">
        <v>60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ht="15.75" customHeight="1">
      <c r="A117" s="1" t="s">
        <v>61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ht="15.75" customHeight="1">
      <c r="A119" s="1" t="s">
        <v>62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ht="15.75" customHeight="1">
      <c r="A121" s="1" t="s">
        <v>63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ht="15.75" customHeight="1">
      <c r="A123" s="1" t="s">
        <v>64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ht="15.75" customHeight="1">
      <c r="A125" s="1" t="s">
        <v>65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
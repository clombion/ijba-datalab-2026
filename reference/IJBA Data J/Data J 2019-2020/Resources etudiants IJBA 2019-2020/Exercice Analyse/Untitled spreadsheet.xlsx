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  <sheet state="visible" name="Copy of Copy of Sheet1" sheetId="3" r:id="rId7"/>
  </sheets>
  <definedNames/>
  <calcPr/>
</workbook>
</file>

<file path=xl/sharedStrings.xml><?xml version="1.0" encoding="utf-8"?>
<sst xmlns="http://schemas.openxmlformats.org/spreadsheetml/2006/main" count="128" uniqueCount="96">
  <si>
    <t>Région</t>
  </si>
  <si>
    <t>Population
au 01/01/2007</t>
  </si>
  <si>
    <t>Population
au 01/01/2009</t>
  </si>
  <si>
    <t>Accroissement
(en milliers)</t>
  </si>
  <si>
    <t>Accroissement
entre 1999 et 2007[1]
(en pourcentage)</t>
  </si>
  <si>
    <t>population_clean_2007</t>
  </si>
  <si>
    <t>population_clean_2009</t>
  </si>
  <si>
    <t>Alsace</t>
  </si>
  <si>
    <t>1 827</t>
  </si>
  <si>
    <t>1 847</t>
  </si>
  <si>
    <t>+0,66 %</t>
  </si>
  <si>
    <t>Aquitaine</t>
  </si>
  <si>
    <t>3 151</t>
  </si>
  <si>
    <t>3 200</t>
  </si>
  <si>
    <t>+1,01 %</t>
  </si>
  <si>
    <t>Auvergne</t>
  </si>
  <si>
    <t>1 339</t>
  </si>
  <si>
    <t>1 343</t>
  </si>
  <si>
    <t>+0,29 %</t>
  </si>
  <si>
    <t>Basse-Normandie</t>
  </si>
  <si>
    <t>1 461</t>
  </si>
  <si>
    <t>1 467</t>
  </si>
  <si>
    <t>+0,34 %</t>
  </si>
  <si>
    <t>Bourgogne</t>
  </si>
  <si>
    <t>1 634</t>
  </si>
  <si>
    <t>1 637</t>
  </si>
  <si>
    <t>+0,18 %</t>
  </si>
  <si>
    <t>Bretagne</t>
  </si>
  <si>
    <t>3 120</t>
  </si>
  <si>
    <t>3 163</t>
  </si>
  <si>
    <t>+0,89 %</t>
  </si>
  <si>
    <t>Centre</t>
  </si>
  <si>
    <t>2 527</t>
  </si>
  <si>
    <t>2 544</t>
  </si>
  <si>
    <t>+0,44 %</t>
  </si>
  <si>
    <t>Champagne-Ardenne</t>
  </si>
  <si>
    <t>1 336</t>
  </si>
  <si>
    <t>-0,03 %</t>
  </si>
  <si>
    <t>Corse</t>
  </si>
  <si>
    <t>+1,76 %</t>
  </si>
  <si>
    <t>Franche-Comté</t>
  </si>
  <si>
    <t>1 159</t>
  </si>
  <si>
    <t>1 168</t>
  </si>
  <si>
    <t>+0,46 %</t>
  </si>
  <si>
    <t>Haute-Normandie</t>
  </si>
  <si>
    <t>1 817</t>
  </si>
  <si>
    <t>1 822</t>
  </si>
  <si>
    <t>+0,25 %</t>
  </si>
  <si>
    <t>Île-de-France</t>
  </si>
  <si>
    <t>11 599</t>
  </si>
  <si>
    <t>11 746</t>
  </si>
  <si>
    <t>+0,72 %</t>
  </si>
  <si>
    <t>Languedoc-Roussillon</t>
  </si>
  <si>
    <t>2 561</t>
  </si>
  <si>
    <t>2 616</t>
  </si>
  <si>
    <t>+1,38 %</t>
  </si>
  <si>
    <t>Limousin</t>
  </si>
  <si>
    <t>+0,45 %</t>
  </si>
  <si>
    <t>Lorraine</t>
  </si>
  <si>
    <t>2 340</t>
  </si>
  <si>
    <t>2 342</t>
  </si>
  <si>
    <t>+0,16 %</t>
  </si>
  <si>
    <t>Midi-Pyrénées</t>
  </si>
  <si>
    <t>2 811</t>
  </si>
  <si>
    <t>2 865</t>
  </si>
  <si>
    <t>+1,22 %</t>
  </si>
  <si>
    <t>Nord-Pas-de-Calais</t>
  </si>
  <si>
    <t>4 022</t>
  </si>
  <si>
    <t>+0,08 %</t>
  </si>
  <si>
    <t>Pays de la Loire</t>
  </si>
  <si>
    <t>3 483</t>
  </si>
  <si>
    <t>3 538</t>
  </si>
  <si>
    <t>+0,98 %</t>
  </si>
  <si>
    <t>Picardie</t>
  </si>
  <si>
    <t>1 900</t>
  </si>
  <si>
    <t>1 906</t>
  </si>
  <si>
    <t>+0,28 %</t>
  </si>
  <si>
    <t>Poitou-Charentes</t>
  </si>
  <si>
    <t>1 740</t>
  </si>
  <si>
    <t>1 759</t>
  </si>
  <si>
    <t>+0,74 %</t>
  </si>
  <si>
    <t>Provence-Alpes-Côte d'Azur</t>
  </si>
  <si>
    <t>4 864</t>
  </si>
  <si>
    <t>4 940</t>
  </si>
  <si>
    <t>+0,96 %</t>
  </si>
  <si>
    <t>Rhône-Alpes</t>
  </si>
  <si>
    <t>6 066</t>
  </si>
  <si>
    <t>6 160</t>
  </si>
  <si>
    <t>+0,90 %</t>
  </si>
  <si>
    <t>Guadeloupe</t>
  </si>
  <si>
    <t>Guyane</t>
  </si>
  <si>
    <t>+3,87 %</t>
  </si>
  <si>
    <t>Martinique</t>
  </si>
  <si>
    <t>+0,52 %</t>
  </si>
  <si>
    <t>Réunion</t>
  </si>
  <si>
    <t>+1,48 %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</si>
</sst>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1" t="str">
        <f>IFERROR(__xludf.DUMMYFUNCTION("IMPORTHTML(""https://fr.wikipedia.org/wiki/R%C3%A9partition_g%C3%A9ographique_de_la_population_en_France"",""table"")"),"Région")</f>
        <v>Région</v>
      </c>
      <c r="B1" s="1" t="str">
        <f>IFERROR(__xludf.DUMMYFUNCTION("""COMPUTED_VALUE"""),"Population
au 01/01/2007 (milliers)")</f>
        <v>Population
au 01/01/2007 (milliers)</v>
      </c>
      <c r="C1" s="1" t="str">
        <f>IFERROR(__xludf.DUMMYFUNCTION("""COMPUTED_VALUE"""),"Population
au 01/01/2009 (milliers)")</f>
        <v>Population
au 01/01/2009 (milliers)</v>
      </c>
      <c r="D1" s="1" t="str">
        <f>IFERROR(__xludf.DUMMYFUNCTION("""COMPUTED_VALUE"""),"Population au 01/01/2014 (milliers)[1]")</f>
        <v>Population au 01/01/2014 (milliers)[1]</v>
      </c>
      <c r="E1" s="1" t="str">
        <f>IFERROR(__xludf.DUMMYFUNCTION("""COMPUTED_VALUE"""),"Accroissement
(milliers) 01/2007 à 01/2014 [1]")</f>
        <v>Accroissement
(milliers) 01/2007 à 01/2014 [1]</v>
      </c>
      <c r="F1" s="1" t="str">
        <f>IFERROR(__xludf.DUMMYFUNCTION("""COMPUTED_VALUE"""),"Accroissement
entre 1999 et 2007[2]
%")</f>
        <v>Accroissement
entre 1999 et 2007[2]
%</v>
      </c>
    </row>
    <row r="2">
      <c r="A2" s="1" t="str">
        <f>IFERROR(__xludf.DUMMYFUNCTION("""COMPUTED_VALUE"""),"Alsace")</f>
        <v>Alsace</v>
      </c>
      <c r="B2" s="1">
        <f>IFERROR(__xludf.DUMMYFUNCTION("""COMPUTED_VALUE"""),1827.0)</f>
        <v>1827</v>
      </c>
      <c r="C2" s="1">
        <f>IFERROR(__xludf.DUMMYFUNCTION("""COMPUTED_VALUE"""),1847.0)</f>
        <v>1847</v>
      </c>
      <c r="D2" s="1">
        <f>IFERROR(__xludf.DUMMYFUNCTION("""COMPUTED_VALUE"""),1868.0)</f>
        <v>1868</v>
      </c>
      <c r="E2" s="1">
        <f>IFERROR(__xludf.DUMMYFUNCTION("""COMPUTED_VALUE"""),41.0)</f>
        <v>41</v>
      </c>
      <c r="F2" s="1" t="str">
        <f>IFERROR(__xludf.DUMMYFUNCTION("""COMPUTED_VALUE"""),"+0,66")</f>
        <v>+0,66</v>
      </c>
    </row>
    <row r="3">
      <c r="A3" s="1" t="str">
        <f>IFERROR(__xludf.DUMMYFUNCTION("""COMPUTED_VALUE"""),"Aquitaine")</f>
        <v>Aquitaine</v>
      </c>
      <c r="B3" s="1">
        <f>IFERROR(__xludf.DUMMYFUNCTION("""COMPUTED_VALUE"""),3151.0)</f>
        <v>3151</v>
      </c>
      <c r="C3" s="1">
        <f>IFERROR(__xludf.DUMMYFUNCTION("""COMPUTED_VALUE"""),3200.0)</f>
        <v>3200</v>
      </c>
      <c r="D3" s="1">
        <f>IFERROR(__xludf.DUMMYFUNCTION("""COMPUTED_VALUE"""),3335.0)</f>
        <v>3335</v>
      </c>
      <c r="E3" s="1">
        <f>IFERROR(__xludf.DUMMYFUNCTION("""COMPUTED_VALUE"""),184.0)</f>
        <v>184</v>
      </c>
      <c r="F3" s="1" t="str">
        <f>IFERROR(__xludf.DUMMYFUNCTION("""COMPUTED_VALUE"""),"+1,01")</f>
        <v>+1,01</v>
      </c>
    </row>
    <row r="4">
      <c r="A4" s="1" t="str">
        <f>IFERROR(__xludf.DUMMYFUNCTION("""COMPUTED_VALUE"""),"Auvergne")</f>
        <v>Auvergne</v>
      </c>
      <c r="B4" s="1">
        <f>IFERROR(__xludf.DUMMYFUNCTION("""COMPUTED_VALUE"""),1339.0)</f>
        <v>1339</v>
      </c>
      <c r="C4" s="1">
        <f>IFERROR(__xludf.DUMMYFUNCTION("""COMPUTED_VALUE"""),1343.0)</f>
        <v>1343</v>
      </c>
      <c r="D4" s="1">
        <f>IFERROR(__xludf.DUMMYFUNCTION("""COMPUTED_VALUE"""),1359.0)</f>
        <v>1359</v>
      </c>
      <c r="E4" s="1">
        <f>IFERROR(__xludf.DUMMYFUNCTION("""COMPUTED_VALUE"""),20.0)</f>
        <v>20</v>
      </c>
      <c r="F4" s="1" t="str">
        <f>IFERROR(__xludf.DUMMYFUNCTION("""COMPUTED_VALUE"""),"+0,29")</f>
        <v>+0,29</v>
      </c>
    </row>
    <row r="5">
      <c r="A5" s="1" t="str">
        <f>IFERROR(__xludf.DUMMYFUNCTION("""COMPUTED_VALUE"""),"Basse-Normandie")</f>
        <v>Basse-Normandie</v>
      </c>
      <c r="B5" s="1">
        <f>IFERROR(__xludf.DUMMYFUNCTION("""COMPUTED_VALUE"""),1461.0)</f>
        <v>1461</v>
      </c>
      <c r="C5" s="1">
        <f>IFERROR(__xludf.DUMMYFUNCTION("""COMPUTED_VALUE"""),1467.0)</f>
        <v>1467</v>
      </c>
      <c r="D5" s="1">
        <f>IFERROR(__xludf.DUMMYFUNCTION("""COMPUTED_VALUE"""),1478.0)</f>
        <v>1478</v>
      </c>
      <c r="E5" s="1">
        <f>IFERROR(__xludf.DUMMYFUNCTION("""COMPUTED_VALUE"""),17.0)</f>
        <v>17</v>
      </c>
      <c r="F5" s="1" t="str">
        <f>IFERROR(__xludf.DUMMYFUNCTION("""COMPUTED_VALUE"""),"+0,34")</f>
        <v>+0,34</v>
      </c>
    </row>
    <row r="6">
      <c r="A6" s="1" t="str">
        <f>IFERROR(__xludf.DUMMYFUNCTION("""COMPUTED_VALUE"""),"Bourgogne")</f>
        <v>Bourgogne</v>
      </c>
      <c r="B6" s="1">
        <f>IFERROR(__xludf.DUMMYFUNCTION("""COMPUTED_VALUE"""),1634.0)</f>
        <v>1634</v>
      </c>
      <c r="C6" s="1">
        <f>IFERROR(__xludf.DUMMYFUNCTION("""COMPUTED_VALUE"""),1637.0)</f>
        <v>1637</v>
      </c>
      <c r="D6" s="1">
        <f>IFERROR(__xludf.DUMMYFUNCTION("""COMPUTED_VALUE"""),1639.0)</f>
        <v>1639</v>
      </c>
      <c r="E6" s="1">
        <f>IFERROR(__xludf.DUMMYFUNCTION("""COMPUTED_VALUE"""),5.0)</f>
        <v>5</v>
      </c>
      <c r="F6" s="1" t="str">
        <f>IFERROR(__xludf.DUMMYFUNCTION("""COMPUTED_VALUE"""),"+0,18")</f>
        <v>+0,18</v>
      </c>
    </row>
    <row r="7">
      <c r="A7" s="1" t="str">
        <f>IFERROR(__xludf.DUMMYFUNCTION("""COMPUTED_VALUE"""),"Bretagne")</f>
        <v>Bretagne</v>
      </c>
      <c r="B7" s="1">
        <f>IFERROR(__xludf.DUMMYFUNCTION("""COMPUTED_VALUE"""),3120.0)</f>
        <v>3120</v>
      </c>
      <c r="C7" s="1">
        <f>IFERROR(__xludf.DUMMYFUNCTION("""COMPUTED_VALUE"""),3163.0)</f>
        <v>3163</v>
      </c>
      <c r="D7" s="1">
        <f>IFERROR(__xludf.DUMMYFUNCTION("""COMPUTED_VALUE"""),3273.0)</f>
        <v>3273</v>
      </c>
      <c r="E7" s="1">
        <f>IFERROR(__xludf.DUMMYFUNCTION("""COMPUTED_VALUE"""),153.0)</f>
        <v>153</v>
      </c>
      <c r="F7" s="1" t="str">
        <f>IFERROR(__xludf.DUMMYFUNCTION("""COMPUTED_VALUE"""),"+0,89")</f>
        <v>+0,89</v>
      </c>
    </row>
    <row r="8">
      <c r="A8" s="1" t="str">
        <f>IFERROR(__xludf.DUMMYFUNCTION("""COMPUTED_VALUE"""),"Centre")</f>
        <v>Centre</v>
      </c>
      <c r="B8" s="1" t="str">
        <f>IFERROR(__xludf.DUMMYFUNCTION("""COMPUTED_VALUE"""),"2 527")</f>
        <v>2 527</v>
      </c>
      <c r="C8" s="1" t="str">
        <f>IFERROR(__xludf.DUMMYFUNCTION("""COMPUTED_VALUE"""),"2 544")</f>
        <v>2 544</v>
      </c>
      <c r="D8" s="1" t="str">
        <f>IFERROR(__xludf.DUMMYFUNCTION("""COMPUTED_VALUE"""),"2 578")</f>
        <v>2 578</v>
      </c>
      <c r="E8" s="1">
        <f>IFERROR(__xludf.DUMMYFUNCTION("""COMPUTED_VALUE"""),51.0)</f>
        <v>51</v>
      </c>
      <c r="F8" s="1" t="str">
        <f>IFERROR(__xludf.DUMMYFUNCTION("""COMPUTED_VALUE"""),"+0,44")</f>
        <v>+0,44</v>
      </c>
    </row>
    <row r="9">
      <c r="A9" s="1" t="str">
        <f>IFERROR(__xludf.DUMMYFUNCTION("""COMPUTED_VALUE"""),"Champagne-Ardenne")</f>
        <v>Champagne-Ardenne</v>
      </c>
      <c r="B9" s="1" t="str">
        <f>IFERROR(__xludf.DUMMYFUNCTION("""COMPUTED_VALUE"""),"1 339")</f>
        <v>1 339</v>
      </c>
      <c r="C9" s="1" t="str">
        <f>IFERROR(__xludf.DUMMYFUNCTION("""COMPUTED_VALUE"""),"1 336")</f>
        <v>1 336</v>
      </c>
      <c r="D9" s="1" t="str">
        <f>IFERROR(__xludf.DUMMYFUNCTION("""COMPUTED_VALUE"""),"1 338")</f>
        <v>1 338</v>
      </c>
      <c r="E9" s="1">
        <f>IFERROR(__xludf.DUMMYFUNCTION("""COMPUTED_VALUE"""),-1.0)</f>
        <v>-1</v>
      </c>
      <c r="F9" s="1" t="str">
        <f>IFERROR(__xludf.DUMMYFUNCTION("""COMPUTED_VALUE"""),"-0,03")</f>
        <v>-0,03</v>
      </c>
    </row>
    <row r="10">
      <c r="A10" s="1" t="str">
        <f>IFERROR(__xludf.DUMMYFUNCTION("""COMPUTED_VALUE"""),"Corse")</f>
        <v>Corse</v>
      </c>
      <c r="B10" s="1">
        <f>IFERROR(__xludf.DUMMYFUNCTION("""COMPUTED_VALUE"""),299.0)</f>
        <v>299</v>
      </c>
      <c r="C10" s="1">
        <f>IFERROR(__xludf.DUMMYFUNCTION("""COMPUTED_VALUE"""),307.0)</f>
        <v>307</v>
      </c>
      <c r="D10" s="1">
        <f>IFERROR(__xludf.DUMMYFUNCTION("""COMPUTED_VALUE"""),323.0)</f>
        <v>323</v>
      </c>
      <c r="E10" s="1">
        <f>IFERROR(__xludf.DUMMYFUNCTION("""COMPUTED_VALUE"""),24.0)</f>
        <v>24</v>
      </c>
      <c r="F10" s="1" t="str">
        <f>IFERROR(__xludf.DUMMYFUNCTION("""COMPUTED_VALUE"""),"+1,76")</f>
        <v>+1,76</v>
      </c>
    </row>
    <row r="11">
      <c r="A11" s="1" t="str">
        <f>IFERROR(__xludf.DUMMYFUNCTION("""COMPUTED_VALUE"""),"Franche-Comté")</f>
        <v>Franche-Comté</v>
      </c>
      <c r="B11" s="1" t="str">
        <f>IFERROR(__xludf.DUMMYFUNCTION("""COMPUTED_VALUE"""),"1 159")</f>
        <v>1 159</v>
      </c>
      <c r="C11" s="1" t="str">
        <f>IFERROR(__xludf.DUMMYFUNCTION("""COMPUTED_VALUE"""),"1 168")</f>
        <v>1 168</v>
      </c>
      <c r="D11" s="1" t="str">
        <f>IFERROR(__xludf.DUMMYFUNCTION("""COMPUTED_VALUE"""),"1 179")</f>
        <v>1 179</v>
      </c>
      <c r="E11" s="1">
        <f>IFERROR(__xludf.DUMMYFUNCTION("""COMPUTED_VALUE"""),20.0)</f>
        <v>20</v>
      </c>
      <c r="F11" s="1" t="str">
        <f>IFERROR(__xludf.DUMMYFUNCTION("""COMPUTED_VALUE"""),"+0,46")</f>
        <v>+0,46</v>
      </c>
    </row>
    <row r="12">
      <c r="A12" s="1" t="str">
        <f>IFERROR(__xludf.DUMMYFUNCTION("""COMPUTED_VALUE"""),"Haute-Normandie")</f>
        <v>Haute-Normandie</v>
      </c>
      <c r="B12" s="1" t="str">
        <f>IFERROR(__xludf.DUMMYFUNCTION("""COMPUTED_VALUE"""),"1 817")</f>
        <v>1 817</v>
      </c>
      <c r="C12" s="1" t="str">
        <f>IFERROR(__xludf.DUMMYFUNCTION("""COMPUTED_VALUE"""),"1 822")</f>
        <v>1 822</v>
      </c>
      <c r="D12" s="1" t="str">
        <f>IFERROR(__xludf.DUMMYFUNCTION("""COMPUTED_VALUE"""),"1 852")</f>
        <v>1 852</v>
      </c>
      <c r="E12" s="1">
        <f>IFERROR(__xludf.DUMMYFUNCTION("""COMPUTED_VALUE"""),35.0)</f>
        <v>35</v>
      </c>
      <c r="F12" s="1" t="str">
        <f>IFERROR(__xludf.DUMMYFUNCTION("""COMPUTED_VALUE"""),"+0,25")</f>
        <v>+0,25</v>
      </c>
    </row>
    <row r="13">
      <c r="A13" s="1" t="str">
        <f>IFERROR(__xludf.DUMMYFUNCTION("""COMPUTED_VALUE"""),"Île-de-France")</f>
        <v>Île-de-France</v>
      </c>
      <c r="B13" s="1" t="str">
        <f>IFERROR(__xludf.DUMMYFUNCTION("""COMPUTED_VALUE"""),"11 599")</f>
        <v>11 599</v>
      </c>
      <c r="C13" s="1" t="str">
        <f>IFERROR(__xludf.DUMMYFUNCTION("""COMPUTED_VALUE"""),"11 746")</f>
        <v>11 746</v>
      </c>
      <c r="D13" s="1" t="str">
        <f>IFERROR(__xludf.DUMMYFUNCTION("""COMPUTED_VALUE"""),"12 005")</f>
        <v>12 005</v>
      </c>
      <c r="E13" s="1">
        <f>IFERROR(__xludf.DUMMYFUNCTION("""COMPUTED_VALUE"""),406.0)</f>
        <v>406</v>
      </c>
      <c r="F13" s="1" t="str">
        <f>IFERROR(__xludf.DUMMYFUNCTION("""COMPUTED_VALUE"""),"+0,72")</f>
        <v>+0,72</v>
      </c>
    </row>
    <row r="14">
      <c r="A14" s="1" t="str">
        <f>IFERROR(__xludf.DUMMYFUNCTION("""COMPUTED_VALUE"""),"Languedoc-Roussillon")</f>
        <v>Languedoc-Roussillon</v>
      </c>
      <c r="B14" s="1" t="str">
        <f>IFERROR(__xludf.DUMMYFUNCTION("""COMPUTED_VALUE"""),"2 561")</f>
        <v>2 561</v>
      </c>
      <c r="C14" s="1" t="str">
        <f>IFERROR(__xludf.DUMMYFUNCTION("""COMPUTED_VALUE"""),"2 616")</f>
        <v>2 616</v>
      </c>
      <c r="D14" s="1" t="str">
        <f>IFERROR(__xludf.DUMMYFUNCTION("""COMPUTED_VALUE"""),"2 758")</f>
        <v>2 758</v>
      </c>
      <c r="E14" s="1">
        <f>IFERROR(__xludf.DUMMYFUNCTION("""COMPUTED_VALUE"""),197.0)</f>
        <v>197</v>
      </c>
      <c r="F14" s="1" t="str">
        <f>IFERROR(__xludf.DUMMYFUNCTION("""COMPUTED_VALUE"""),"+1,38")</f>
        <v>+1,38</v>
      </c>
    </row>
    <row r="15">
      <c r="A15" s="1" t="str">
        <f>IFERROR(__xludf.DUMMYFUNCTION("""COMPUTED_VALUE"""),"Limousin")</f>
        <v>Limousin</v>
      </c>
      <c r="B15" s="1">
        <f>IFERROR(__xludf.DUMMYFUNCTION("""COMPUTED_VALUE"""),737.0)</f>
        <v>737</v>
      </c>
      <c r="C15" s="1">
        <f>IFERROR(__xludf.DUMMYFUNCTION("""COMPUTED_VALUE"""),741.0)</f>
        <v>741</v>
      </c>
      <c r="D15" s="1">
        <f>IFERROR(__xludf.DUMMYFUNCTION("""COMPUTED_VALUE"""),734.0)</f>
        <v>734</v>
      </c>
      <c r="E15" s="1">
        <f>IFERROR(__xludf.DUMMYFUNCTION("""COMPUTED_VALUE"""),-3.0)</f>
        <v>-3</v>
      </c>
      <c r="F15" s="1" t="str">
        <f>IFERROR(__xludf.DUMMYFUNCTION("""COMPUTED_VALUE"""),"+0,45")</f>
        <v>+0,45</v>
      </c>
    </row>
    <row r="16">
      <c r="A16" s="1" t="str">
        <f>IFERROR(__xludf.DUMMYFUNCTION("""COMPUTED_VALUE"""),"Lorraine")</f>
        <v>Lorraine</v>
      </c>
      <c r="B16" s="1" t="str">
        <f>IFERROR(__xludf.DUMMYFUNCTION("""COMPUTED_VALUE"""),"2 340")</f>
        <v>2 340</v>
      </c>
      <c r="C16" s="1" t="str">
        <f>IFERROR(__xludf.DUMMYFUNCTION("""COMPUTED_VALUE"""),"2 342")</f>
        <v>2 342</v>
      </c>
      <c r="D16" s="1" t="str">
        <f>IFERROR(__xludf.DUMMYFUNCTION("""COMPUTED_VALUE"""),"2 346")</f>
        <v>2 346</v>
      </c>
      <c r="E16" s="1">
        <f>IFERROR(__xludf.DUMMYFUNCTION("""COMPUTED_VALUE"""),6.0)</f>
        <v>6</v>
      </c>
      <c r="F16" s="1" t="str">
        <f>IFERROR(__xludf.DUMMYFUNCTION("""COMPUTED_VALUE"""),"+0,16")</f>
        <v>+0,16</v>
      </c>
    </row>
    <row r="17">
      <c r="A17" s="1" t="str">
        <f>IFERROR(__xludf.DUMMYFUNCTION("""COMPUTED_VALUE"""),"Midi-Pyrénées")</f>
        <v>Midi-Pyrénées</v>
      </c>
      <c r="B17" s="1" t="str">
        <f>IFERROR(__xludf.DUMMYFUNCTION("""COMPUTED_VALUE"""),"2 811")</f>
        <v>2 811</v>
      </c>
      <c r="C17" s="1" t="str">
        <f>IFERROR(__xludf.DUMMYFUNCTION("""COMPUTED_VALUE"""),"2 865")</f>
        <v>2 865</v>
      </c>
      <c r="D17" s="1" t="str">
        <f>IFERROR(__xludf.DUMMYFUNCTION("""COMPUTED_VALUE"""),"2 967")</f>
        <v>2 967</v>
      </c>
      <c r="E17" s="1">
        <f>IFERROR(__xludf.DUMMYFUNCTION("""COMPUTED_VALUE"""),156.0)</f>
        <v>156</v>
      </c>
      <c r="F17" s="1" t="str">
        <f>IFERROR(__xludf.DUMMYFUNCTION("""COMPUTED_VALUE"""),"+1,22")</f>
        <v>+1,22</v>
      </c>
    </row>
    <row r="18">
      <c r="A18" s="1" t="str">
        <f>IFERROR(__xludf.DUMMYFUNCTION("""COMPUTED_VALUE"""),"Nord-Pas-de-Calais")</f>
        <v>Nord-Pas-de-Calais</v>
      </c>
      <c r="B18" s="1" t="str">
        <f>IFERROR(__xludf.DUMMYFUNCTION("""COMPUTED_VALUE"""),"4 022")</f>
        <v>4 022</v>
      </c>
      <c r="C18" s="1" t="str">
        <f>IFERROR(__xludf.DUMMYFUNCTION("""COMPUTED_VALUE"""),"4 022")</f>
        <v>4 022</v>
      </c>
      <c r="D18" s="1" t="str">
        <f>IFERROR(__xludf.DUMMYFUNCTION("""COMPUTED_VALUE"""),"4 058")</f>
        <v>4 058</v>
      </c>
      <c r="E18" s="1">
        <f>IFERROR(__xludf.DUMMYFUNCTION("""COMPUTED_VALUE"""),36.0)</f>
        <v>36</v>
      </c>
      <c r="F18" s="1" t="str">
        <f>IFERROR(__xludf.DUMMYFUNCTION("""COMPUTED_VALUE"""),"+0,08")</f>
        <v>+0,08</v>
      </c>
    </row>
    <row r="19">
      <c r="A19" s="1" t="str">
        <f>IFERROR(__xludf.DUMMYFUNCTION("""COMPUTED_VALUE"""),"Pays de la Loire")</f>
        <v>Pays de la Loire</v>
      </c>
      <c r="B19" s="1" t="str">
        <f>IFERROR(__xludf.DUMMYFUNCTION("""COMPUTED_VALUE"""),"3 483")</f>
        <v>3 483</v>
      </c>
      <c r="C19" s="1" t="str">
        <f>IFERROR(__xludf.DUMMYFUNCTION("""COMPUTED_VALUE"""),"3 538")</f>
        <v>3 538</v>
      </c>
      <c r="D19" s="1" t="str">
        <f>IFERROR(__xludf.DUMMYFUNCTION("""COMPUTED_VALUE"""),"3 690")</f>
        <v>3 690</v>
      </c>
      <c r="E19" s="1">
        <f>IFERROR(__xludf.DUMMYFUNCTION("""COMPUTED_VALUE"""),207.0)</f>
        <v>207</v>
      </c>
      <c r="F19" s="1" t="str">
        <f>IFERROR(__xludf.DUMMYFUNCTION("""COMPUTED_VALUE"""),"+0,98")</f>
        <v>+0,98</v>
      </c>
    </row>
    <row r="20">
      <c r="A20" s="1" t="str">
        <f>IFERROR(__xludf.DUMMYFUNCTION("""COMPUTED_VALUE"""),"Picardie")</f>
        <v>Picardie</v>
      </c>
      <c r="B20" s="1" t="str">
        <f>IFERROR(__xludf.DUMMYFUNCTION("""COMPUTED_VALUE"""),"1 900")</f>
        <v>1 900</v>
      </c>
      <c r="C20" s="1" t="str">
        <f>IFERROR(__xludf.DUMMYFUNCTION("""COMPUTED_VALUE"""),"1 906")</f>
        <v>1 906</v>
      </c>
      <c r="D20" s="1" t="str">
        <f>IFERROR(__xludf.DUMMYFUNCTION("""COMPUTED_VALUE"""),"1 927")</f>
        <v>1 927</v>
      </c>
      <c r="E20" s="1">
        <f>IFERROR(__xludf.DUMMYFUNCTION("""COMPUTED_VALUE"""),27.0)</f>
        <v>27</v>
      </c>
      <c r="F20" s="1" t="str">
        <f>IFERROR(__xludf.DUMMYFUNCTION("""COMPUTED_VALUE"""),"+0,28")</f>
        <v>+0,28</v>
      </c>
    </row>
    <row r="21">
      <c r="A21" s="1" t="str">
        <f>IFERROR(__xludf.DUMMYFUNCTION("""COMPUTED_VALUE"""),"Poitou-Charentes")</f>
        <v>Poitou-Charentes</v>
      </c>
      <c r="B21" s="1" t="str">
        <f>IFERROR(__xludf.DUMMYFUNCTION("""COMPUTED_VALUE"""),"1 740")</f>
        <v>1 740</v>
      </c>
      <c r="C21" s="1" t="str">
        <f>IFERROR(__xludf.DUMMYFUNCTION("""COMPUTED_VALUE"""),"1 759")</f>
        <v>1 759</v>
      </c>
      <c r="D21" s="1" t="str">
        <f>IFERROR(__xludf.DUMMYFUNCTION("""COMPUTED_VALUE"""),"1 796")</f>
        <v>1 796</v>
      </c>
      <c r="E21" s="1">
        <f>IFERROR(__xludf.DUMMYFUNCTION("""COMPUTED_VALUE"""),56.0)</f>
        <v>56</v>
      </c>
      <c r="F21" s="1" t="str">
        <f>IFERROR(__xludf.DUMMYFUNCTION("""COMPUTED_VALUE"""),"+0,74")</f>
        <v>+0,74</v>
      </c>
    </row>
    <row r="22">
      <c r="A22" s="1" t="str">
        <f>IFERROR(__xludf.DUMMYFUNCTION("""COMPUTED_VALUE"""),"Provence-Alpes-Côte d'Azur")</f>
        <v>Provence-Alpes-Côte d'Azur</v>
      </c>
      <c r="B22" s="1" t="str">
        <f>IFERROR(__xludf.DUMMYFUNCTION("""COMPUTED_VALUE"""),"4 864")</f>
        <v>4 864</v>
      </c>
      <c r="C22" s="1" t="str">
        <f>IFERROR(__xludf.DUMMYFUNCTION("""COMPUTED_VALUE"""),"4 940")</f>
        <v>4 940</v>
      </c>
      <c r="D22" s="1" t="str">
        <f>IFERROR(__xludf.DUMMYFUNCTION("""COMPUTED_VALUE"""),"4 965")</f>
        <v>4 965</v>
      </c>
      <c r="E22" s="1">
        <f>IFERROR(__xludf.DUMMYFUNCTION("""COMPUTED_VALUE"""),101.0)</f>
        <v>101</v>
      </c>
      <c r="F22" s="1" t="str">
        <f>IFERROR(__xludf.DUMMYFUNCTION("""COMPUTED_VALUE"""),"+0,96")</f>
        <v>+0,96</v>
      </c>
    </row>
    <row r="23">
      <c r="A23" s="1" t="str">
        <f>IFERROR(__xludf.DUMMYFUNCTION("""COMPUTED_VALUE"""),"Rhône-Alpes")</f>
        <v>Rhône-Alpes</v>
      </c>
      <c r="B23" s="1" t="str">
        <f>IFERROR(__xludf.DUMMYFUNCTION("""COMPUTED_VALUE"""),"6 066")</f>
        <v>6 066</v>
      </c>
      <c r="C23" s="1" t="str">
        <f>IFERROR(__xludf.DUMMYFUNCTION("""COMPUTED_VALUE"""),"6 160")</f>
        <v>6 160</v>
      </c>
      <c r="D23" s="1" t="str">
        <f>IFERROR(__xludf.DUMMYFUNCTION("""COMPUTED_VALUE"""),"6 449")</f>
        <v>6 449</v>
      </c>
      <c r="E23" s="1">
        <f>IFERROR(__xludf.DUMMYFUNCTION("""COMPUTED_VALUE"""),383.0)</f>
        <v>383</v>
      </c>
      <c r="F23" s="1" t="str">
        <f>IFERROR(__xludf.DUMMYFUNCTION("""COMPUTED_VALUE"""),"+0,90")</f>
        <v>+0,90</v>
      </c>
    </row>
    <row r="24">
      <c r="A24" s="1" t="str">
        <f>IFERROR(__xludf.DUMMYFUNCTION("""COMPUTED_VALUE"""),"France métropolitaine")</f>
        <v>France métropolitaine</v>
      </c>
      <c r="B24" s="1" t="str">
        <f>IFERROR(__xludf.DUMMYFUNCTION("""COMPUTED_VALUE"""),"*61 796*")</f>
        <v>*61 796*</v>
      </c>
      <c r="C24" s="1" t="str">
        <f>IFERROR(__xludf.DUMMYFUNCTION("""COMPUTED_VALUE"""),"*62 469*")</f>
        <v>*62 469*</v>
      </c>
      <c r="D24" s="1" t="str">
        <f>IFERROR(__xludf.DUMMYFUNCTION("""COMPUTED_VALUE"""),"*63 920*")</f>
        <v>*63 920*</v>
      </c>
      <c r="E24" s="1" t="str">
        <f>IFERROR(__xludf.DUMMYFUNCTION("""COMPUTED_VALUE"""),"*2124*")</f>
        <v>*2124*</v>
      </c>
      <c r="F24" s="1" t="str">
        <f>IFERROR(__xludf.DUMMYFUNCTION("""COMPUTED_VALUE"""),"+0,68")</f>
        <v>+0,68</v>
      </c>
    </row>
    <row r="25">
      <c r="A25" s="1" t="str">
        <f>IFERROR(__xludf.DUMMYFUNCTION("""COMPUTED_VALUE"""),"Guadeloupe")</f>
        <v>Guadeloupe</v>
      </c>
      <c r="B25" s="1">
        <f>IFERROR(__xludf.DUMMYFUNCTION("""COMPUTED_VALUE"""),401.0)</f>
        <v>401</v>
      </c>
      <c r="C25" s="1">
        <f>IFERROR(__xludf.DUMMYFUNCTION("""COMPUTED_VALUE"""),404.0)</f>
        <v>404</v>
      </c>
      <c r="D25" s="1">
        <f>IFERROR(__xludf.DUMMYFUNCTION("""COMPUTED_VALUE"""),404.0)</f>
        <v>404</v>
      </c>
      <c r="E25" s="1">
        <f>IFERROR(__xludf.DUMMYFUNCTION("""COMPUTED_VALUE"""),3.0)</f>
        <v>3</v>
      </c>
      <c r="F25" s="1" t="str">
        <f>IFERROR(__xludf.DUMMYFUNCTION("""COMPUTED_VALUE"""),"+0,45 %")</f>
        <v>+0,45 %</v>
      </c>
    </row>
    <row r="26">
      <c r="A26" s="1" t="str">
        <f>IFERROR(__xludf.DUMMYFUNCTION("""COMPUTED_VALUE"""),"Guyane")</f>
        <v>Guyane</v>
      </c>
      <c r="B26" s="1">
        <f>IFERROR(__xludf.DUMMYFUNCTION("""COMPUTED_VALUE"""),213.0)</f>
        <v>213</v>
      </c>
      <c r="C26" s="1">
        <f>IFERROR(__xludf.DUMMYFUNCTION("""COMPUTED_VALUE"""),229.0)</f>
        <v>229</v>
      </c>
      <c r="D26" s="1">
        <f>IFERROR(__xludf.DUMMYFUNCTION("""COMPUTED_VALUE"""),250.0)</f>
        <v>250</v>
      </c>
      <c r="E26" s="1">
        <f>IFERROR(__xludf.DUMMYFUNCTION("""COMPUTED_VALUE"""),37.0)</f>
        <v>37</v>
      </c>
      <c r="F26" s="1" t="str">
        <f>IFERROR(__xludf.DUMMYFUNCTION("""COMPUTED_VALUE"""),"+3,87 %")</f>
        <v>+3,87 %</v>
      </c>
    </row>
    <row r="27">
      <c r="A27" s="1" t="str">
        <f>IFERROR(__xludf.DUMMYFUNCTION("""COMPUTED_VALUE"""),"Martinique")</f>
        <v>Martinique</v>
      </c>
      <c r="B27" s="1">
        <f>IFERROR(__xludf.DUMMYFUNCTION("""COMPUTED_VALUE"""),398.0)</f>
        <v>398</v>
      </c>
      <c r="C27" s="1">
        <f>IFERROR(__xludf.DUMMYFUNCTION("""COMPUTED_VALUE"""),402.0)</f>
        <v>402</v>
      </c>
      <c r="D27" s="1">
        <f>IFERROR(__xludf.DUMMYFUNCTION("""COMPUTED_VALUE"""),381.0)</f>
        <v>381</v>
      </c>
      <c r="E27" s="1">
        <f>IFERROR(__xludf.DUMMYFUNCTION("""COMPUTED_VALUE"""),-17.0)</f>
        <v>-17</v>
      </c>
      <c r="F27" s="1" t="str">
        <f>IFERROR(__xludf.DUMMYFUNCTION("""COMPUTED_VALUE"""),"+0,52 %")</f>
        <v>+0,52 %</v>
      </c>
    </row>
    <row r="28">
      <c r="A28" s="1" t="str">
        <f>IFERROR(__xludf.DUMMYFUNCTION("""COMPUTED_VALUE"""),"Réunion")</f>
        <v>Réunion</v>
      </c>
      <c r="B28" s="1">
        <f>IFERROR(__xludf.DUMMYFUNCTION("""COMPUTED_VALUE"""),794.0)</f>
        <v>794</v>
      </c>
      <c r="C28" s="1">
        <f>IFERROR(__xludf.DUMMYFUNCTION("""COMPUTED_VALUE"""),817.0)</f>
        <v>817</v>
      </c>
      <c r="D28" s="1">
        <f>IFERROR(__xludf.DUMMYFUNCTION("""COMPUTED_VALUE"""),845.0)</f>
        <v>845</v>
      </c>
      <c r="E28" s="1">
        <f>IFERROR(__xludf.DUMMYFUNCTION("""COMPUTED_VALUE"""),51.0)</f>
        <v>51</v>
      </c>
      <c r="F28" s="1" t="str">
        <f>IFERROR(__xludf.DUMMYFUNCTION("""COMPUTED_VALUE"""),"+1,48 %")</f>
        <v>+1,48 %</v>
      </c>
    </row>
    <row r="29">
      <c r="A29" s="1" t="str">
        <f>IFERROR(__xludf.DUMMYFUNCTION("""COMPUTED_VALUE"""),"*France entière*")</f>
        <v>*France entière*</v>
      </c>
      <c r="B29" s="1" t="str">
        <f>IFERROR(__xludf.DUMMYFUNCTION("""COMPUTED_VALUE"""),"*63 601*")</f>
        <v>*63 601*</v>
      </c>
      <c r="C29" s="1" t="str">
        <f>IFERROR(__xludf.DUMMYFUNCTION("""COMPUTED_VALUE"""),"*64 321*")</f>
        <v>*64 321*</v>
      </c>
      <c r="D29" s="1" t="str">
        <f>IFERROR(__xludf.DUMMYFUNCTION("""COMPUTED_VALUE"""),"*65 801*")</f>
        <v>*65 801*</v>
      </c>
      <c r="E29" s="1" t="str">
        <f>IFERROR(__xludf.DUMMYFUNCTION("""COMPUTED_VALUE"""),"*2 200*")</f>
        <v>*2 200*</v>
      </c>
      <c r="F29" s="1" t="str">
        <f>IFERROR(__xludf.DUMMYFUNCTION("""COMPUTED_VALUE"""),"*+0,70 %*")</f>
        <v>*+0,70 %*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7" max="7" width="20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3" t="s">
        <v>5</v>
      </c>
      <c r="H1" s="3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</v>
      </c>
      <c r="B2" s="4" t="s">
        <v>8</v>
      </c>
      <c r="C2" s="4" t="s">
        <v>9</v>
      </c>
      <c r="D2" s="4">
        <v>20.0</v>
      </c>
      <c r="E2" s="2" t="s">
        <v>10</v>
      </c>
      <c r="F2" s="2"/>
      <c r="G2" s="2" t="str">
        <f t="shared" ref="G2:H2" si="1">SUBSTITUTE(B2," ","")</f>
        <v>1827</v>
      </c>
      <c r="H2" s="2" t="str">
        <f t="shared" si="1"/>
        <v>1847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11</v>
      </c>
      <c r="B3" s="4" t="s">
        <v>12</v>
      </c>
      <c r="C3" s="4" t="s">
        <v>13</v>
      </c>
      <c r="D3" s="4">
        <v>49.0</v>
      </c>
      <c r="E3" s="2" t="s">
        <v>14</v>
      </c>
      <c r="F3" s="2"/>
      <c r="G3" s="2" t="str">
        <f t="shared" ref="G3:H3" si="2">SUBSTITUTE(B3," ","")</f>
        <v>3151</v>
      </c>
      <c r="H3" s="2" t="str">
        <f t="shared" si="2"/>
        <v>3200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</v>
      </c>
      <c r="B4" s="4" t="s">
        <v>16</v>
      </c>
      <c r="C4" s="4" t="s">
        <v>17</v>
      </c>
      <c r="D4" s="4">
        <v>4.0</v>
      </c>
      <c r="E4" s="2" t="s">
        <v>18</v>
      </c>
      <c r="F4" s="2"/>
      <c r="G4" s="2" t="str">
        <f t="shared" ref="G4:H4" si="3">SUBSTITUTE(B4," ","")</f>
        <v>1339</v>
      </c>
      <c r="H4" s="2" t="str">
        <f t="shared" si="3"/>
        <v>1343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19</v>
      </c>
      <c r="B5" s="4" t="s">
        <v>20</v>
      </c>
      <c r="C5" s="4" t="s">
        <v>21</v>
      </c>
      <c r="D5" s="4">
        <v>6.0</v>
      </c>
      <c r="E5" s="2" t="s">
        <v>22</v>
      </c>
      <c r="F5" s="2"/>
      <c r="G5" s="2" t="str">
        <f t="shared" ref="G5:H5" si="4">SUBSTITUTE(B5," ","")</f>
        <v>1461</v>
      </c>
      <c r="H5" s="2" t="str">
        <f t="shared" si="4"/>
        <v>1467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23</v>
      </c>
      <c r="B6" s="4" t="s">
        <v>24</v>
      </c>
      <c r="C6" s="4" t="s">
        <v>25</v>
      </c>
      <c r="D6" s="4">
        <v>1.0</v>
      </c>
      <c r="E6" s="2" t="s">
        <v>26</v>
      </c>
      <c r="F6" s="2"/>
      <c r="G6" s="2" t="str">
        <f t="shared" ref="G6:H6" si="5">SUBSTITUTE(B6," ","")</f>
        <v>1634</v>
      </c>
      <c r="H6" s="2" t="str">
        <f t="shared" si="5"/>
        <v>1637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27</v>
      </c>
      <c r="B7" s="4" t="s">
        <v>28</v>
      </c>
      <c r="C7" s="4" t="s">
        <v>29</v>
      </c>
      <c r="D7" s="4">
        <v>43.0</v>
      </c>
      <c r="E7" s="2" t="s">
        <v>30</v>
      </c>
      <c r="F7" s="2"/>
      <c r="G7" s="2" t="str">
        <f t="shared" ref="G7:H7" si="6">SUBSTITUTE(B7," ","")</f>
        <v>3120</v>
      </c>
      <c r="H7" s="2" t="str">
        <f t="shared" si="6"/>
        <v>3163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31</v>
      </c>
      <c r="B8" s="4" t="s">
        <v>32</v>
      </c>
      <c r="C8" s="4" t="s">
        <v>33</v>
      </c>
      <c r="D8" s="4">
        <v>17.0</v>
      </c>
      <c r="E8" s="2" t="s">
        <v>34</v>
      </c>
      <c r="F8" s="2"/>
      <c r="G8" s="2" t="str">
        <f t="shared" ref="G8:H8" si="7">SUBSTITUTE(B8," ","")</f>
        <v>2527</v>
      </c>
      <c r="H8" s="2" t="str">
        <f t="shared" si="7"/>
        <v>2544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35</v>
      </c>
      <c r="B9" s="4" t="s">
        <v>16</v>
      </c>
      <c r="C9" s="4" t="s">
        <v>36</v>
      </c>
      <c r="D9" s="4">
        <v>-3.0</v>
      </c>
      <c r="E9" s="2" t="s">
        <v>37</v>
      </c>
      <c r="F9" s="2"/>
      <c r="G9" s="2" t="str">
        <f t="shared" ref="G9:H9" si="8">SUBSTITUTE(B9," ","")</f>
        <v>1339</v>
      </c>
      <c r="H9" s="2" t="str">
        <f t="shared" si="8"/>
        <v>1336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38</v>
      </c>
      <c r="B10" s="4">
        <v>299.0</v>
      </c>
      <c r="C10" s="4">
        <v>307.0</v>
      </c>
      <c r="D10" s="4">
        <v>8.0</v>
      </c>
      <c r="E10" s="2" t="s">
        <v>39</v>
      </c>
      <c r="F10" s="2"/>
      <c r="G10" s="2" t="str">
        <f t="shared" ref="G10:H10" si="9">SUBSTITUTE(B10," ","")</f>
        <v>299.00</v>
      </c>
      <c r="H10" s="2" t="str">
        <f t="shared" si="9"/>
        <v>307.00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40</v>
      </c>
      <c r="B11" s="4" t="s">
        <v>41</v>
      </c>
      <c r="C11" s="4" t="s">
        <v>42</v>
      </c>
      <c r="D11" s="4">
        <v>9.0</v>
      </c>
      <c r="E11" s="2" t="s">
        <v>43</v>
      </c>
      <c r="F11" s="2"/>
      <c r="G11" s="2" t="str">
        <f t="shared" ref="G11:H11" si="10">SUBSTITUTE(B11," ","")</f>
        <v>1159</v>
      </c>
      <c r="H11" s="2" t="str">
        <f t="shared" si="10"/>
        <v>1168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44</v>
      </c>
      <c r="B12" s="4" t="s">
        <v>45</v>
      </c>
      <c r="C12" s="4" t="s">
        <v>46</v>
      </c>
      <c r="D12" s="4">
        <v>5.0</v>
      </c>
      <c r="E12" s="2" t="s">
        <v>47</v>
      </c>
      <c r="F12" s="2"/>
      <c r="G12" s="2" t="str">
        <f t="shared" ref="G12:H12" si="11">SUBSTITUTE(B12," ","")</f>
        <v>1817</v>
      </c>
      <c r="H12" s="2" t="str">
        <f t="shared" si="11"/>
        <v>1822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48</v>
      </c>
      <c r="B13" s="4" t="s">
        <v>49</v>
      </c>
      <c r="C13" s="4" t="s">
        <v>50</v>
      </c>
      <c r="D13" s="4">
        <v>147.0</v>
      </c>
      <c r="E13" s="2" t="s">
        <v>51</v>
      </c>
      <c r="F13" s="2"/>
      <c r="G13" s="2" t="str">
        <f t="shared" ref="G13:H13" si="12">SUBSTITUTE(B13," ","")</f>
        <v>11599</v>
      </c>
      <c r="H13" s="2" t="str">
        <f t="shared" si="12"/>
        <v>11746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52</v>
      </c>
      <c r="B14" s="4" t="s">
        <v>53</v>
      </c>
      <c r="C14" s="4" t="s">
        <v>54</v>
      </c>
      <c r="D14" s="4">
        <v>55.0</v>
      </c>
      <c r="E14" s="2" t="s">
        <v>55</v>
      </c>
      <c r="F14" s="2"/>
      <c r="G14" s="2" t="str">
        <f t="shared" ref="G14:H14" si="13">SUBSTITUTE(B14," ","")</f>
        <v>2561</v>
      </c>
      <c r="H14" s="2" t="str">
        <f t="shared" si="13"/>
        <v>2616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56</v>
      </c>
      <c r="B15" s="4">
        <v>737.0</v>
      </c>
      <c r="C15" s="4">
        <v>741.0</v>
      </c>
      <c r="D15" s="4">
        <v>4.0</v>
      </c>
      <c r="E15" s="2" t="s">
        <v>57</v>
      </c>
      <c r="F15" s="2"/>
      <c r="G15" s="2" t="str">
        <f t="shared" ref="G15:H15" si="14">SUBSTITUTE(B15," ","")</f>
        <v>737.00</v>
      </c>
      <c r="H15" s="2" t="str">
        <f t="shared" si="14"/>
        <v>741.00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58</v>
      </c>
      <c r="B16" s="4" t="s">
        <v>59</v>
      </c>
      <c r="C16" s="4" t="s">
        <v>60</v>
      </c>
      <c r="D16" s="4">
        <v>2.0</v>
      </c>
      <c r="E16" s="2" t="s">
        <v>61</v>
      </c>
      <c r="F16" s="2"/>
      <c r="G16" s="2" t="str">
        <f t="shared" ref="G16:H16" si="15">SUBSTITUTE(B16," ","")</f>
        <v>2340</v>
      </c>
      <c r="H16" s="2" t="str">
        <f t="shared" si="15"/>
        <v>2342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62</v>
      </c>
      <c r="B17" s="4" t="s">
        <v>63</v>
      </c>
      <c r="C17" s="4" t="s">
        <v>64</v>
      </c>
      <c r="D17" s="4">
        <v>54.0</v>
      </c>
      <c r="E17" s="2" t="s">
        <v>65</v>
      </c>
      <c r="F17" s="2"/>
      <c r="G17" s="2" t="str">
        <f t="shared" ref="G17:H17" si="16">SUBSTITUTE(B17," ","")</f>
        <v>2811</v>
      </c>
      <c r="H17" s="2" t="str">
        <f t="shared" si="16"/>
        <v>2865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66</v>
      </c>
      <c r="B18" s="4" t="s">
        <v>67</v>
      </c>
      <c r="C18" s="4" t="s">
        <v>67</v>
      </c>
      <c r="D18" s="4">
        <v>0.0</v>
      </c>
      <c r="E18" s="2" t="s">
        <v>68</v>
      </c>
      <c r="F18" s="2"/>
      <c r="G18" s="2" t="str">
        <f t="shared" ref="G18:H18" si="17">SUBSTITUTE(B18," ","")</f>
        <v>4022</v>
      </c>
      <c r="H18" s="2" t="str">
        <f t="shared" si="17"/>
        <v>4022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69</v>
      </c>
      <c r="B19" s="4" t="s">
        <v>70</v>
      </c>
      <c r="C19" s="4" t="s">
        <v>71</v>
      </c>
      <c r="D19" s="4">
        <v>55.0</v>
      </c>
      <c r="E19" s="2" t="s">
        <v>72</v>
      </c>
      <c r="F19" s="2"/>
      <c r="G19" s="2" t="str">
        <f t="shared" ref="G19:H19" si="18">SUBSTITUTE(B19," ","")</f>
        <v>3483</v>
      </c>
      <c r="H19" s="2" t="str">
        <f t="shared" si="18"/>
        <v>3538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73</v>
      </c>
      <c r="B20" s="4" t="s">
        <v>74</v>
      </c>
      <c r="C20" s="4" t="s">
        <v>75</v>
      </c>
      <c r="D20" s="4">
        <v>6.0</v>
      </c>
      <c r="E20" s="2" t="s">
        <v>76</v>
      </c>
      <c r="F20" s="2"/>
      <c r="G20" s="2" t="str">
        <f t="shared" ref="G20:H20" si="19">SUBSTITUTE(B20," ","")</f>
        <v>1900</v>
      </c>
      <c r="H20" s="2" t="str">
        <f t="shared" si="19"/>
        <v>1906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77</v>
      </c>
      <c r="B21" s="4" t="s">
        <v>78</v>
      </c>
      <c r="C21" s="4" t="s">
        <v>79</v>
      </c>
      <c r="D21" s="4">
        <v>19.0</v>
      </c>
      <c r="E21" s="2" t="s">
        <v>80</v>
      </c>
      <c r="F21" s="2"/>
      <c r="G21" s="2" t="str">
        <f t="shared" ref="G21:H21" si="20">SUBSTITUTE(B21," ","")</f>
        <v>1740</v>
      </c>
      <c r="H21" s="2" t="str">
        <f t="shared" si="20"/>
        <v>1759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81</v>
      </c>
      <c r="B22" s="4" t="s">
        <v>82</v>
      </c>
      <c r="C22" s="4" t="s">
        <v>83</v>
      </c>
      <c r="D22" s="4">
        <v>76.0</v>
      </c>
      <c r="E22" s="2" t="s">
        <v>84</v>
      </c>
      <c r="F22" s="2"/>
      <c r="G22" s="2" t="str">
        <f t="shared" ref="G22:H22" si="21">SUBSTITUTE(B22," ","")</f>
        <v>4864</v>
      </c>
      <c r="H22" s="2" t="str">
        <f t="shared" si="21"/>
        <v>4940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85</v>
      </c>
      <c r="B23" s="4" t="s">
        <v>86</v>
      </c>
      <c r="C23" s="4" t="s">
        <v>87</v>
      </c>
      <c r="D23" s="4">
        <v>94.0</v>
      </c>
      <c r="E23" s="2" t="s">
        <v>88</v>
      </c>
      <c r="F23" s="2"/>
      <c r="G23" s="2" t="str">
        <f t="shared" ref="G23:H23" si="22">SUBSTITUTE(B23," ","")</f>
        <v>6066</v>
      </c>
      <c r="H23" s="2" t="str">
        <f t="shared" si="22"/>
        <v>6160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89</v>
      </c>
      <c r="B24" s="4">
        <v>401.0</v>
      </c>
      <c r="C24" s="4">
        <v>404.0</v>
      </c>
      <c r="D24" s="4">
        <v>3.0</v>
      </c>
      <c r="E24" s="2" t="s">
        <v>57</v>
      </c>
      <c r="F24" s="2"/>
      <c r="G24" s="2" t="str">
        <f t="shared" ref="G24:H24" si="23">SUBSTITUTE(B24," ","")</f>
        <v>401.00</v>
      </c>
      <c r="H24" s="2" t="str">
        <f t="shared" si="23"/>
        <v>404.00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90</v>
      </c>
      <c r="B25" s="4">
        <v>213.0</v>
      </c>
      <c r="C25" s="4">
        <v>229.0</v>
      </c>
      <c r="D25" s="4">
        <v>16.0</v>
      </c>
      <c r="E25" s="2" t="s">
        <v>91</v>
      </c>
      <c r="F25" s="2"/>
      <c r="G25" s="2" t="str">
        <f t="shared" ref="G25:H25" si="24">SUBSTITUTE(B25," ","")</f>
        <v>213.00</v>
      </c>
      <c r="H25" s="2" t="str">
        <f t="shared" si="24"/>
        <v>229.00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92</v>
      </c>
      <c r="B26" s="4">
        <v>398.0</v>
      </c>
      <c r="C26" s="4">
        <v>402.0</v>
      </c>
      <c r="D26" s="4">
        <v>3.0</v>
      </c>
      <c r="E26" s="2" t="s">
        <v>93</v>
      </c>
      <c r="F26" s="2"/>
      <c r="G26" s="2" t="str">
        <f t="shared" ref="G26:H26" si="25">SUBSTITUTE(B26," ","")</f>
        <v>398.00</v>
      </c>
      <c r="H26" s="2" t="str">
        <f t="shared" si="25"/>
        <v>402.00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94</v>
      </c>
      <c r="B27" s="4">
        <v>794.0</v>
      </c>
      <c r="C27" s="4">
        <v>817.0</v>
      </c>
      <c r="D27" s="4">
        <v>13.0</v>
      </c>
      <c r="E27" s="2" t="s">
        <v>95</v>
      </c>
      <c r="F27" s="2"/>
      <c r="G27" s="2" t="str">
        <f t="shared" ref="G27:H27" si="26">SUBSTITUTE(B27," ","")</f>
        <v>794.00</v>
      </c>
      <c r="H27" s="2" t="str">
        <f t="shared" si="26"/>
        <v>817.00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0.13"/>
  </cols>
  <sheetData>
    <row r="1">
      <c r="A1" s="5" t="s">
        <v>0</v>
      </c>
      <c r="B1" s="6" t="s">
        <v>5</v>
      </c>
      <c r="C1" s="6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 t="s">
        <v>7</v>
      </c>
      <c r="B2" s="4">
        <v>1827.0</v>
      </c>
      <c r="C2" s="4">
        <v>1847.0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 t="s">
        <v>11</v>
      </c>
      <c r="B3" s="4">
        <v>3151.0</v>
      </c>
      <c r="C3" s="4">
        <v>3200.0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 t="s">
        <v>15</v>
      </c>
      <c r="B4" s="4">
        <v>1339.0</v>
      </c>
      <c r="C4" s="4">
        <v>1343.0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 t="s">
        <v>19</v>
      </c>
      <c r="B5" s="4">
        <v>1461.0</v>
      </c>
      <c r="C5" s="4">
        <v>1467.0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 t="s">
        <v>23</v>
      </c>
      <c r="B6" s="4">
        <v>1634.0</v>
      </c>
      <c r="C6" s="4">
        <v>1637.0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 t="s">
        <v>27</v>
      </c>
      <c r="B7" s="4">
        <v>3120.0</v>
      </c>
      <c r="C7" s="4">
        <v>3163.0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 t="s">
        <v>31</v>
      </c>
      <c r="B8" s="4">
        <v>2527.0</v>
      </c>
      <c r="C8" s="4">
        <v>2544.0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 t="s">
        <v>35</v>
      </c>
      <c r="B9" s="4">
        <v>1339.0</v>
      </c>
      <c r="C9" s="4">
        <v>1336.0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 t="s">
        <v>38</v>
      </c>
      <c r="B10" s="4">
        <v>299.0</v>
      </c>
      <c r="C10" s="4">
        <v>307.0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 t="s">
        <v>40</v>
      </c>
      <c r="B11" s="4">
        <v>1159.0</v>
      </c>
      <c r="C11" s="4">
        <v>1168.0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2" t="s">
        <v>44</v>
      </c>
      <c r="B12" s="4">
        <v>1817.0</v>
      </c>
      <c r="C12" s="4">
        <v>1822.0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2" t="s">
        <v>48</v>
      </c>
      <c r="B13" s="4">
        <v>11599.0</v>
      </c>
      <c r="C13" s="4">
        <v>11746.0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2" t="s">
        <v>52</v>
      </c>
      <c r="B14" s="4">
        <v>2561.0</v>
      </c>
      <c r="C14" s="4">
        <v>2616.0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 t="s">
        <v>56</v>
      </c>
      <c r="B15" s="4">
        <v>737.0</v>
      </c>
      <c r="C15" s="4">
        <v>741.0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 t="s">
        <v>58</v>
      </c>
      <c r="B16" s="4">
        <v>2340.0</v>
      </c>
      <c r="C16" s="4">
        <v>2342.0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 t="s">
        <v>62</v>
      </c>
      <c r="B17" s="4">
        <v>2811.0</v>
      </c>
      <c r="C17" s="4">
        <v>2865.0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 t="s">
        <v>66</v>
      </c>
      <c r="B18" s="4">
        <v>4022.0</v>
      </c>
      <c r="C18" s="4">
        <v>4022.0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 t="s">
        <v>69</v>
      </c>
      <c r="B19" s="4">
        <v>3483.0</v>
      </c>
      <c r="C19" s="4">
        <v>3538.0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 t="s">
        <v>73</v>
      </c>
      <c r="B20" s="4">
        <v>1900.0</v>
      </c>
      <c r="C20" s="4">
        <v>1906.0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 t="s">
        <v>77</v>
      </c>
      <c r="B21" s="4">
        <v>1740.0</v>
      </c>
      <c r="C21" s="4">
        <v>1759.0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 t="s">
        <v>81</v>
      </c>
      <c r="B22" s="4">
        <v>4864.0</v>
      </c>
      <c r="C22" s="4">
        <v>4940.0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 t="s">
        <v>85</v>
      </c>
      <c r="B23" s="4">
        <v>6066.0</v>
      </c>
      <c r="C23" s="4">
        <v>6160.0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 t="s">
        <v>89</v>
      </c>
      <c r="B24" s="4">
        <v>401.0</v>
      </c>
      <c r="C24" s="4">
        <v>404.0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 t="s">
        <v>90</v>
      </c>
      <c r="B25" s="4">
        <v>213.0</v>
      </c>
      <c r="C25" s="4">
        <v>229.0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 t="s">
        <v>92</v>
      </c>
      <c r="B26" s="4">
        <v>398.0</v>
      </c>
      <c r="C26" s="4">
        <v>402.0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 t="s">
        <v>94</v>
      </c>
      <c r="B27" s="4">
        <v>794.0</v>
      </c>
      <c r="C27" s="4">
        <v>817.0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</sheetData>
  <drawing r:id="rId1"/>
</worksheet>
</file>
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 initial" sheetId="1" r:id="rId4"/>
    <sheet state="visible" name="2018 clean final" sheetId="2" r:id="rId5"/>
    <sheet state="visible" name="2019 clean final" sheetId="3" r:id="rId6"/>
    <sheet state="visible" name="comparaison finale" sheetId="4" r:id="rId7"/>
  </sheets>
  <definedNames>
    <definedName hidden="1" localSheetId="1" name="_xlnm._FilterDatabase">'2018 clean final'!$C$1:$C$145</definedName>
  </definedNames>
  <calcPr/>
</workbook>
</file>

<file path=xl/sharedStrings.xml><?xml version="1.0" encoding="utf-8"?>
<sst xmlns="http://schemas.openxmlformats.org/spreadsheetml/2006/main" count="3689" uniqueCount="662">
  <si>
    <t>nomBeneficiaire_clean</t>
  </si>
  <si>
    <t>montant_clean</t>
  </si>
  <si>
    <t>conditionsVerse
ment</t>
  </si>
  <si>
    <t>idBénéficiaire</t>
  </si>
  <si>
    <t>referenceDecision</t>
  </si>
  <si>
    <t>dateConvention</t>
  </si>
  <si>
    <t>objet</t>
  </si>
  <si>
    <t>nature</t>
  </si>
  <si>
    <t>datesPériodeVersement</t>
  </si>
  <si>
    <t>idRAE</t>
  </si>
  <si>
    <t>notification
UE</t>
  </si>
  <si>
    <t>pourcenta
geSubvent
ion</t>
  </si>
  <si>
    <t>AURBA</t>
  </si>
  <si>
    <t>échelonné</t>
  </si>
  <si>
    <t>2017/833_2017-12-22</t>
  </si>
  <si>
    <t>fonctionnement</t>
  </si>
  <si>
    <t>aide en
numéraire</t>
  </si>
  <si>
    <t>2018-02-05_2018-07-05</t>
  </si>
  <si>
    <t>sans objet</t>
  </si>
  <si>
    <t>non</t>
  </si>
  <si>
    <t>OTCM Office Tourisme &amp; Congrès Métropolitains</t>
  </si>
  <si>
    <t>2018/48_2018-02-16</t>
  </si>
  <si>
    <t>2018-02-14_2018-08-14</t>
  </si>
  <si>
    <t>COS PERSONNEL Bordeaux Metropole</t>
  </si>
  <si>
    <t>2017/810_2017-12-22</t>
  </si>
  <si>
    <t>2017-12-22_2018-06-22</t>
  </si>
  <si>
    <t>BORDEAUX TECHNOWEST</t>
  </si>
  <si>
    <t>2018/368-2018-07-06</t>
  </si>
  <si>
    <t>2018-07-25_2019-01-25</t>
  </si>
  <si>
    <t>ARC EN REVE</t>
  </si>
  <si>
    <t>2018/161_2018-03-23</t>
  </si>
  <si>
    <t>2018-06-08_2018-12-08</t>
  </si>
  <si>
    <t>INVEST IN BORDEAUX</t>
  </si>
  <si>
    <t>2018/283-2018-04-27</t>
  </si>
  <si>
    <t>2018-06-20_2018-12-20</t>
  </si>
  <si>
    <t>CAP SCIENCES</t>
  </si>
  <si>
    <t>2018/359_2018-07-06</t>
  </si>
  <si>
    <t>2018-09-10_2019-03-10</t>
  </si>
  <si>
    <t>MAISON DE L'EMPLOI DE BX</t>
  </si>
  <si>
    <t>2018/99_2018-03-23</t>
  </si>
  <si>
    <t>2018-03-23_2018-09-23</t>
  </si>
  <si>
    <t>BORDEAUX GRANDS EVENEMENTS</t>
  </si>
  <si>
    <t>2018/200-2018-04-27</t>
  </si>
  <si>
    <t>fête du vin 2018</t>
  </si>
  <si>
    <t>2018-07-04_2019-01-04</t>
  </si>
  <si>
    <t>AGENCE DEVELOP. TOURISTIQUE GDE</t>
  </si>
  <si>
    <t>2018/50_2018-02-16</t>
  </si>
  <si>
    <t>FRENCHTECH</t>
  </si>
  <si>
    <t>2018/195_2018-04-27</t>
  </si>
  <si>
    <t>FESTIVAL DES ARTS DE BORDEAUX FAB</t>
  </si>
  <si>
    <t>2018/284_2018-04-27</t>
  </si>
  <si>
    <t>codev festival</t>
  </si>
  <si>
    <t>2018-06-18_2018-12-18</t>
  </si>
  <si>
    <t>ASSO EUROPEENNE DU FILM ANIMATION</t>
  </si>
  <si>
    <t>2018/49_2018-02-16</t>
  </si>
  <si>
    <t>Cartoon movie</t>
  </si>
  <si>
    <t>2018-03-26_2018-09-26</t>
  </si>
  <si>
    <t>ESCALES LITTERAIRES BX AQUITAINE</t>
  </si>
  <si>
    <t>escales du livre</t>
  </si>
  <si>
    <t>BORDEAUX UNITEC</t>
  </si>
  <si>
    <t>2018/367-2018-07-06</t>
  </si>
  <si>
    <t>programme d'actions</t>
  </si>
  <si>
    <t>ALEC agence locale de l'énergie</t>
  </si>
  <si>
    <t>2018/278_2018-04-27</t>
  </si>
  <si>
    <t>2018-05-15_2018-11-15</t>
  </si>
  <si>
    <t>CAISSE SOCIALE ENTRAIDE SAP.POMPIERS CUB</t>
  </si>
  <si>
    <t>1 versement</t>
  </si>
  <si>
    <t>2018/409_2018-07-06</t>
  </si>
  <si>
    <t>Fonctionnement</t>
  </si>
  <si>
    <t>2018-09-18_2019-03-18</t>
  </si>
  <si>
    <t>investissement</t>
  </si>
  <si>
    <t>FABRIQUE POLA</t>
  </si>
  <si>
    <t>2017/747_2017-11-24</t>
  </si>
  <si>
    <t>fonctionnement 2017</t>
  </si>
  <si>
    <t>2018-01-12_2018-07-12</t>
  </si>
  <si>
    <t>2018/41_2018-01-26</t>
  </si>
  <si>
    <t>2018-03-13_2018-10-13</t>
  </si>
  <si>
    <t>ADIL (asso. départ. pour information sur logement)</t>
  </si>
  <si>
    <t>2017/739_2017-11-24</t>
  </si>
  <si>
    <t>2017-11-30_2018-05-30</t>
  </si>
  <si>
    <t>MÉMOIRE DE BORDEAUX</t>
  </si>
  <si>
    <t>2018/002_2018-01-26</t>
  </si>
  <si>
    <t>2018-01-26_2018-07-26</t>
  </si>
  <si>
    <t>COMPAGNONS BATISSEURS</t>
  </si>
  <si>
    <t>2017/837_2017-12-22</t>
  </si>
  <si>
    <t>actions de formation</t>
  </si>
  <si>
    <t>AEROSPACE VALLEY</t>
  </si>
  <si>
    <t>2018/487_2018-09-28</t>
  </si>
  <si>
    <t>2018-11-13_2019-05-13</t>
  </si>
  <si>
    <t>ADAV 33</t>
  </si>
  <si>
    <t>2018/579_2018-09-28</t>
  </si>
  <si>
    <t>2018-10-12_2019-04-12</t>
  </si>
  <si>
    <t>UBM</t>
  </si>
  <si>
    <t>2017/801_2017-12-22</t>
  </si>
  <si>
    <t>2018-02-12_2018-08-02</t>
  </si>
  <si>
    <t>URHAJ</t>
  </si>
  <si>
    <t>2018/457_2018-07-06</t>
  </si>
  <si>
    <t>2018-09-04_2019-03-04</t>
  </si>
  <si>
    <t>STADE BORDELAIS ASPTT</t>
  </si>
  <si>
    <t>2017/184_2018-03-23</t>
  </si>
  <si>
    <t>marathon 2018</t>
  </si>
  <si>
    <t>AFEPT</t>
  </si>
  <si>
    <t>2018/100_2018-03-23</t>
  </si>
  <si>
    <t>PAIN ET PARTAGE SAS</t>
  </si>
  <si>
    <t>2018/005_2018-01-26</t>
  </si>
  <si>
    <t>aide à l'investissement</t>
  </si>
  <si>
    <t>2018-03-02_2018-09-02</t>
  </si>
  <si>
    <t>MEBA (MAISON DE L'EUROPE)</t>
  </si>
  <si>
    <t>2018/471_2018-07-06</t>
  </si>
  <si>
    <t>ADEM</t>
  </si>
  <si>
    <t>2018/468_2018-07-06</t>
  </si>
  <si>
    <t>Décastar</t>
  </si>
  <si>
    <t>2018-08-07_2019-02-07</t>
  </si>
  <si>
    <t>ALPHA</t>
  </si>
  <si>
    <t>2018/197_2018-04-27</t>
  </si>
  <si>
    <t>2018-07-02_2019-01-02</t>
  </si>
  <si>
    <t>CYCLES ET MANIVELLES</t>
  </si>
  <si>
    <t>2018/347-2018-06-15</t>
  </si>
  <si>
    <t>actions mobilité</t>
  </si>
  <si>
    <t>2018-08-06_2019-02-06</t>
  </si>
  <si>
    <t>ETU RECUP</t>
  </si>
  <si>
    <t>maison des mobilités</t>
  </si>
  <si>
    <t>2018-09-13_2019-03-13</t>
  </si>
  <si>
    <t>VELO CITE</t>
  </si>
  <si>
    <t>MAMMA maison
métropolitaine
mobilité alternative</t>
  </si>
  <si>
    <t>2018-07-23_2019-01-23</t>
  </si>
  <si>
    <t>COOP ALPHA</t>
  </si>
  <si>
    <t>2018/208-2018-04-27</t>
  </si>
  <si>
    <t>ESS soutien 2018</t>
  </si>
  <si>
    <t>2018-06-13_2018-12-13</t>
  </si>
  <si>
    <t>GRAINE AQUITAINE</t>
  </si>
  <si>
    <t>2018/280_2018-04-27</t>
  </si>
  <si>
    <t>juniors
développement
durable</t>
  </si>
  <si>
    <t>2018-06-01_2018-12-01</t>
  </si>
  <si>
    <t>AQUITAINE ACTIVE</t>
  </si>
  <si>
    <t>2018/207_2018-04-27</t>
  </si>
  <si>
    <t>inv. Pôle coopérat.
ESS Bordeaux</t>
  </si>
  <si>
    <t>FESTIVAL INTERNATIONAL</t>
  </si>
  <si>
    <t>codev festival du film
d'histoire</t>
  </si>
  <si>
    <t>UNIS CITES</t>
  </si>
  <si>
    <t>2017/736_2018-01-17</t>
  </si>
  <si>
    <t>2018-01-24_2018-07-24</t>
  </si>
  <si>
    <t>ARC SUD DEVELOPPEMENT</t>
  </si>
  <si>
    <t>2018/206-2018-04-27</t>
  </si>
  <si>
    <t>CREAC DE BEGLES</t>
  </si>
  <si>
    <t>codev cirque</t>
  </si>
  <si>
    <t>LA RONDE DES QUARTIERS DE BX</t>
  </si>
  <si>
    <t>2018/491_2018-09-28</t>
  </si>
  <si>
    <t>2018-11-14_2019-05-14</t>
  </si>
  <si>
    <t>ADIE</t>
  </si>
  <si>
    <t>fonctionnement et
soutien ESS</t>
  </si>
  <si>
    <t>HAUTS DE GARONNE</t>
  </si>
  <si>
    <t>2018/205_2018-04-27</t>
  </si>
  <si>
    <t>2018-06-28_2018-12-28</t>
  </si>
  <si>
    <t>ATIS</t>
  </si>
  <si>
    <t>ESS</t>
  </si>
  <si>
    <t>2018-06-04_2018-12-04</t>
  </si>
  <si>
    <t>TALENCE INNOVATION SUD DEVELOPP.</t>
  </si>
  <si>
    <t>2018/204-2018-04-27</t>
  </si>
  <si>
    <t>actions  2018</t>
  </si>
  <si>
    <t>2018-07-18_2018-01-18</t>
  </si>
  <si>
    <t>ESS soutien
investissement</t>
  </si>
  <si>
    <t>2018-07-05_2019-01-05</t>
  </si>
  <si>
    <t>ADMAA (ASSO DEFENSE MUSIQUES ALTERNATIVES)</t>
  </si>
  <si>
    <t>2017/348_2017-05-19</t>
  </si>
  <si>
    <t>été métropolitain 2017</t>
  </si>
  <si>
    <t>2018-02-02_2018-08-08</t>
  </si>
  <si>
    <t>ASSOCIATION FESTIVAL ODP</t>
  </si>
  <si>
    <t>2018/353-2018-06-15</t>
  </si>
  <si>
    <t>codev Festival ODP</t>
  </si>
  <si>
    <t>2018-06-29_2018-12-29</t>
  </si>
  <si>
    <t>MUSIQUE DE NUIT DIFFUSION</t>
  </si>
  <si>
    <t>été métropolitain</t>
  </si>
  <si>
    <t>CSDL (caisse sociale de dév local)</t>
  </si>
  <si>
    <t>2017/204_2017-04-14</t>
  </si>
  <si>
    <t>CSDL (caisse sociale dév local)</t>
  </si>
  <si>
    <t>CHAHUTS</t>
  </si>
  <si>
    <t>MUSIQUES DE NUIT DIFFUSION</t>
  </si>
  <si>
    <t>2018-42_2018-01-26</t>
  </si>
  <si>
    <t>Festival afro new bell</t>
  </si>
  <si>
    <t>2018-03-15_2018-09-15</t>
  </si>
  <si>
    <t>JIB (JUMPING INTERNATIONAL DE BORDEAUX)</t>
  </si>
  <si>
    <t>2018/003_2018-01-26</t>
  </si>
  <si>
    <t>22e salon du cheval</t>
  </si>
  <si>
    <t>2018-03-01_2018-09-01</t>
  </si>
  <si>
    <t>2018/207-2018-04-27</t>
  </si>
  <si>
    <t>2018-06-15_2018-12-15</t>
  </si>
  <si>
    <t>CIJA</t>
  </si>
  <si>
    <t>2018/001_2018-01-26</t>
  </si>
  <si>
    <t>2018/283_2018-04-27</t>
  </si>
  <si>
    <t>GARAGE MODERNE</t>
  </si>
  <si>
    <t>2018/490_2018-09-28</t>
  </si>
  <si>
    <t>2018-11-07_2019-05-07</t>
  </si>
  <si>
    <t>CLAP SUD OUEST</t>
  </si>
  <si>
    <t>2018/460_2018-07-06</t>
  </si>
  <si>
    <t>contrat de ville</t>
  </si>
  <si>
    <t>2018-08-23_2019-02-23</t>
  </si>
  <si>
    <t>2018/450-2018-07-06</t>
  </si>
  <si>
    <t>SEMER LE DOUTE</t>
  </si>
  <si>
    <t>contrat codev</t>
  </si>
  <si>
    <t>2018-06-06_2018-12-06</t>
  </si>
  <si>
    <t>A.DE.LE</t>
  </si>
  <si>
    <t>2018/376_2018-07-06</t>
  </si>
  <si>
    <t>OIN Euratlantique</t>
  </si>
  <si>
    <t>2018-09-27_2019-03-27</t>
  </si>
  <si>
    <t>ADSI TECHNOWEST</t>
  </si>
  <si>
    <t>2018/376-2018-07-06</t>
  </si>
  <si>
    <t>2018-08-20_2019-02-20</t>
  </si>
  <si>
    <t>BANQUE ALIMENTAIRE</t>
  </si>
  <si>
    <t>2018/303-2018-06-15</t>
  </si>
  <si>
    <t>2018-08-16_2019-02-16</t>
  </si>
  <si>
    <t>CLUSTER BORDEAUX SUPERYACHT</t>
  </si>
  <si>
    <t>2018/486_2018-09-28</t>
  </si>
  <si>
    <t>DIGITAL AQUITAINE</t>
  </si>
  <si>
    <t>2018/370-2018-07-06</t>
  </si>
  <si>
    <t>2018-08-22_2019-02-22</t>
  </si>
  <si>
    <t>LES RESTAURANTS DU CŒUR</t>
  </si>
  <si>
    <t>MAISON EMPLOI INSERTION ECO ENTREP</t>
  </si>
  <si>
    <t>codev festival Hauts
de Garonne</t>
  </si>
  <si>
    <t>SUPERCOOP SAS</t>
  </si>
  <si>
    <t>2018/103_2018-03-23</t>
  </si>
  <si>
    <t>2018-04-18_2018-10-18</t>
  </si>
  <si>
    <t>ADI NOUVELLE AQUITAINE</t>
  </si>
  <si>
    <t>2018/375-2018-07-06</t>
  </si>
  <si>
    <t>2018-08-27_2019-02-27</t>
  </si>
  <si>
    <t>ASSO TECH. FRUITS LEGUGMES GDE</t>
  </si>
  <si>
    <t>conseil de
maraîchage</t>
  </si>
  <si>
    <t>2018/196_2018-04-27</t>
  </si>
  <si>
    <t>Startup du territoire</t>
  </si>
  <si>
    <t>ESPRIT DE CORPS</t>
  </si>
  <si>
    <t>codev festival  Pouce</t>
  </si>
  <si>
    <t>2018/383_2018-07-06</t>
  </si>
  <si>
    <t>PLIE de Bordeaux</t>
  </si>
  <si>
    <t>BORDEAUX FOOD CLUB</t>
  </si>
  <si>
    <t>2018-05-27_2018-11-27</t>
  </si>
  <si>
    <t>SEW &amp; LAINE</t>
  </si>
  <si>
    <t>2018/382-2018-07-06</t>
  </si>
  <si>
    <t>La textilerie</t>
  </si>
  <si>
    <t>2018-08-17_2019-02-17</t>
  </si>
  <si>
    <t>IDDAC</t>
  </si>
  <si>
    <t>2018/177_2018-03-23</t>
  </si>
  <si>
    <t>journées juniors
dév.durable (JDD)</t>
  </si>
  <si>
    <t>2018-05-28_2018-11-28</t>
  </si>
  <si>
    <t>PASSAGE A L'ART</t>
  </si>
  <si>
    <t>codev Regard 9</t>
  </si>
  <si>
    <t>codev Festival
Relâche</t>
  </si>
  <si>
    <t>2018-07-06_2019-01-06</t>
  </si>
  <si>
    <t>création nouvelles
associations de
commerçants</t>
  </si>
  <si>
    <t>CIE LES MARCHES DE L'ÉTÉ</t>
  </si>
  <si>
    <t>festival 30/30</t>
  </si>
  <si>
    <t>FACE</t>
  </si>
  <si>
    <t>2018/178_2018-03-23</t>
  </si>
  <si>
    <t>université d'été</t>
  </si>
  <si>
    <t>LES ARTS AU MUR</t>
  </si>
  <si>
    <t>2018-07-19_2018-01-19</t>
  </si>
  <si>
    <t>PARALLELES ATTITUDES DIFFUSION</t>
  </si>
  <si>
    <t>codev carnaval des 2
rives</t>
  </si>
  <si>
    <t>RICOCHET SONORE</t>
  </si>
  <si>
    <t>2018-06-11_2018-12-11</t>
  </si>
  <si>
    <t>2018/182_2018-03-23</t>
  </si>
  <si>
    <t>FIFIB le coureur 2018</t>
  </si>
  <si>
    <t>2018-05-02_2018-11-02</t>
  </si>
  <si>
    <t>R 2 JEUX</t>
  </si>
  <si>
    <t>2018/209-2018-04-27</t>
  </si>
  <si>
    <t>ESS investissement</t>
  </si>
  <si>
    <t>AGEC &amp; CO</t>
  </si>
  <si>
    <t>2018-/86_2018-09-28</t>
  </si>
  <si>
    <t>2018-10-18_2019-04-18</t>
  </si>
  <si>
    <t>COAEQUO</t>
  </si>
  <si>
    <t>2018/586_2018-09-28</t>
  </si>
  <si>
    <t>manifestation SMAC
d'agglo</t>
  </si>
  <si>
    <t>2018-11-15_2019-05-15</t>
  </si>
  <si>
    <t>2018/489_2018-09-28</t>
  </si>
  <si>
    <t>PLIE</t>
  </si>
  <si>
    <t>2018-11-16_2019-05-16</t>
  </si>
  <si>
    <t>LES CAPRICES DE MARIANNE</t>
  </si>
  <si>
    <t>2018/40_2018-01-26</t>
  </si>
  <si>
    <t>ressourcerie Campus</t>
  </si>
  <si>
    <t>2018-07-17_2019-01-17</t>
  </si>
  <si>
    <t>Le bon goût</t>
  </si>
  <si>
    <t>MECHANIC CROUS</t>
  </si>
  <si>
    <t>été metropolitain</t>
  </si>
  <si>
    <t>2018-06-13_2019-12-13</t>
  </si>
  <si>
    <t>2018/480_2018-07-06</t>
  </si>
  <si>
    <t>2018-09-28_2019-03-28</t>
  </si>
  <si>
    <t>THE DESK</t>
  </si>
  <si>
    <t>UFASEC</t>
  </si>
  <si>
    <t>2017/800_2017-22-12</t>
  </si>
  <si>
    <t>CIDFF</t>
  </si>
  <si>
    <t>2018-08-30_2019-02-28</t>
  </si>
  <si>
    <t>BORDEAUX OPEN AIR</t>
  </si>
  <si>
    <t>2018-05-24_2018-11-24</t>
  </si>
  <si>
    <t>plateforme SOLIBAT</t>
  </si>
  <si>
    <t>GLUTAMINE</t>
  </si>
  <si>
    <t>action haute qualité
de vie</t>
  </si>
  <si>
    <t>2018-06-12_2018-12-12</t>
  </si>
  <si>
    <t>IUFM</t>
  </si>
  <si>
    <t>transition
énergétique</t>
  </si>
  <si>
    <t>2018-06-25_2018-12-25</t>
  </si>
  <si>
    <t>1-</t>
  </si>
  <si>
    <t>MOM'OUEST</t>
  </si>
  <si>
    <t>2018/302-2018-06-15</t>
  </si>
  <si>
    <t>TRAFIC</t>
  </si>
  <si>
    <t>2018-05-30_2018-11-30</t>
  </si>
  <si>
    <t>LA MECANIQUE GENERALE</t>
  </si>
  <si>
    <t>ARIANE PRODUCTIONS</t>
  </si>
  <si>
    <t>LETTRES DU MONDE</t>
  </si>
  <si>
    <t>2018/587_2018-09-28</t>
  </si>
  <si>
    <t>manifestation
création littéraire</t>
  </si>
  <si>
    <t>2018-11-02_2019-05-02</t>
  </si>
  <si>
    <t>CCIB</t>
  </si>
  <si>
    <t>2018/380_2018-07-06</t>
  </si>
  <si>
    <t>Manacom</t>
  </si>
  <si>
    <t>2018/367-2018-06-15</t>
  </si>
  <si>
    <t>Ronde de Gironde</t>
  </si>
  <si>
    <t>DATCHA</t>
  </si>
  <si>
    <t>L'IRREGULIERE</t>
  </si>
  <si>
    <t>MELI MEL ARTS</t>
  </si>
  <si>
    <t>PRINC'ESS</t>
  </si>
  <si>
    <t>invest. immobilier</t>
  </si>
  <si>
    <t>ARTS &amp; LOISIRS D'ARLAC</t>
  </si>
  <si>
    <t>2017/603_2017-11-24</t>
  </si>
  <si>
    <t>2018-01-30_2018-07-30</t>
  </si>
  <si>
    <t>ECOSITE DU BOURGAILH</t>
  </si>
  <si>
    <t>2018/294_2018-04-27</t>
  </si>
  <si>
    <t>CEPRI</t>
  </si>
  <si>
    <t>2018/439_2018-07-06</t>
  </si>
  <si>
    <t>2018-09-21_2019-03-21</t>
  </si>
  <si>
    <t>ADIEU PANURGE</t>
  </si>
  <si>
    <t>LES PETITS DEBROUILLARDS</t>
  </si>
  <si>
    <t>2018/460-2018-07-06</t>
  </si>
  <si>
    <t>2018-07-31_2019-01-31</t>
  </si>
  <si>
    <t>AMANIEU DE BOULIAC</t>
  </si>
  <si>
    <t>codev les médiévales</t>
  </si>
  <si>
    <t>PETRONILLE</t>
  </si>
  <si>
    <t>2018-06-19_2018-12-19</t>
  </si>
  <si>
    <t>BORDEAUX ROCK</t>
  </si>
  <si>
    <t>2018/285_2018-04-27</t>
  </si>
  <si>
    <t>festival 2018</t>
  </si>
  <si>
    <t>L'EPHEMERE</t>
  </si>
  <si>
    <t>LE POEME EN VOLUME</t>
  </si>
  <si>
    <t>UNML (UNION NATIONALE DES MISSIONS LOCALES)</t>
  </si>
  <si>
    <t>2017/686_2017-11-24</t>
  </si>
  <si>
    <t>2017-12-08_2018-06-08</t>
  </si>
  <si>
    <t>2018/271_2018-04-27</t>
  </si>
  <si>
    <t>2018-05-31_2018-11-30</t>
  </si>
  <si>
    <t>2018-09-25_2019-03-25</t>
  </si>
  <si>
    <t>2018-07-30_2019-01-30</t>
  </si>
  <si>
    <t>CAISSE SOCIALE DEV. LOCAL CSDL</t>
  </si>
  <si>
    <t>animation maison
éco citoyenne</t>
  </si>
  <si>
    <t>2018-01-20_2018-07-20</t>
  </si>
  <si>
    <t>CREAQ</t>
  </si>
  <si>
    <t>en 1 fois</t>
  </si>
  <si>
    <t>gestion locale des
biodéchets</t>
  </si>
  <si>
    <t>aide en
nature</t>
  </si>
  <si>
    <t>ACTIMAGE</t>
  </si>
  <si>
    <t>O PLAFOND</t>
  </si>
  <si>
    <t>appel ZZ zéro déchets</t>
  </si>
  <si>
    <t>versement_debut</t>
  </si>
  <si>
    <t>versement_fin</t>
  </si>
  <si>
    <t>duree_paiement</t>
  </si>
  <si>
    <t>nomBénéficiaire</t>
  </si>
  <si>
    <t>montant</t>
  </si>
  <si>
    <t>datepublication</t>
  </si>
  <si>
    <t>nomAttribuant</t>
  </si>
  <si>
    <t>idAttribuant</t>
  </si>
  <si>
    <t>idBeneficiaire</t>
  </si>
  <si>
    <t>conditionsVersement</t>
  </si>
  <si>
    <t>notificationUE</t>
  </si>
  <si>
    <t>pourcentageSubvention</t>
  </si>
  <si>
    <t>ADELE</t>
  </si>
  <si>
    <t>BORDEAUX METROPOLE</t>
  </si>
  <si>
    <t>2019/206</t>
  </si>
  <si>
    <t>PLIE DES GRAVES</t>
  </si>
  <si>
    <t>2019-07-05/2020-01-05</t>
  </si>
  <si>
    <t>2019/172</t>
  </si>
  <si>
    <t>DECASTAR</t>
  </si>
  <si>
    <t>2019-04-01/2019-10-01</t>
  </si>
  <si>
    <t>2019/205</t>
  </si>
  <si>
    <t>ESS programme
d'actions</t>
  </si>
  <si>
    <t>unique</t>
  </si>
  <si>
    <t>2019-06-11/2019-12-11</t>
  </si>
  <si>
    <t>2019/386</t>
  </si>
  <si>
    <t>2019-07-31/2020-01-31</t>
  </si>
  <si>
    <t>ADIL 33</t>
  </si>
  <si>
    <t>2018/573</t>
  </si>
  <si>
    <t>2018-11-09/2019-05-09</t>
  </si>
  <si>
    <t>ADMAA</t>
  </si>
  <si>
    <t>2019/263</t>
  </si>
  <si>
    <t>Eté métropolitain</t>
  </si>
  <si>
    <t>2019-05-27/2019-11-27</t>
  </si>
  <si>
    <t>2019/390</t>
  </si>
  <si>
    <t>Festival Relache</t>
  </si>
  <si>
    <t>2019-08-26/2020-02-26</t>
  </si>
  <si>
    <t>2019-06-03/2019-12-03</t>
  </si>
  <si>
    <t>2019/401</t>
  </si>
  <si>
    <t>OIM action emploi</t>
  </si>
  <si>
    <t>2019-07-12/2020-01-12</t>
  </si>
  <si>
    <t>2019/489</t>
  </si>
  <si>
    <t>2019-10-31/2020-04-30</t>
  </si>
  <si>
    <t>2019/63</t>
  </si>
  <si>
    <t>2019-03-08/2019-09-08</t>
  </si>
  <si>
    <t>AGEC ET CO</t>
  </si>
  <si>
    <t>2019/265</t>
  </si>
  <si>
    <t>projet artistique</t>
  </si>
  <si>
    <t>2019-05-29/2019-11-29</t>
  </si>
  <si>
    <t>AGENCE DEVELOPPEMENT
TOURISTIQUE</t>
  </si>
  <si>
    <t>2019/66</t>
  </si>
  <si>
    <t>2019-02-18/2019-08-18</t>
  </si>
  <si>
    <t>AGENCE QUALITE
CONSTRUCTION AQC</t>
  </si>
  <si>
    <t>2018/649</t>
  </si>
  <si>
    <t>Bien construire</t>
  </si>
  <si>
    <t>2019-01-15/2019-07-15</t>
  </si>
  <si>
    <t>ALEC</t>
  </si>
  <si>
    <t>2019/92</t>
  </si>
  <si>
    <t>déploiement PCAET</t>
  </si>
  <si>
    <t>2019/257</t>
  </si>
  <si>
    <t>2019-06-12/2019-12-12</t>
  </si>
  <si>
    <t>2019/278</t>
  </si>
  <si>
    <t>2019-06-19/2019-12-19</t>
  </si>
  <si>
    <t>2019/391</t>
  </si>
  <si>
    <t>Médiévales</t>
  </si>
  <si>
    <t>AQUINETIC</t>
  </si>
  <si>
    <t>2018/667</t>
  </si>
  <si>
    <t>manifestation B
BOOST</t>
  </si>
  <si>
    <t>2018-11-28/2019-05-28</t>
  </si>
  <si>
    <t>AQUITEC</t>
  </si>
  <si>
    <t>2018/677</t>
  </si>
  <si>
    <t>2019-01-31/2019-07-31</t>
  </si>
  <si>
    <t>2019/381</t>
  </si>
  <si>
    <t>ARC SUD
DEVELOPPEMENT</t>
  </si>
  <si>
    <t>2019/279</t>
  </si>
  <si>
    <t>2019-06-26/2019-12-26</t>
  </si>
  <si>
    <t>ASSO EIPF</t>
  </si>
  <si>
    <t>2019/294</t>
  </si>
  <si>
    <t>Investissement ESS</t>
  </si>
  <si>
    <t>ASSO FESTIVAL ODP</t>
  </si>
  <si>
    <t>2019/53</t>
  </si>
  <si>
    <t>Festival ODP codev</t>
  </si>
  <si>
    <t>2019-03-06/2019-09-06</t>
  </si>
  <si>
    <t>ASSO LEONARD DE VINCI</t>
  </si>
  <si>
    <t>2018/288</t>
  </si>
  <si>
    <t>Big Data</t>
  </si>
  <si>
    <t>2018-07-17/2019-01-17</t>
  </si>
  <si>
    <t>ASSO.EUROPEENNE DU
FILM ANIMATION</t>
  </si>
  <si>
    <t>2019/60</t>
  </si>
  <si>
    <t>CARTOON MOVIE</t>
  </si>
  <si>
    <t>ESS Emergence
entreprises</t>
  </si>
  <si>
    <t>2019/274</t>
  </si>
  <si>
    <t>Start up de territoire</t>
  </si>
  <si>
    <t>2019/45</t>
  </si>
  <si>
    <t>BANQUE ALIMENTAIRE DE
BORDEAUX</t>
  </si>
  <si>
    <t>2019/532</t>
  </si>
  <si>
    <t>2019-11-05/2020-05-05</t>
  </si>
  <si>
    <t>BMSL</t>
  </si>
  <si>
    <t>2017/799</t>
  </si>
  <si>
    <t>2018-03-12/2018-09-12</t>
  </si>
  <si>
    <t>BORDEAUX ART
CONTEMPORAIN</t>
  </si>
  <si>
    <t>2019-05-23/2019-11-23</t>
  </si>
  <si>
    <t>2019/181</t>
  </si>
  <si>
    <t>LA TECHNOPOLE</t>
  </si>
  <si>
    <t>2019-05-15/2019-11-15</t>
  </si>
  <si>
    <t>2019/182</t>
  </si>
  <si>
    <t>2019-05-24/2019-11-24</t>
  </si>
  <si>
    <t>manifestation
Innovaday</t>
  </si>
  <si>
    <t>2019-06-13/2019-12-13</t>
  </si>
  <si>
    <t>2018/359</t>
  </si>
  <si>
    <t>Investissement</t>
  </si>
  <si>
    <t>2018-09-10/2019-03-10</t>
  </si>
  <si>
    <t>2018/666</t>
  </si>
  <si>
    <t>Fête de la science</t>
  </si>
  <si>
    <t>2019-02-14/2019-08-14</t>
  </si>
  <si>
    <t>2019/318</t>
  </si>
  <si>
    <t>2019-06-25/2019-12-25</t>
  </si>
  <si>
    <t>CARREFOURS POUR
L'EMPLOI</t>
  </si>
  <si>
    <t>2018/678</t>
  </si>
  <si>
    <t>2019-01-17/2019-07-17</t>
  </si>
  <si>
    <t>CCI BORDEAUX GIRONDE</t>
  </si>
  <si>
    <t>2019/106</t>
  </si>
  <si>
    <t>Fonds de soutien aux
commerçants</t>
  </si>
  <si>
    <t>2019-04-19/2019-10-19</t>
  </si>
  <si>
    <t>LES ARTS DE LA
PAROLE</t>
  </si>
  <si>
    <t>2019-02-22/2019-08-22</t>
  </si>
  <si>
    <t>actions spécifiques</t>
  </si>
  <si>
    <t>2019-07-23/2020-01-23</t>
  </si>
  <si>
    <t>Action spécifique
plateforme
linguistique</t>
  </si>
  <si>
    <t>Action spécifique
dével. Outil
numérique</t>
  </si>
  <si>
    <t>CLUB CAP COM</t>
  </si>
  <si>
    <t>2019/143</t>
  </si>
  <si>
    <t>FORUM</t>
  </si>
  <si>
    <t>2019-03-22/2019-09-22</t>
  </si>
  <si>
    <t>CLUSTER BORDEAUX
SUPERYACHT</t>
  </si>
  <si>
    <t>2019/183</t>
  </si>
  <si>
    <t>SMAC d'agglo</t>
  </si>
  <si>
    <t>2019-06-07/2019-12-07</t>
  </si>
  <si>
    <t>COM UNE PARENTHESE</t>
  </si>
  <si>
    <t>2019-07-25/2020-01-25</t>
  </si>
  <si>
    <t>COMPAGNIE LES
MARCHES DE L'ÉTÉ</t>
  </si>
  <si>
    <t>FESTIVAL 30/30</t>
  </si>
  <si>
    <t>2019-02-19_2019-08-19</t>
  </si>
  <si>
    <t>COMPAGNIE TANDAIM</t>
  </si>
  <si>
    <t>2019-05-21/2019-11-21</t>
  </si>
  <si>
    <t>2019-06-06/2019-12-06</t>
  </si>
  <si>
    <t>2019-07-09/2020-01-09</t>
  </si>
  <si>
    <t>COS Bordeaux Métropole</t>
  </si>
  <si>
    <t>2018/805</t>
  </si>
  <si>
    <t>saison cirque</t>
  </si>
  <si>
    <t>2019-02-20/2019-08-20</t>
  </si>
  <si>
    <t>2018/763</t>
  </si>
  <si>
    <t>Appel à projet ZZZ
zéro déchets</t>
  </si>
  <si>
    <t>2019-05-02/2019-11-02</t>
  </si>
  <si>
    <t>CREPAQ</t>
  </si>
  <si>
    <t>2019/169_</t>
  </si>
  <si>
    <t>2019-06-04/2019-12-04</t>
  </si>
  <si>
    <t>CSBN</t>
  </si>
  <si>
    <t>2019/169</t>
  </si>
  <si>
    <t>2019-06-20/2019-12-20</t>
  </si>
  <si>
    <t>CSDL</t>
  </si>
  <si>
    <t>2019/276</t>
  </si>
  <si>
    <t>2019-07-02/2020-01-02</t>
  </si>
  <si>
    <t>ENT'AUTRES</t>
  </si>
  <si>
    <t>2019/297</t>
  </si>
  <si>
    <t>Investissement Le
Local</t>
  </si>
  <si>
    <t>ESCALES LITTERAIRES</t>
  </si>
  <si>
    <t>Escales du livre</t>
  </si>
  <si>
    <t>2019-02-11/2019-08-11</t>
  </si>
  <si>
    <t>festival POUCE</t>
  </si>
  <si>
    <t>2019-03-11/2019-09-11</t>
  </si>
  <si>
    <t>2019-06-27/2019-12-27</t>
  </si>
  <si>
    <t>FESTIVAL DES ARTS DE
BORDEAUX</t>
  </si>
  <si>
    <t>Festival des arts</t>
  </si>
  <si>
    <t>2019/594</t>
  </si>
  <si>
    <t>Festival du film
d'histoire</t>
  </si>
  <si>
    <t>2019-11-12/2020-05-12</t>
  </si>
  <si>
    <t>FRANCE ACTIVE</t>
  </si>
  <si>
    <t>Investissement sur
outils financiers</t>
  </si>
  <si>
    <t>FRENTECH BORDEAUX</t>
  </si>
  <si>
    <t>2019/185</t>
  </si>
  <si>
    <t>GANG OF FOOD</t>
  </si>
  <si>
    <t>ÉTÉ METROPOLITAIN</t>
  </si>
  <si>
    <t>2019-05-22/2019-11-22</t>
  </si>
  <si>
    <t>GIHP INSERT PERS HAND</t>
  </si>
  <si>
    <t>2018/040</t>
  </si>
  <si>
    <t>Zéro déchets</t>
  </si>
  <si>
    <t>2018-10-09/2019-04-09</t>
  </si>
  <si>
    <t>HAPANA</t>
  </si>
  <si>
    <t>Action habitat</t>
  </si>
  <si>
    <t>2019-04-16/2019-10-16</t>
  </si>
  <si>
    <t>2019/256</t>
  </si>
  <si>
    <t>2019/187</t>
  </si>
  <si>
    <t>2019-06-05/2019-12-05</t>
  </si>
  <si>
    <t>JUMPING INTERNATIONAL</t>
  </si>
  <si>
    <t>Jumping</t>
  </si>
  <si>
    <t>2019-02-27/2019-08-27</t>
  </si>
  <si>
    <t>L'ART DANS TOUS SES
ETATS</t>
  </si>
  <si>
    <t>L'ATELIER REMUMENAGE</t>
  </si>
  <si>
    <t>L'ORANGEADE</t>
  </si>
  <si>
    <t>LA PLANCHE</t>
  </si>
  <si>
    <t>2019/68</t>
  </si>
  <si>
    <t>Investissement tiers
lieu</t>
  </si>
  <si>
    <t>2019-04-02/2019-10-02</t>
  </si>
  <si>
    <t>LA RONDE DES QUARTIERS
DE BORDEAUX</t>
  </si>
  <si>
    <t>2018/588</t>
  </si>
  <si>
    <t>Action CO2LIM</t>
  </si>
  <si>
    <t>2018-12-18/2019-06-18</t>
  </si>
  <si>
    <t>2019-10-25/2020-04-25</t>
  </si>
  <si>
    <t>LE BLEU DU CIEL</t>
  </si>
  <si>
    <t>2019-05-28/2019-11-28</t>
  </si>
  <si>
    <t>LE LAB</t>
  </si>
  <si>
    <t>2019/69</t>
  </si>
  <si>
    <t>investissement
travaux Lormont</t>
  </si>
  <si>
    <t>LE LIVRE VERT</t>
  </si>
  <si>
    <t>2018/601</t>
  </si>
  <si>
    <t>LE RITUEL</t>
  </si>
  <si>
    <t>LEON A VELO</t>
  </si>
  <si>
    <t>2019/165</t>
  </si>
  <si>
    <t>2019-04-30/2019-10-30</t>
  </si>
  <si>
    <t>Arthothèque</t>
  </si>
  <si>
    <t>2019-02-25/2019-08-25</t>
  </si>
  <si>
    <t>LES ASSOCIES CREW</t>
  </si>
  <si>
    <t>LES DETRITIVORES</t>
  </si>
  <si>
    <t>2019/418</t>
  </si>
  <si>
    <t>action déchets</t>
  </si>
  <si>
    <t>2019-08-22/2020-02-22</t>
  </si>
  <si>
    <t>LES RESTAURANTS DU
CŒUR</t>
  </si>
  <si>
    <t>2018/841</t>
  </si>
  <si>
    <t>concert "Les
Enfoirés"</t>
  </si>
  <si>
    <t>2019-02-19/2019-08-19</t>
  </si>
  <si>
    <t>IN SITU ÉTÉ
METROPOLITAIN</t>
  </si>
  <si>
    <t>MAISON EMPLOI BX MDE</t>
  </si>
  <si>
    <t>MAISON EMPLOI INSERT
ECO ENTREP.</t>
  </si>
  <si>
    <t>2019/64</t>
  </si>
  <si>
    <t>2019-03-07/2019-09-07</t>
  </si>
  <si>
    <t>MEBA</t>
  </si>
  <si>
    <t>2019/350</t>
  </si>
  <si>
    <t>2019-10-21/2020-04-21</t>
  </si>
  <si>
    <t>MELI MEL'ARTS</t>
  </si>
  <si>
    <t>Festival</t>
  </si>
  <si>
    <t>2019/77</t>
  </si>
  <si>
    <t>2019-02-15/2019-08-15</t>
  </si>
  <si>
    <t>MONTS ET MERVEILLES</t>
  </si>
  <si>
    <t>MUSIQUES DE NUIT
DIFFUSION</t>
  </si>
  <si>
    <t>festival Hauts de
garonne</t>
  </si>
  <si>
    <t>2019-02-12/2019-08-12</t>
  </si>
  <si>
    <t>2018/664</t>
  </si>
  <si>
    <t>journées afro
contemporaines</t>
  </si>
  <si>
    <t>2018-12-07/2019-06-07</t>
  </si>
  <si>
    <t>NANTES SUMMERCAMP</t>
  </si>
  <si>
    <t>2018/597</t>
  </si>
  <si>
    <t>SOFILM</t>
  </si>
  <si>
    <t>2018-12-10/2019-06-10</t>
  </si>
  <si>
    <t>OFFICE TOURISME &amp;
CONGRES BORDEAUX</t>
  </si>
  <si>
    <t>2019/65</t>
  </si>
  <si>
    <t>2019/273</t>
  </si>
  <si>
    <t>FETE DU FLEUVE</t>
  </si>
  <si>
    <t>OVERGROUND</t>
  </si>
  <si>
    <t>2019-08-07/2020-02-07</t>
  </si>
  <si>
    <t>PARALLELES ATTITUDE
DIFFUSION</t>
  </si>
  <si>
    <t>carnaval des 2 rives</t>
  </si>
  <si>
    <t>2019-02-04/2019-08-04</t>
  </si>
  <si>
    <t>2019/264</t>
  </si>
  <si>
    <t>Manifestation "faire
des bulles"</t>
  </si>
  <si>
    <t>2019-06-17/2019-12-17</t>
  </si>
  <si>
    <t>POLA</t>
  </si>
  <si>
    <t>RESTAURANTS DU CŒUR</t>
  </si>
  <si>
    <t>2019-10-24/2020-04-24</t>
  </si>
  <si>
    <t>SAMPE France</t>
  </si>
  <si>
    <t>2018/578</t>
  </si>
  <si>
    <t>Action journées
techniques</t>
  </si>
  <si>
    <t>2019-04-24/2019-10-24</t>
  </si>
  <si>
    <t>Festival FIFIB</t>
  </si>
  <si>
    <t>SIMOREP ET CIE</t>
  </si>
  <si>
    <t>2015/488</t>
  </si>
  <si>
    <t>investissement projet
butterfly</t>
  </si>
  <si>
    <t>2018-09-24/2019-03-24</t>
  </si>
  <si>
    <t>SOLIHA SOLIDAIRE
HABITAT</t>
  </si>
  <si>
    <t>2018/570</t>
  </si>
  <si>
    <t>2018-12-20/2019-06-20</t>
  </si>
  <si>
    <t>TERRE D'ADELE</t>
  </si>
  <si>
    <t>2018/40</t>
  </si>
  <si>
    <t>2018-09-20/2019-03-20</t>
  </si>
  <si>
    <t>UNION BORDEAUX
METROPOLE (UBM)</t>
  </si>
  <si>
    <t>2018/804</t>
  </si>
  <si>
    <t>UNIS CITE</t>
  </si>
  <si>
    <t>2018/651</t>
  </si>
  <si>
    <t>ambassadeurs du
vélo</t>
  </si>
  <si>
    <t>2019-01-23/2019-07-23</t>
  </si>
  <si>
    <t>2019-08-02/2020-02-02</t>
  </si>
  <si>
    <t>URHAJ NOUVELLE
AQUITAINE</t>
  </si>
  <si>
    <t>2019/582</t>
  </si>
  <si>
    <t>2019-10-17/2020-04-17</t>
  </si>
  <si>
    <t>2019/247</t>
  </si>
  <si>
    <t>FETE DU VELO</t>
  </si>
  <si>
    <t>VILLA PRIMROSE</t>
  </si>
  <si>
    <t>2019/186</t>
  </si>
  <si>
    <t>WIMOOV GIRONDE</t>
  </si>
  <si>
    <t>plateforme mobilité</t>
  </si>
  <si>
    <t>2019-01-24/2019-07-24</t>
  </si>
  <si>
    <t>YES WE CAMP</t>
  </si>
  <si>
    <t>unique 2018-2019 final</t>
  </si>
  <si>
    <t>subv2018</t>
  </si>
  <si>
    <t>subv2019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</si>
</sst>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M/d/yyyy"/>
    <numFmt numFmtId="166" formatCode="yyyy/m"/>
  </numFmts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 shrinkToFit="0" wrapText="1"/>
    </xf>
    <xf borderId="0" fillId="0" fontId="2" numFmtId="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3" max="3" width="17.63"/>
    <col customWidth="1" min="4" max="4" width="18.13"/>
    <col customWidth="1" min="5" max="5" width="16.38"/>
    <col customWidth="1" min="7" max="7" width="18.63"/>
    <col customWidth="1" min="9" max="9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12</v>
      </c>
      <c r="B2" s="6">
        <v>4372007.0</v>
      </c>
      <c r="C2" s="7" t="s">
        <v>13</v>
      </c>
      <c r="D2" s="7">
        <v>7.81814488E8</v>
      </c>
      <c r="E2" s="7" t="s">
        <v>14</v>
      </c>
      <c r="F2" s="8">
        <v>43136.0</v>
      </c>
      <c r="G2" s="7" t="s">
        <v>15</v>
      </c>
      <c r="H2" s="7" t="s">
        <v>16</v>
      </c>
      <c r="I2" s="7" t="s">
        <v>17</v>
      </c>
      <c r="J2" s="7" t="s">
        <v>18</v>
      </c>
      <c r="K2" s="7" t="s">
        <v>19</v>
      </c>
      <c r="L2" s="7">
        <v>1.0</v>
      </c>
    </row>
    <row r="3">
      <c r="A3" s="5" t="s">
        <v>20</v>
      </c>
      <c r="B3" s="6">
        <v>3000000.0</v>
      </c>
      <c r="C3" s="7" t="s">
        <v>13</v>
      </c>
      <c r="D3" s="7">
        <v>7.8180455400017E13</v>
      </c>
      <c r="E3" s="7" t="s">
        <v>21</v>
      </c>
      <c r="F3" s="8">
        <v>43145.0</v>
      </c>
      <c r="G3" s="7" t="s">
        <v>15</v>
      </c>
      <c r="H3" s="7" t="s">
        <v>16</v>
      </c>
      <c r="I3" s="7" t="s">
        <v>22</v>
      </c>
      <c r="J3" s="7" t="s">
        <v>18</v>
      </c>
      <c r="K3" s="7" t="s">
        <v>19</v>
      </c>
      <c r="L3" s="7">
        <v>1.0</v>
      </c>
    </row>
    <row r="4">
      <c r="A4" s="5" t="s">
        <v>23</v>
      </c>
      <c r="B4" s="6">
        <v>1680000.0</v>
      </c>
      <c r="C4" s="7" t="s">
        <v>13</v>
      </c>
      <c r="D4" s="7">
        <v>4.83013405E8</v>
      </c>
      <c r="E4" s="7" t="s">
        <v>24</v>
      </c>
      <c r="F4" s="8">
        <v>43091.0</v>
      </c>
      <c r="G4" s="7" t="s">
        <v>15</v>
      </c>
      <c r="H4" s="7" t="s">
        <v>16</v>
      </c>
      <c r="I4" s="7" t="s">
        <v>25</v>
      </c>
      <c r="J4" s="7" t="s">
        <v>18</v>
      </c>
      <c r="K4" s="7" t="s">
        <v>19</v>
      </c>
      <c r="L4" s="7">
        <v>1.0</v>
      </c>
    </row>
    <row r="5">
      <c r="A5" s="5" t="s">
        <v>26</v>
      </c>
      <c r="B5" s="6">
        <v>420000.0</v>
      </c>
      <c r="C5" s="7" t="s">
        <v>13</v>
      </c>
      <c r="D5" s="7">
        <v>3.7781852100025E13</v>
      </c>
      <c r="E5" s="7" t="s">
        <v>27</v>
      </c>
      <c r="F5" s="8">
        <v>43306.0</v>
      </c>
      <c r="G5" s="7" t="s">
        <v>15</v>
      </c>
      <c r="H5" s="7" t="s">
        <v>16</v>
      </c>
      <c r="I5" s="7" t="s">
        <v>28</v>
      </c>
      <c r="J5" s="7" t="s">
        <v>18</v>
      </c>
      <c r="K5" s="7" t="s">
        <v>19</v>
      </c>
      <c r="L5" s="7">
        <v>1.0</v>
      </c>
    </row>
    <row r="6">
      <c r="A6" s="5" t="s">
        <v>29</v>
      </c>
      <c r="B6" s="6">
        <v>407253.0</v>
      </c>
      <c r="C6" s="7" t="s">
        <v>13</v>
      </c>
      <c r="D6" s="7">
        <v>3.21237034E8</v>
      </c>
      <c r="E6" s="7" t="s">
        <v>30</v>
      </c>
      <c r="F6" s="8">
        <v>43259.0</v>
      </c>
      <c r="G6" s="7" t="s">
        <v>15</v>
      </c>
      <c r="H6" s="7" t="s">
        <v>16</v>
      </c>
      <c r="I6" s="7" t="s">
        <v>31</v>
      </c>
      <c r="J6" s="7" t="s">
        <v>18</v>
      </c>
      <c r="K6" s="7" t="s">
        <v>19</v>
      </c>
      <c r="L6" s="7">
        <v>1.0</v>
      </c>
    </row>
    <row r="7">
      <c r="A7" s="5" t="s">
        <v>32</v>
      </c>
      <c r="B7" s="6">
        <v>332775.0</v>
      </c>
      <c r="C7" s="7" t="s">
        <v>13</v>
      </c>
      <c r="D7" s="7">
        <v>4.09199817E8</v>
      </c>
      <c r="E7" s="7" t="s">
        <v>33</v>
      </c>
      <c r="F7" s="8">
        <v>43271.0</v>
      </c>
      <c r="G7" s="7" t="s">
        <v>15</v>
      </c>
      <c r="H7" s="7" t="s">
        <v>16</v>
      </c>
      <c r="I7" s="7" t="s">
        <v>34</v>
      </c>
      <c r="J7" s="7" t="s">
        <v>18</v>
      </c>
      <c r="K7" s="7" t="s">
        <v>19</v>
      </c>
      <c r="L7" s="7">
        <v>1.0</v>
      </c>
    </row>
    <row r="8">
      <c r="A8" s="5" t="s">
        <v>35</v>
      </c>
      <c r="B8" s="6">
        <v>320000.0</v>
      </c>
      <c r="C8" s="7" t="s">
        <v>13</v>
      </c>
      <c r="D8" s="7">
        <v>3.9988425300036E13</v>
      </c>
      <c r="E8" s="7" t="s">
        <v>36</v>
      </c>
      <c r="F8" s="8">
        <v>43353.0</v>
      </c>
      <c r="G8" s="7" t="s">
        <v>15</v>
      </c>
      <c r="H8" s="7" t="s">
        <v>16</v>
      </c>
      <c r="I8" s="7" t="s">
        <v>37</v>
      </c>
      <c r="J8" s="7" t="s">
        <v>18</v>
      </c>
      <c r="K8" s="7" t="s">
        <v>19</v>
      </c>
      <c r="L8" s="7">
        <v>1.0</v>
      </c>
    </row>
    <row r="9">
      <c r="A9" s="5" t="s">
        <v>38</v>
      </c>
      <c r="B9" s="6">
        <v>230000.0</v>
      </c>
      <c r="C9" s="7" t="s">
        <v>13</v>
      </c>
      <c r="D9" s="7">
        <v>4.9058526200069E13</v>
      </c>
      <c r="E9" s="7" t="s">
        <v>39</v>
      </c>
      <c r="F9" s="8">
        <v>43182.0</v>
      </c>
      <c r="G9" s="7" t="s">
        <v>15</v>
      </c>
      <c r="H9" s="7" t="s">
        <v>16</v>
      </c>
      <c r="I9" s="7" t="s">
        <v>40</v>
      </c>
      <c r="J9" s="7" t="s">
        <v>18</v>
      </c>
      <c r="K9" s="7" t="s">
        <v>19</v>
      </c>
      <c r="L9" s="7">
        <v>1.0</v>
      </c>
    </row>
    <row r="10">
      <c r="A10" s="5" t="s">
        <v>41</v>
      </c>
      <c r="B10" s="6">
        <v>200000.0</v>
      </c>
      <c r="C10" s="7" t="s">
        <v>13</v>
      </c>
      <c r="D10" s="7">
        <v>4.8875025800011E13</v>
      </c>
      <c r="E10" s="7" t="s">
        <v>42</v>
      </c>
      <c r="F10" s="8">
        <v>43285.0</v>
      </c>
      <c r="G10" s="7" t="s">
        <v>43</v>
      </c>
      <c r="H10" s="7" t="s">
        <v>16</v>
      </c>
      <c r="I10" s="7" t="s">
        <v>44</v>
      </c>
      <c r="J10" s="7" t="s">
        <v>18</v>
      </c>
      <c r="K10" s="7" t="s">
        <v>19</v>
      </c>
      <c r="L10" s="7">
        <v>1.0</v>
      </c>
    </row>
    <row r="11">
      <c r="A11" s="5" t="s">
        <v>45</v>
      </c>
      <c r="B11" s="6">
        <v>180000.0</v>
      </c>
      <c r="C11" s="7" t="s">
        <v>13</v>
      </c>
      <c r="D11" s="7">
        <v>7.8184375000048E13</v>
      </c>
      <c r="E11" s="7" t="s">
        <v>46</v>
      </c>
      <c r="F11" s="8">
        <v>43182.0</v>
      </c>
      <c r="G11" s="7" t="s">
        <v>15</v>
      </c>
      <c r="H11" s="7" t="s">
        <v>16</v>
      </c>
      <c r="I11" s="7" t="s">
        <v>40</v>
      </c>
      <c r="J11" s="7" t="s">
        <v>18</v>
      </c>
      <c r="K11" s="7" t="s">
        <v>19</v>
      </c>
      <c r="L11" s="7">
        <v>1.0</v>
      </c>
    </row>
    <row r="12">
      <c r="A12" s="5" t="s">
        <v>47</v>
      </c>
      <c r="B12" s="6">
        <v>180000.0</v>
      </c>
      <c r="C12" s="7" t="s">
        <v>13</v>
      </c>
      <c r="D12" s="7">
        <v>8.18313264E8</v>
      </c>
      <c r="E12" s="7" t="s">
        <v>48</v>
      </c>
      <c r="F12" s="8">
        <v>43271.0</v>
      </c>
      <c r="G12" s="7" t="s">
        <v>15</v>
      </c>
      <c r="H12" s="7" t="s">
        <v>16</v>
      </c>
      <c r="I12" s="7" t="s">
        <v>34</v>
      </c>
      <c r="J12" s="7" t="s">
        <v>18</v>
      </c>
      <c r="K12" s="7" t="s">
        <v>19</v>
      </c>
      <c r="L12" s="7">
        <v>1.0</v>
      </c>
    </row>
    <row r="13">
      <c r="A13" s="5" t="s">
        <v>49</v>
      </c>
      <c r="B13" s="6">
        <v>160000.0</v>
      </c>
      <c r="C13" s="7" t="s">
        <v>13</v>
      </c>
      <c r="D13" s="7">
        <v>4.20089567E8</v>
      </c>
      <c r="E13" s="7" t="s">
        <v>50</v>
      </c>
      <c r="F13" s="8">
        <v>43269.0</v>
      </c>
      <c r="G13" s="7" t="s">
        <v>51</v>
      </c>
      <c r="H13" s="7" t="s">
        <v>16</v>
      </c>
      <c r="I13" s="7" t="s">
        <v>52</v>
      </c>
      <c r="J13" s="7" t="s">
        <v>18</v>
      </c>
      <c r="K13" s="7" t="s">
        <v>19</v>
      </c>
      <c r="L13" s="7">
        <v>1.0</v>
      </c>
    </row>
    <row r="14">
      <c r="A14" s="5" t="s">
        <v>53</v>
      </c>
      <c r="B14" s="6">
        <v>150000.0</v>
      </c>
      <c r="C14" s="7" t="s">
        <v>13</v>
      </c>
      <c r="D14" s="7">
        <v>5.09079794E8</v>
      </c>
      <c r="E14" s="7" t="s">
        <v>54</v>
      </c>
      <c r="F14" s="8">
        <v>43185.0</v>
      </c>
      <c r="G14" s="7" t="s">
        <v>55</v>
      </c>
      <c r="H14" s="7" t="s">
        <v>16</v>
      </c>
      <c r="I14" s="7" t="s">
        <v>56</v>
      </c>
      <c r="J14" s="7" t="s">
        <v>18</v>
      </c>
      <c r="K14" s="7" t="s">
        <v>19</v>
      </c>
      <c r="L14" s="7">
        <v>1.0</v>
      </c>
    </row>
    <row r="15">
      <c r="A15" s="5" t="s">
        <v>57</v>
      </c>
      <c r="B15" s="6">
        <v>150000.0</v>
      </c>
      <c r="C15" s="7" t="s">
        <v>13</v>
      </c>
      <c r="D15" s="7">
        <v>3.44264759E8</v>
      </c>
      <c r="E15" s="7" t="s">
        <v>50</v>
      </c>
      <c r="F15" s="8">
        <v>43259.0</v>
      </c>
      <c r="G15" s="7" t="s">
        <v>58</v>
      </c>
      <c r="H15" s="7" t="s">
        <v>16</v>
      </c>
      <c r="I15" s="7" t="s">
        <v>31</v>
      </c>
      <c r="J15" s="7" t="s">
        <v>18</v>
      </c>
      <c r="K15" s="7" t="s">
        <v>19</v>
      </c>
      <c r="L15" s="7">
        <v>1.0</v>
      </c>
    </row>
    <row r="16">
      <c r="A16" s="5" t="s">
        <v>59</v>
      </c>
      <c r="B16" s="6">
        <v>139000.0</v>
      </c>
      <c r="C16" s="7" t="s">
        <v>13</v>
      </c>
      <c r="D16" s="7">
        <v>3.7796404400038E13</v>
      </c>
      <c r="E16" s="7" t="s">
        <v>60</v>
      </c>
      <c r="F16" s="8">
        <v>43306.0</v>
      </c>
      <c r="G16" s="7" t="s">
        <v>61</v>
      </c>
      <c r="H16" s="7" t="s">
        <v>16</v>
      </c>
      <c r="I16" s="7" t="s">
        <v>28</v>
      </c>
      <c r="J16" s="7" t="s">
        <v>18</v>
      </c>
      <c r="K16" s="7" t="s">
        <v>19</v>
      </c>
      <c r="L16" s="7">
        <v>1.0</v>
      </c>
    </row>
    <row r="17">
      <c r="A17" s="5" t="s">
        <v>62</v>
      </c>
      <c r="B17" s="6">
        <v>137000.0</v>
      </c>
      <c r="C17" s="7" t="s">
        <v>13</v>
      </c>
      <c r="D17" s="7">
        <v>4.95009441E8</v>
      </c>
      <c r="E17" s="7" t="s">
        <v>63</v>
      </c>
      <c r="F17" s="8">
        <v>43235.0</v>
      </c>
      <c r="G17" s="7" t="s">
        <v>15</v>
      </c>
      <c r="H17" s="7" t="s">
        <v>16</v>
      </c>
      <c r="I17" s="7" t="s">
        <v>64</v>
      </c>
      <c r="J17" s="7" t="s">
        <v>18</v>
      </c>
      <c r="K17" s="7" t="s">
        <v>19</v>
      </c>
      <c r="L17" s="7">
        <v>1.0</v>
      </c>
    </row>
    <row r="18">
      <c r="A18" s="5" t="s">
        <v>65</v>
      </c>
      <c r="B18" s="6">
        <v>133663.21</v>
      </c>
      <c r="C18" s="7" t="s">
        <v>66</v>
      </c>
      <c r="D18" s="7">
        <v>7.8184992200021E13</v>
      </c>
      <c r="E18" s="7" t="s">
        <v>67</v>
      </c>
      <c r="F18" s="8">
        <v>43361.0</v>
      </c>
      <c r="G18" s="7" t="s">
        <v>68</v>
      </c>
      <c r="H18" s="7" t="s">
        <v>16</v>
      </c>
      <c r="I18" s="7" t="s">
        <v>69</v>
      </c>
      <c r="J18" s="7" t="s">
        <v>18</v>
      </c>
      <c r="K18" s="7" t="s">
        <v>19</v>
      </c>
      <c r="L18" s="7">
        <v>1.0</v>
      </c>
    </row>
    <row r="19">
      <c r="A19" s="5" t="s">
        <v>35</v>
      </c>
      <c r="B19" s="6">
        <v>120000.0</v>
      </c>
      <c r="C19" s="7" t="s">
        <v>13</v>
      </c>
      <c r="D19" s="7">
        <v>3.9988425300036E13</v>
      </c>
      <c r="E19" s="7" t="s">
        <v>36</v>
      </c>
      <c r="F19" s="8">
        <v>43353.0</v>
      </c>
      <c r="G19" s="7" t="s">
        <v>70</v>
      </c>
      <c r="H19" s="7" t="s">
        <v>16</v>
      </c>
      <c r="I19" s="7" t="s">
        <v>37</v>
      </c>
      <c r="J19" s="7" t="s">
        <v>18</v>
      </c>
      <c r="K19" s="7" t="s">
        <v>19</v>
      </c>
      <c r="L19" s="7">
        <v>1.0</v>
      </c>
    </row>
    <row r="20">
      <c r="A20" s="5" t="s">
        <v>71</v>
      </c>
      <c r="B20" s="6">
        <v>114000.0</v>
      </c>
      <c r="C20" s="7" t="s">
        <v>13</v>
      </c>
      <c r="D20" s="7">
        <v>4.44337588E8</v>
      </c>
      <c r="E20" s="7" t="s">
        <v>72</v>
      </c>
      <c r="F20" s="8">
        <v>43112.0</v>
      </c>
      <c r="G20" s="7" t="s">
        <v>73</v>
      </c>
      <c r="H20" s="7" t="s">
        <v>16</v>
      </c>
      <c r="I20" s="7" t="s">
        <v>74</v>
      </c>
      <c r="J20" s="7" t="s">
        <v>18</v>
      </c>
      <c r="K20" s="7" t="s">
        <v>19</v>
      </c>
      <c r="L20" s="7">
        <v>1.0</v>
      </c>
    </row>
    <row r="21">
      <c r="A21" s="5" t="s">
        <v>71</v>
      </c>
      <c r="B21" s="6">
        <v>114000.0</v>
      </c>
      <c r="C21" s="7" t="s">
        <v>13</v>
      </c>
      <c r="D21" s="7">
        <v>4.44337588E8</v>
      </c>
      <c r="E21" s="7" t="s">
        <v>75</v>
      </c>
      <c r="F21" s="8">
        <v>43172.0</v>
      </c>
      <c r="G21" s="7" t="s">
        <v>15</v>
      </c>
      <c r="H21" s="7" t="s">
        <v>16</v>
      </c>
      <c r="I21" s="7" t="s">
        <v>76</v>
      </c>
      <c r="J21" s="7" t="s">
        <v>18</v>
      </c>
      <c r="K21" s="7" t="s">
        <v>19</v>
      </c>
      <c r="L21" s="7">
        <v>1.0</v>
      </c>
    </row>
    <row r="22">
      <c r="A22" s="5" t="s">
        <v>77</v>
      </c>
      <c r="B22" s="6">
        <v>97740.0</v>
      </c>
      <c r="C22" s="7" t="s">
        <v>13</v>
      </c>
      <c r="D22" s="7">
        <v>3.05378234E8</v>
      </c>
      <c r="E22" s="7" t="s">
        <v>78</v>
      </c>
      <c r="F22" s="8">
        <v>43069.0</v>
      </c>
      <c r="G22" s="7" t="s">
        <v>15</v>
      </c>
      <c r="H22" s="7" t="s">
        <v>16</v>
      </c>
      <c r="I22" s="7" t="s">
        <v>79</v>
      </c>
      <c r="J22" s="7" t="s">
        <v>18</v>
      </c>
      <c r="K22" s="7" t="s">
        <v>19</v>
      </c>
      <c r="L22" s="7">
        <v>1.0</v>
      </c>
    </row>
    <row r="23">
      <c r="A23" s="5" t="s">
        <v>80</v>
      </c>
      <c r="B23" s="6">
        <v>96187.5</v>
      </c>
      <c r="C23" s="7" t="s">
        <v>13</v>
      </c>
      <c r="D23" s="7">
        <v>3.42215456E8</v>
      </c>
      <c r="E23" s="7" t="s">
        <v>81</v>
      </c>
      <c r="F23" s="8">
        <v>43126.0</v>
      </c>
      <c r="G23" s="7" t="s">
        <v>15</v>
      </c>
      <c r="H23" s="7" t="s">
        <v>16</v>
      </c>
      <c r="I23" s="7" t="s">
        <v>82</v>
      </c>
      <c r="J23" s="7" t="s">
        <v>18</v>
      </c>
      <c r="K23" s="7" t="s">
        <v>19</v>
      </c>
      <c r="L23" s="7">
        <v>1.0</v>
      </c>
    </row>
    <row r="24">
      <c r="A24" s="5" t="s">
        <v>83</v>
      </c>
      <c r="B24" s="6">
        <v>95932.0</v>
      </c>
      <c r="C24" s="7" t="s">
        <v>13</v>
      </c>
      <c r="D24" s="7">
        <v>4.88566613E8</v>
      </c>
      <c r="E24" s="7" t="s">
        <v>84</v>
      </c>
      <c r="F24" s="8">
        <v>43091.0</v>
      </c>
      <c r="G24" s="7" t="s">
        <v>85</v>
      </c>
      <c r="H24" s="7" t="s">
        <v>16</v>
      </c>
      <c r="I24" s="7" t="s">
        <v>25</v>
      </c>
      <c r="J24" s="7" t="s">
        <v>18</v>
      </c>
      <c r="K24" s="7" t="s">
        <v>19</v>
      </c>
      <c r="L24" s="7">
        <v>1.0</v>
      </c>
    </row>
    <row r="25">
      <c r="A25" s="5" t="s">
        <v>86</v>
      </c>
      <c r="B25" s="6">
        <v>90000.0</v>
      </c>
      <c r="C25" s="7" t="s">
        <v>13</v>
      </c>
      <c r="D25" s="7">
        <v>4.8428452600072E13</v>
      </c>
      <c r="E25" s="7" t="s">
        <v>87</v>
      </c>
      <c r="F25" s="8">
        <v>43417.0</v>
      </c>
      <c r="G25" s="7" t="s">
        <v>15</v>
      </c>
      <c r="H25" s="7" t="s">
        <v>16</v>
      </c>
      <c r="I25" s="7" t="s">
        <v>88</v>
      </c>
      <c r="J25" s="7" t="s">
        <v>18</v>
      </c>
      <c r="K25" s="7" t="s">
        <v>19</v>
      </c>
      <c r="L25" s="7">
        <v>1.0</v>
      </c>
    </row>
    <row r="26">
      <c r="A26" s="5" t="s">
        <v>89</v>
      </c>
      <c r="B26" s="6">
        <v>87400.0</v>
      </c>
      <c r="C26" s="7" t="s">
        <v>13</v>
      </c>
      <c r="D26" s="7">
        <v>3.0091783800025E13</v>
      </c>
      <c r="E26" s="7" t="s">
        <v>90</v>
      </c>
      <c r="F26" s="8">
        <v>43385.0</v>
      </c>
      <c r="G26" s="7" t="s">
        <v>15</v>
      </c>
      <c r="H26" s="7" t="s">
        <v>16</v>
      </c>
      <c r="I26" s="7" t="s">
        <v>91</v>
      </c>
      <c r="J26" s="7" t="s">
        <v>18</v>
      </c>
      <c r="K26" s="7" t="s">
        <v>19</v>
      </c>
      <c r="L26" s="7">
        <v>1.0</v>
      </c>
    </row>
    <row r="27">
      <c r="A27" s="5" t="s">
        <v>92</v>
      </c>
      <c r="B27" s="6">
        <v>77000.0</v>
      </c>
      <c r="C27" s="7" t="s">
        <v>13</v>
      </c>
      <c r="D27" s="7">
        <v>4.18921409E8</v>
      </c>
      <c r="E27" s="7" t="s">
        <v>93</v>
      </c>
      <c r="F27" s="8">
        <v>43143.0</v>
      </c>
      <c r="G27" s="7" t="s">
        <v>15</v>
      </c>
      <c r="H27" s="7" t="s">
        <v>16</v>
      </c>
      <c r="I27" s="7" t="s">
        <v>94</v>
      </c>
      <c r="J27" s="7" t="s">
        <v>18</v>
      </c>
      <c r="K27" s="7" t="s">
        <v>19</v>
      </c>
      <c r="L27" s="7">
        <v>1.0</v>
      </c>
    </row>
    <row r="28">
      <c r="A28" s="5" t="s">
        <v>95</v>
      </c>
      <c r="B28" s="6">
        <v>72200.0</v>
      </c>
      <c r="C28" s="7" t="s">
        <v>13</v>
      </c>
      <c r="D28" s="7">
        <v>8.2791162900018E13</v>
      </c>
      <c r="E28" s="7" t="s">
        <v>96</v>
      </c>
      <c r="F28" s="8">
        <v>43347.0</v>
      </c>
      <c r="G28" s="7" t="s">
        <v>15</v>
      </c>
      <c r="H28" s="7" t="s">
        <v>16</v>
      </c>
      <c r="I28" s="7" t="s">
        <v>97</v>
      </c>
      <c r="J28" s="7" t="s">
        <v>18</v>
      </c>
      <c r="K28" s="7" t="s">
        <v>19</v>
      </c>
      <c r="L28" s="7">
        <v>1.0</v>
      </c>
    </row>
    <row r="29">
      <c r="A29" s="5" t="s">
        <v>98</v>
      </c>
      <c r="B29" s="6">
        <v>65000.0</v>
      </c>
      <c r="C29" s="7" t="s">
        <v>13</v>
      </c>
      <c r="D29" s="7">
        <v>7.81843594E8</v>
      </c>
      <c r="E29" s="7" t="s">
        <v>99</v>
      </c>
      <c r="F29" s="8">
        <v>43182.0</v>
      </c>
      <c r="G29" s="7" t="s">
        <v>100</v>
      </c>
      <c r="H29" s="7" t="s">
        <v>16</v>
      </c>
      <c r="I29" s="7" t="s">
        <v>40</v>
      </c>
      <c r="J29" s="7" t="s">
        <v>18</v>
      </c>
      <c r="K29" s="7" t="s">
        <v>19</v>
      </c>
      <c r="L29" s="7">
        <v>1.0</v>
      </c>
    </row>
    <row r="30">
      <c r="A30" s="5" t="s">
        <v>101</v>
      </c>
      <c r="B30" s="6">
        <v>60000.0</v>
      </c>
      <c r="C30" s="7" t="s">
        <v>13</v>
      </c>
      <c r="D30" s="7">
        <v>3.0016423300037E13</v>
      </c>
      <c r="E30" s="7" t="s">
        <v>102</v>
      </c>
      <c r="F30" s="8">
        <v>43182.0</v>
      </c>
      <c r="G30" s="7" t="s">
        <v>15</v>
      </c>
      <c r="H30" s="7" t="s">
        <v>16</v>
      </c>
      <c r="I30" s="7" t="s">
        <v>40</v>
      </c>
      <c r="J30" s="7" t="s">
        <v>18</v>
      </c>
      <c r="K30" s="7" t="s">
        <v>19</v>
      </c>
      <c r="L30" s="7">
        <v>1.0</v>
      </c>
    </row>
    <row r="31">
      <c r="A31" s="5" t="s">
        <v>103</v>
      </c>
      <c r="B31" s="6">
        <v>60000.0</v>
      </c>
      <c r="C31" s="7" t="s">
        <v>13</v>
      </c>
      <c r="D31" s="7">
        <v>8.32333181E8</v>
      </c>
      <c r="E31" s="7" t="s">
        <v>104</v>
      </c>
      <c r="F31" s="8">
        <v>43161.0</v>
      </c>
      <c r="G31" s="7" t="s">
        <v>105</v>
      </c>
      <c r="H31" s="7" t="s">
        <v>16</v>
      </c>
      <c r="I31" s="7" t="s">
        <v>106</v>
      </c>
      <c r="J31" s="7" t="s">
        <v>18</v>
      </c>
      <c r="K31" s="7" t="s">
        <v>19</v>
      </c>
      <c r="L31" s="7">
        <v>1.0</v>
      </c>
    </row>
    <row r="32">
      <c r="A32" s="5" t="s">
        <v>107</v>
      </c>
      <c r="B32" s="6">
        <v>59400.0</v>
      </c>
      <c r="C32" s="7" t="s">
        <v>13</v>
      </c>
      <c r="D32" s="7">
        <v>5.1779186900012E13</v>
      </c>
      <c r="E32" s="7" t="s">
        <v>108</v>
      </c>
      <c r="F32" s="8">
        <v>43306.0</v>
      </c>
      <c r="G32" s="7" t="s">
        <v>15</v>
      </c>
      <c r="H32" s="7" t="s">
        <v>16</v>
      </c>
      <c r="I32" s="7" t="s">
        <v>28</v>
      </c>
      <c r="J32" s="7" t="s">
        <v>18</v>
      </c>
      <c r="K32" s="7" t="s">
        <v>19</v>
      </c>
      <c r="L32" s="7">
        <v>1.0</v>
      </c>
    </row>
    <row r="33">
      <c r="A33" s="5" t="s">
        <v>109</v>
      </c>
      <c r="B33" s="6">
        <v>58000.0</v>
      </c>
      <c r="C33" s="7" t="s">
        <v>13</v>
      </c>
      <c r="D33" s="7">
        <v>3.9811228400011E13</v>
      </c>
      <c r="E33" s="7" t="s">
        <v>110</v>
      </c>
      <c r="F33" s="8">
        <v>43319.0</v>
      </c>
      <c r="G33" s="7" t="s">
        <v>111</v>
      </c>
      <c r="H33" s="7" t="s">
        <v>16</v>
      </c>
      <c r="I33" s="7" t="s">
        <v>112</v>
      </c>
      <c r="J33" s="7" t="s">
        <v>18</v>
      </c>
      <c r="K33" s="7" t="s">
        <v>19</v>
      </c>
      <c r="L33" s="7">
        <v>1.0</v>
      </c>
    </row>
    <row r="34">
      <c r="A34" s="5" t="s">
        <v>113</v>
      </c>
      <c r="B34" s="6">
        <v>57000.0</v>
      </c>
      <c r="C34" s="7" t="s">
        <v>13</v>
      </c>
      <c r="D34" s="7">
        <v>4.7941474E8</v>
      </c>
      <c r="E34" s="7" t="s">
        <v>114</v>
      </c>
      <c r="F34" s="8">
        <v>43283.0</v>
      </c>
      <c r="G34" s="7" t="s">
        <v>15</v>
      </c>
      <c r="H34" s="7" t="s">
        <v>16</v>
      </c>
      <c r="I34" s="7" t="s">
        <v>115</v>
      </c>
      <c r="J34" s="7" t="s">
        <v>18</v>
      </c>
      <c r="K34" s="7" t="s">
        <v>19</v>
      </c>
      <c r="L34" s="7">
        <v>1.0</v>
      </c>
    </row>
    <row r="35">
      <c r="A35" s="5" t="s">
        <v>116</v>
      </c>
      <c r="B35" s="6">
        <v>55000.0</v>
      </c>
      <c r="C35" s="7" t="s">
        <v>13</v>
      </c>
      <c r="D35" s="7">
        <v>8.0077623900017E13</v>
      </c>
      <c r="E35" s="7" t="s">
        <v>117</v>
      </c>
      <c r="F35" s="8">
        <v>43318.0</v>
      </c>
      <c r="G35" s="7" t="s">
        <v>118</v>
      </c>
      <c r="H35" s="7" t="s">
        <v>16</v>
      </c>
      <c r="I35" s="7" t="s">
        <v>119</v>
      </c>
      <c r="J35" s="7" t="s">
        <v>18</v>
      </c>
      <c r="K35" s="7" t="s">
        <v>19</v>
      </c>
      <c r="L35" s="7">
        <v>1.0</v>
      </c>
    </row>
    <row r="36">
      <c r="A36" s="5" t="s">
        <v>120</v>
      </c>
      <c r="B36" s="6">
        <v>55000.0</v>
      </c>
      <c r="C36" s="7" t="s">
        <v>13</v>
      </c>
      <c r="D36" s="7">
        <v>8.0127651000011E13</v>
      </c>
      <c r="E36" s="7" t="s">
        <v>117</v>
      </c>
      <c r="F36" s="8">
        <v>43356.0</v>
      </c>
      <c r="G36" s="7" t="s">
        <v>121</v>
      </c>
      <c r="H36" s="7" t="s">
        <v>16</v>
      </c>
      <c r="I36" s="7" t="s">
        <v>122</v>
      </c>
      <c r="J36" s="7" t="s">
        <v>18</v>
      </c>
      <c r="K36" s="7" t="s">
        <v>19</v>
      </c>
      <c r="L36" s="7">
        <v>1.0</v>
      </c>
    </row>
    <row r="37">
      <c r="A37" s="5" t="s">
        <v>123</v>
      </c>
      <c r="B37" s="6">
        <v>55000.0</v>
      </c>
      <c r="C37" s="7" t="s">
        <v>13</v>
      </c>
      <c r="D37" s="7">
        <v>4.3288382500031E13</v>
      </c>
      <c r="E37" s="7" t="s">
        <v>117</v>
      </c>
      <c r="F37" s="8">
        <v>43304.0</v>
      </c>
      <c r="G37" s="7" t="s">
        <v>124</v>
      </c>
      <c r="H37" s="7" t="s">
        <v>16</v>
      </c>
      <c r="I37" s="7" t="s">
        <v>125</v>
      </c>
      <c r="J37" s="7" t="s">
        <v>18</v>
      </c>
      <c r="K37" s="7" t="s">
        <v>19</v>
      </c>
      <c r="L37" s="7">
        <v>1.0</v>
      </c>
    </row>
    <row r="38">
      <c r="A38" s="5" t="s">
        <v>126</v>
      </c>
      <c r="B38" s="6">
        <v>54000.0</v>
      </c>
      <c r="C38" s="7" t="s">
        <v>13</v>
      </c>
      <c r="D38" s="7">
        <v>4.8237148100029E13</v>
      </c>
      <c r="E38" s="7" t="s">
        <v>127</v>
      </c>
      <c r="F38" s="8">
        <v>43264.0</v>
      </c>
      <c r="G38" s="7" t="s">
        <v>128</v>
      </c>
      <c r="H38" s="7" t="s">
        <v>16</v>
      </c>
      <c r="I38" s="7" t="s">
        <v>129</v>
      </c>
      <c r="J38" s="7" t="s">
        <v>18</v>
      </c>
      <c r="K38" s="7" t="s">
        <v>19</v>
      </c>
      <c r="L38" s="7">
        <v>1.0</v>
      </c>
    </row>
    <row r="39">
      <c r="A39" s="5" t="s">
        <v>130</v>
      </c>
      <c r="B39" s="6">
        <v>52500.0</v>
      </c>
      <c r="C39" s="7" t="s">
        <v>13</v>
      </c>
      <c r="D39" s="7">
        <v>3.8956456800027E13</v>
      </c>
      <c r="E39" s="7" t="s">
        <v>131</v>
      </c>
      <c r="F39" s="8">
        <v>43252.0</v>
      </c>
      <c r="G39" s="7" t="s">
        <v>132</v>
      </c>
      <c r="H39" s="7" t="s">
        <v>16</v>
      </c>
      <c r="I39" s="7" t="s">
        <v>133</v>
      </c>
      <c r="J39" s="7" t="s">
        <v>18</v>
      </c>
      <c r="K39" s="7" t="s">
        <v>19</v>
      </c>
      <c r="L39" s="7">
        <v>1.0</v>
      </c>
    </row>
    <row r="40">
      <c r="A40" s="5" t="s">
        <v>134</v>
      </c>
      <c r="B40" s="6">
        <v>50000.0</v>
      </c>
      <c r="C40" s="7" t="s">
        <v>13</v>
      </c>
      <c r="D40" s="7">
        <v>4.515460970001E13</v>
      </c>
      <c r="E40" s="7" t="s">
        <v>135</v>
      </c>
      <c r="F40" s="8">
        <v>43417.0</v>
      </c>
      <c r="G40" s="7" t="s">
        <v>136</v>
      </c>
      <c r="H40" s="7" t="s">
        <v>16</v>
      </c>
      <c r="I40" s="7" t="s">
        <v>88</v>
      </c>
      <c r="J40" s="7" t="s">
        <v>18</v>
      </c>
      <c r="K40" s="7" t="s">
        <v>19</v>
      </c>
      <c r="L40" s="7">
        <v>1.0</v>
      </c>
    </row>
    <row r="41">
      <c r="A41" s="5" t="s">
        <v>137</v>
      </c>
      <c r="B41" s="6">
        <v>50000.0</v>
      </c>
      <c r="C41" s="7" t="s">
        <v>13</v>
      </c>
      <c r="D41" s="7">
        <v>3.79140221E8</v>
      </c>
      <c r="E41" s="7" t="s">
        <v>50</v>
      </c>
      <c r="F41" s="8">
        <v>43269.0</v>
      </c>
      <c r="G41" s="7" t="s">
        <v>138</v>
      </c>
      <c r="H41" s="7" t="s">
        <v>16</v>
      </c>
      <c r="I41" s="7" t="s">
        <v>52</v>
      </c>
      <c r="J41" s="7" t="s">
        <v>18</v>
      </c>
      <c r="K41" s="7" t="s">
        <v>19</v>
      </c>
      <c r="L41" s="7">
        <v>1.0</v>
      </c>
    </row>
    <row r="42">
      <c r="A42" s="5" t="s">
        <v>139</v>
      </c>
      <c r="B42" s="6">
        <v>49000.0</v>
      </c>
      <c r="C42" s="7" t="s">
        <v>13</v>
      </c>
      <c r="D42" s="7">
        <v>3.98191569E8</v>
      </c>
      <c r="E42" s="7" t="s">
        <v>140</v>
      </c>
      <c r="F42" s="8">
        <v>43124.0</v>
      </c>
      <c r="G42" s="7" t="s">
        <v>15</v>
      </c>
      <c r="H42" s="7" t="s">
        <v>16</v>
      </c>
      <c r="I42" s="7" t="s">
        <v>141</v>
      </c>
      <c r="J42" s="7" t="s">
        <v>18</v>
      </c>
      <c r="K42" s="7" t="s">
        <v>19</v>
      </c>
      <c r="L42" s="7">
        <v>1.0</v>
      </c>
    </row>
    <row r="43">
      <c r="A43" s="5" t="s">
        <v>142</v>
      </c>
      <c r="B43" s="6">
        <v>47500.0</v>
      </c>
      <c r="C43" s="7" t="s">
        <v>13</v>
      </c>
      <c r="D43" s="7">
        <v>4.21985235E8</v>
      </c>
      <c r="E43" s="7" t="s">
        <v>143</v>
      </c>
      <c r="F43" s="8">
        <v>43271.0</v>
      </c>
      <c r="G43" s="7" t="s">
        <v>15</v>
      </c>
      <c r="H43" s="7" t="s">
        <v>16</v>
      </c>
      <c r="I43" s="7" t="s">
        <v>34</v>
      </c>
      <c r="J43" s="7" t="s">
        <v>18</v>
      </c>
      <c r="K43" s="7" t="s">
        <v>19</v>
      </c>
      <c r="L43" s="7">
        <v>1.0</v>
      </c>
    </row>
    <row r="44">
      <c r="A44" s="5" t="s">
        <v>144</v>
      </c>
      <c r="B44" s="6">
        <v>47500.0</v>
      </c>
      <c r="C44" s="7" t="s">
        <v>13</v>
      </c>
      <c r="D44" s="7">
        <v>3.78090633E8</v>
      </c>
      <c r="E44" s="7" t="s">
        <v>50</v>
      </c>
      <c r="F44" s="8">
        <v>43269.0</v>
      </c>
      <c r="G44" s="7" t="s">
        <v>145</v>
      </c>
      <c r="H44" s="7" t="s">
        <v>16</v>
      </c>
      <c r="I44" s="7" t="s">
        <v>52</v>
      </c>
      <c r="J44" s="7" t="s">
        <v>18</v>
      </c>
      <c r="K44" s="7" t="s">
        <v>19</v>
      </c>
      <c r="L44" s="7">
        <v>1.0</v>
      </c>
    </row>
    <row r="45">
      <c r="A45" s="5" t="s">
        <v>146</v>
      </c>
      <c r="B45" s="6">
        <v>46318.0</v>
      </c>
      <c r="C45" s="7" t="s">
        <v>13</v>
      </c>
      <c r="D45" s="7">
        <v>5.2539664400011E13</v>
      </c>
      <c r="E45" s="7" t="s">
        <v>147</v>
      </c>
      <c r="F45" s="8">
        <v>43418.0</v>
      </c>
      <c r="G45" s="7" t="s">
        <v>61</v>
      </c>
      <c r="H45" s="7" t="s">
        <v>16</v>
      </c>
      <c r="I45" s="7" t="s">
        <v>148</v>
      </c>
      <c r="J45" s="7" t="s">
        <v>18</v>
      </c>
      <c r="K45" s="7" t="s">
        <v>19</v>
      </c>
      <c r="L45" s="7">
        <v>1.0</v>
      </c>
    </row>
    <row r="46">
      <c r="A46" s="5" t="s">
        <v>149</v>
      </c>
      <c r="B46" s="6">
        <v>45000.0</v>
      </c>
      <c r="C46" s="7" t="s">
        <v>13</v>
      </c>
      <c r="D46" s="7">
        <v>3.52216873E8</v>
      </c>
      <c r="E46" s="7" t="s">
        <v>127</v>
      </c>
      <c r="F46" s="8">
        <v>43269.0</v>
      </c>
      <c r="G46" s="7" t="s">
        <v>150</v>
      </c>
      <c r="H46" s="7" t="s">
        <v>16</v>
      </c>
      <c r="I46" s="7" t="s">
        <v>52</v>
      </c>
      <c r="J46" s="7" t="s">
        <v>18</v>
      </c>
      <c r="K46" s="7" t="s">
        <v>19</v>
      </c>
      <c r="L46" s="7">
        <v>1.0</v>
      </c>
    </row>
    <row r="47">
      <c r="A47" s="5" t="s">
        <v>151</v>
      </c>
      <c r="B47" s="6">
        <v>45000.0</v>
      </c>
      <c r="C47" s="7" t="s">
        <v>13</v>
      </c>
      <c r="D47" s="7">
        <v>3.49753467E8</v>
      </c>
      <c r="E47" s="7" t="s">
        <v>152</v>
      </c>
      <c r="F47" s="8">
        <v>43279.0</v>
      </c>
      <c r="G47" s="7" t="s">
        <v>15</v>
      </c>
      <c r="H47" s="7" t="s">
        <v>16</v>
      </c>
      <c r="I47" s="7" t="s">
        <v>153</v>
      </c>
      <c r="J47" s="7" t="s">
        <v>18</v>
      </c>
      <c r="K47" s="7" t="s">
        <v>19</v>
      </c>
      <c r="L47" s="7">
        <v>1.0</v>
      </c>
    </row>
    <row r="48">
      <c r="A48" s="5" t="s">
        <v>154</v>
      </c>
      <c r="B48" s="6">
        <v>42750.0</v>
      </c>
      <c r="C48" s="7" t="s">
        <v>13</v>
      </c>
      <c r="D48" s="7">
        <v>5.22896091E8</v>
      </c>
      <c r="E48" s="7" t="s">
        <v>127</v>
      </c>
      <c r="F48" s="8">
        <v>43255.0</v>
      </c>
      <c r="G48" s="7" t="s">
        <v>155</v>
      </c>
      <c r="H48" s="7" t="s">
        <v>16</v>
      </c>
      <c r="I48" s="7" t="s">
        <v>156</v>
      </c>
      <c r="J48" s="7" t="s">
        <v>18</v>
      </c>
      <c r="K48" s="7" t="s">
        <v>19</v>
      </c>
      <c r="L48" s="7">
        <v>1.0</v>
      </c>
    </row>
    <row r="49">
      <c r="A49" s="5" t="s">
        <v>157</v>
      </c>
      <c r="B49" s="6">
        <v>42700.0</v>
      </c>
      <c r="C49" s="7" t="s">
        <v>13</v>
      </c>
      <c r="D49" s="7">
        <v>4.2971672300011E13</v>
      </c>
      <c r="E49" s="7" t="s">
        <v>158</v>
      </c>
      <c r="F49" s="8">
        <v>43299.0</v>
      </c>
      <c r="G49" s="7" t="s">
        <v>159</v>
      </c>
      <c r="H49" s="7" t="s">
        <v>16</v>
      </c>
      <c r="I49" s="7" t="s">
        <v>160</v>
      </c>
      <c r="J49" s="7" t="s">
        <v>18</v>
      </c>
      <c r="K49" s="7" t="s">
        <v>19</v>
      </c>
      <c r="L49" s="7">
        <v>1.0</v>
      </c>
    </row>
    <row r="50">
      <c r="A50" s="5" t="s">
        <v>134</v>
      </c>
      <c r="B50" s="6">
        <v>41000.0</v>
      </c>
      <c r="C50" s="7" t="s">
        <v>13</v>
      </c>
      <c r="D50" s="7">
        <v>4.515469700001E13</v>
      </c>
      <c r="E50" s="7" t="s">
        <v>127</v>
      </c>
      <c r="F50" s="8">
        <v>43286.0</v>
      </c>
      <c r="G50" s="7" t="s">
        <v>161</v>
      </c>
      <c r="H50" s="7" t="s">
        <v>16</v>
      </c>
      <c r="I50" s="7" t="s">
        <v>162</v>
      </c>
      <c r="J50" s="7" t="s">
        <v>18</v>
      </c>
      <c r="K50" s="7" t="s">
        <v>19</v>
      </c>
      <c r="L50" s="7">
        <v>1.0</v>
      </c>
    </row>
    <row r="51">
      <c r="A51" s="5" t="s">
        <v>163</v>
      </c>
      <c r="B51" s="6">
        <v>40000.0</v>
      </c>
      <c r="C51" s="7" t="s">
        <v>13</v>
      </c>
      <c r="D51" s="7">
        <v>4.89563072E8</v>
      </c>
      <c r="E51" s="7" t="s">
        <v>164</v>
      </c>
      <c r="F51" s="8">
        <v>43133.0</v>
      </c>
      <c r="G51" s="7" t="s">
        <v>165</v>
      </c>
      <c r="H51" s="7" t="s">
        <v>16</v>
      </c>
      <c r="I51" s="7" t="s">
        <v>166</v>
      </c>
      <c r="J51" s="7" t="s">
        <v>18</v>
      </c>
      <c r="K51" s="7" t="s">
        <v>19</v>
      </c>
      <c r="L51" s="7">
        <v>1.0</v>
      </c>
    </row>
    <row r="52">
      <c r="A52" s="5" t="s">
        <v>167</v>
      </c>
      <c r="B52" s="6">
        <v>40000.0</v>
      </c>
      <c r="C52" s="7" t="s">
        <v>13</v>
      </c>
      <c r="D52" s="7">
        <v>8.2343035000012E13</v>
      </c>
      <c r="E52" s="7" t="s">
        <v>168</v>
      </c>
      <c r="F52" s="8">
        <v>43280.0</v>
      </c>
      <c r="G52" s="7" t="s">
        <v>169</v>
      </c>
      <c r="H52" s="7" t="s">
        <v>16</v>
      </c>
      <c r="I52" s="7" t="s">
        <v>170</v>
      </c>
      <c r="J52" s="7" t="s">
        <v>18</v>
      </c>
      <c r="K52" s="7" t="s">
        <v>19</v>
      </c>
      <c r="L52" s="7">
        <v>1.0</v>
      </c>
    </row>
    <row r="53">
      <c r="A53" s="5" t="s">
        <v>171</v>
      </c>
      <c r="B53" s="6">
        <v>40000.0</v>
      </c>
      <c r="C53" s="7" t="s">
        <v>13</v>
      </c>
      <c r="D53" s="7">
        <v>3.4169319E8</v>
      </c>
      <c r="E53" s="7" t="s">
        <v>33</v>
      </c>
      <c r="F53" s="8">
        <v>43269.0</v>
      </c>
      <c r="G53" s="7" t="s">
        <v>172</v>
      </c>
      <c r="H53" s="7" t="s">
        <v>16</v>
      </c>
      <c r="I53" s="7" t="s">
        <v>52</v>
      </c>
      <c r="J53" s="7" t="s">
        <v>18</v>
      </c>
      <c r="K53" s="7" t="s">
        <v>19</v>
      </c>
      <c r="L53" s="7">
        <v>1.0</v>
      </c>
    </row>
    <row r="54">
      <c r="A54" s="5" t="s">
        <v>173</v>
      </c>
      <c r="B54" s="6">
        <v>38000.0</v>
      </c>
      <c r="C54" s="7" t="s">
        <v>13</v>
      </c>
      <c r="D54" s="7">
        <v>4.19009105E8</v>
      </c>
      <c r="E54" s="7" t="s">
        <v>174</v>
      </c>
      <c r="F54" s="8">
        <v>43161.0</v>
      </c>
      <c r="G54" s="7" t="s">
        <v>15</v>
      </c>
      <c r="H54" s="7" t="s">
        <v>16</v>
      </c>
      <c r="I54" s="7" t="s">
        <v>106</v>
      </c>
      <c r="J54" s="7" t="s">
        <v>18</v>
      </c>
      <c r="K54" s="7" t="s">
        <v>19</v>
      </c>
      <c r="L54" s="7">
        <v>1.0</v>
      </c>
    </row>
    <row r="55">
      <c r="A55" s="5" t="s">
        <v>175</v>
      </c>
      <c r="B55" s="6">
        <v>38000.0</v>
      </c>
      <c r="C55" s="7" t="s">
        <v>13</v>
      </c>
      <c r="D55" s="7">
        <v>4.19009105E8</v>
      </c>
      <c r="E55" s="7" t="s">
        <v>127</v>
      </c>
      <c r="F55" s="8">
        <v>43252.0</v>
      </c>
      <c r="G55" s="7" t="s">
        <v>155</v>
      </c>
      <c r="H55" s="7" t="s">
        <v>16</v>
      </c>
      <c r="I55" s="7" t="s">
        <v>133</v>
      </c>
      <c r="J55" s="7" t="s">
        <v>18</v>
      </c>
      <c r="K55" s="7" t="s">
        <v>19</v>
      </c>
      <c r="L55" s="7">
        <v>1.0</v>
      </c>
    </row>
    <row r="56">
      <c r="A56" s="5" t="s">
        <v>176</v>
      </c>
      <c r="B56" s="6">
        <v>35000.0</v>
      </c>
      <c r="C56" s="7" t="s">
        <v>13</v>
      </c>
      <c r="D56" s="7">
        <v>4.02652853E8</v>
      </c>
      <c r="E56" s="7" t="s">
        <v>50</v>
      </c>
      <c r="F56" s="8">
        <v>43269.0</v>
      </c>
      <c r="G56" s="7" t="s">
        <v>51</v>
      </c>
      <c r="H56" s="7" t="s">
        <v>16</v>
      </c>
      <c r="I56" s="7" t="s">
        <v>52</v>
      </c>
      <c r="J56" s="7" t="s">
        <v>18</v>
      </c>
      <c r="K56" s="7" t="s">
        <v>19</v>
      </c>
      <c r="L56" s="7">
        <v>1.0</v>
      </c>
    </row>
    <row r="57">
      <c r="A57" s="5" t="s">
        <v>177</v>
      </c>
      <c r="B57" s="6">
        <v>35000.0</v>
      </c>
      <c r="C57" s="7" t="s">
        <v>13</v>
      </c>
      <c r="D57" s="7">
        <v>3.4169319E8</v>
      </c>
      <c r="E57" s="7" t="s">
        <v>178</v>
      </c>
      <c r="F57" s="8">
        <v>43174.0</v>
      </c>
      <c r="G57" s="7" t="s">
        <v>179</v>
      </c>
      <c r="H57" s="7" t="s">
        <v>16</v>
      </c>
      <c r="I57" s="7" t="s">
        <v>180</v>
      </c>
      <c r="J57" s="7" t="s">
        <v>18</v>
      </c>
      <c r="K57" s="7" t="s">
        <v>19</v>
      </c>
      <c r="L57" s="7">
        <v>1.0</v>
      </c>
    </row>
    <row r="58">
      <c r="A58" s="5" t="s">
        <v>181</v>
      </c>
      <c r="B58" s="6">
        <v>34000.0</v>
      </c>
      <c r="C58" s="7" t="s">
        <v>13</v>
      </c>
      <c r="D58" s="7">
        <v>4.20252348E8</v>
      </c>
      <c r="E58" s="7" t="s">
        <v>182</v>
      </c>
      <c r="F58" s="8">
        <v>43160.0</v>
      </c>
      <c r="G58" s="7" t="s">
        <v>183</v>
      </c>
      <c r="H58" s="7" t="s">
        <v>16</v>
      </c>
      <c r="I58" s="7" t="s">
        <v>184</v>
      </c>
      <c r="J58" s="7" t="s">
        <v>18</v>
      </c>
      <c r="K58" s="7" t="s">
        <v>19</v>
      </c>
      <c r="L58" s="7">
        <v>1.0</v>
      </c>
    </row>
    <row r="59">
      <c r="A59" s="5" t="s">
        <v>134</v>
      </c>
      <c r="B59" s="6">
        <v>33250.0</v>
      </c>
      <c r="C59" s="7" t="s">
        <v>13</v>
      </c>
      <c r="D59" s="7">
        <v>4.51546097E8</v>
      </c>
      <c r="E59" s="7" t="s">
        <v>185</v>
      </c>
      <c r="F59" s="8">
        <v>43266.0</v>
      </c>
      <c r="G59" s="7" t="s">
        <v>155</v>
      </c>
      <c r="H59" s="7" t="s">
        <v>16</v>
      </c>
      <c r="I59" s="7" t="s">
        <v>186</v>
      </c>
      <c r="J59" s="7" t="s">
        <v>18</v>
      </c>
      <c r="K59" s="7" t="s">
        <v>19</v>
      </c>
      <c r="L59" s="7">
        <v>1.0</v>
      </c>
    </row>
    <row r="60">
      <c r="A60" s="5" t="s">
        <v>187</v>
      </c>
      <c r="B60" s="6">
        <v>32000.0</v>
      </c>
      <c r="C60" s="7" t="s">
        <v>13</v>
      </c>
      <c r="D60" s="7">
        <v>3.06564279E8</v>
      </c>
      <c r="E60" s="7" t="s">
        <v>188</v>
      </c>
      <c r="F60" s="8">
        <v>43126.0</v>
      </c>
      <c r="G60" s="7" t="s">
        <v>15</v>
      </c>
      <c r="H60" s="7" t="s">
        <v>16</v>
      </c>
      <c r="I60" s="7" t="s">
        <v>82</v>
      </c>
      <c r="J60" s="7" t="s">
        <v>18</v>
      </c>
      <c r="K60" s="7" t="s">
        <v>19</v>
      </c>
      <c r="L60" s="7">
        <v>1.0</v>
      </c>
    </row>
    <row r="61">
      <c r="A61" s="5" t="s">
        <v>176</v>
      </c>
      <c r="B61" s="6">
        <v>30000.0</v>
      </c>
      <c r="C61" s="7" t="s">
        <v>13</v>
      </c>
      <c r="D61" s="7">
        <v>4.02652853E8</v>
      </c>
      <c r="E61" s="7" t="s">
        <v>189</v>
      </c>
      <c r="F61" s="8">
        <v>43252.0</v>
      </c>
      <c r="G61" s="7" t="s">
        <v>172</v>
      </c>
      <c r="H61" s="7" t="s">
        <v>16</v>
      </c>
      <c r="I61" s="7" t="s">
        <v>133</v>
      </c>
      <c r="J61" s="7" t="s">
        <v>18</v>
      </c>
      <c r="K61" s="7" t="s">
        <v>19</v>
      </c>
      <c r="L61" s="7">
        <v>1.0</v>
      </c>
    </row>
    <row r="62">
      <c r="A62" s="5" t="s">
        <v>190</v>
      </c>
      <c r="B62" s="6">
        <v>30000.0</v>
      </c>
      <c r="C62" s="7" t="s">
        <v>13</v>
      </c>
      <c r="D62" s="7">
        <v>4.3470528100021E13</v>
      </c>
      <c r="E62" s="7" t="s">
        <v>191</v>
      </c>
      <c r="F62" s="8">
        <v>43411.0</v>
      </c>
      <c r="G62" s="7" t="s">
        <v>15</v>
      </c>
      <c r="H62" s="7" t="s">
        <v>16</v>
      </c>
      <c r="I62" s="7" t="s">
        <v>192</v>
      </c>
      <c r="J62" s="7" t="s">
        <v>18</v>
      </c>
      <c r="K62" s="7" t="s">
        <v>19</v>
      </c>
      <c r="L62" s="7">
        <v>1.0</v>
      </c>
    </row>
    <row r="63">
      <c r="A63" s="5" t="s">
        <v>193</v>
      </c>
      <c r="B63" s="6">
        <v>29000.0</v>
      </c>
      <c r="C63" s="7" t="s">
        <v>66</v>
      </c>
      <c r="D63" s="7">
        <v>4.022835430007E13</v>
      </c>
      <c r="E63" s="7" t="s">
        <v>194</v>
      </c>
      <c r="F63" s="8">
        <v>43335.0</v>
      </c>
      <c r="G63" s="7" t="s">
        <v>195</v>
      </c>
      <c r="H63" s="7" t="s">
        <v>16</v>
      </c>
      <c r="I63" s="7" t="s">
        <v>196</v>
      </c>
      <c r="J63" s="7" t="s">
        <v>18</v>
      </c>
      <c r="K63" s="7" t="s">
        <v>19</v>
      </c>
      <c r="L63" s="7">
        <v>1.0</v>
      </c>
    </row>
    <row r="64">
      <c r="A64" s="5" t="s">
        <v>123</v>
      </c>
      <c r="B64" s="6">
        <v>28000.0</v>
      </c>
      <c r="C64" s="7" t="s">
        <v>13</v>
      </c>
      <c r="D64" s="7">
        <v>4.3288382500031E13</v>
      </c>
      <c r="E64" s="7" t="s">
        <v>197</v>
      </c>
      <c r="F64" s="8">
        <v>43304.0</v>
      </c>
      <c r="G64" s="7" t="s">
        <v>15</v>
      </c>
      <c r="H64" s="7" t="s">
        <v>16</v>
      </c>
      <c r="I64" s="7" t="s">
        <v>125</v>
      </c>
      <c r="J64" s="7" t="s">
        <v>18</v>
      </c>
      <c r="K64" s="7" t="s">
        <v>19</v>
      </c>
      <c r="L64" s="7">
        <v>1.0</v>
      </c>
    </row>
    <row r="65">
      <c r="A65" s="5" t="s">
        <v>198</v>
      </c>
      <c r="B65" s="6">
        <v>26000.0</v>
      </c>
      <c r="C65" s="7" t="s">
        <v>13</v>
      </c>
      <c r="D65" s="7">
        <v>5.33896825E8</v>
      </c>
      <c r="E65" s="7" t="s">
        <v>50</v>
      </c>
      <c r="F65" s="8">
        <v>43257.0</v>
      </c>
      <c r="G65" s="7" t="s">
        <v>199</v>
      </c>
      <c r="H65" s="7" t="s">
        <v>16</v>
      </c>
      <c r="I65" s="7" t="s">
        <v>200</v>
      </c>
      <c r="J65" s="7" t="s">
        <v>18</v>
      </c>
      <c r="K65" s="7" t="s">
        <v>19</v>
      </c>
      <c r="L65" s="7">
        <v>1.0</v>
      </c>
    </row>
    <row r="66">
      <c r="A66" s="5" t="s">
        <v>201</v>
      </c>
      <c r="B66" s="6">
        <v>25000.0</v>
      </c>
      <c r="C66" s="7" t="s">
        <v>13</v>
      </c>
      <c r="D66" s="7">
        <v>4.3383539400027E13</v>
      </c>
      <c r="E66" s="7" t="s">
        <v>202</v>
      </c>
      <c r="F66" s="8">
        <v>43370.0</v>
      </c>
      <c r="G66" s="7" t="s">
        <v>203</v>
      </c>
      <c r="H66" s="7" t="s">
        <v>16</v>
      </c>
      <c r="I66" s="7" t="s">
        <v>204</v>
      </c>
      <c r="J66" s="7" t="s">
        <v>18</v>
      </c>
      <c r="K66" s="7" t="s">
        <v>19</v>
      </c>
      <c r="L66" s="7">
        <v>1.0</v>
      </c>
    </row>
    <row r="67">
      <c r="A67" s="5" t="s">
        <v>205</v>
      </c>
      <c r="B67" s="6">
        <v>25000.0</v>
      </c>
      <c r="C67" s="7" t="s">
        <v>13</v>
      </c>
      <c r="D67" s="7">
        <v>4.3403882400042E13</v>
      </c>
      <c r="E67" s="7" t="s">
        <v>206</v>
      </c>
      <c r="F67" s="8">
        <v>43332.0</v>
      </c>
      <c r="G67" s="7" t="s">
        <v>203</v>
      </c>
      <c r="H67" s="7" t="s">
        <v>16</v>
      </c>
      <c r="I67" s="7" t="s">
        <v>207</v>
      </c>
      <c r="J67" s="7" t="s">
        <v>18</v>
      </c>
      <c r="K67" s="7" t="s">
        <v>19</v>
      </c>
      <c r="L67" s="7">
        <v>1.0</v>
      </c>
    </row>
    <row r="68">
      <c r="A68" s="5" t="s">
        <v>208</v>
      </c>
      <c r="B68" s="6">
        <v>25000.0</v>
      </c>
      <c r="C68" s="7" t="s">
        <v>13</v>
      </c>
      <c r="D68" s="7">
        <v>3.4063725500027E13</v>
      </c>
      <c r="E68" s="7" t="s">
        <v>209</v>
      </c>
      <c r="F68" s="8">
        <v>43328.0</v>
      </c>
      <c r="G68" s="7" t="s">
        <v>15</v>
      </c>
      <c r="H68" s="7" t="s">
        <v>16</v>
      </c>
      <c r="I68" s="7" t="s">
        <v>210</v>
      </c>
      <c r="J68" s="7" t="s">
        <v>18</v>
      </c>
      <c r="K68" s="7" t="s">
        <v>19</v>
      </c>
      <c r="L68" s="7">
        <v>1.0</v>
      </c>
    </row>
    <row r="69">
      <c r="A69" s="5" t="s">
        <v>211</v>
      </c>
      <c r="B69" s="6">
        <v>25000.0</v>
      </c>
      <c r="C69" s="7" t="s">
        <v>13</v>
      </c>
      <c r="D69" s="7">
        <v>8.2071933400014E13</v>
      </c>
      <c r="E69" s="7" t="s">
        <v>212</v>
      </c>
      <c r="F69" s="8">
        <v>43411.0</v>
      </c>
      <c r="G69" s="7" t="s">
        <v>15</v>
      </c>
      <c r="H69" s="7" t="s">
        <v>16</v>
      </c>
      <c r="I69" s="7" t="s">
        <v>192</v>
      </c>
      <c r="J69" s="7" t="s">
        <v>18</v>
      </c>
      <c r="K69" s="7" t="s">
        <v>19</v>
      </c>
      <c r="L69" s="7">
        <v>1.0</v>
      </c>
    </row>
    <row r="70">
      <c r="A70" s="5" t="s">
        <v>213</v>
      </c>
      <c r="B70" s="6">
        <v>25000.0</v>
      </c>
      <c r="C70" s="7" t="s">
        <v>13</v>
      </c>
      <c r="D70" s="7">
        <v>8.0961975200011E13</v>
      </c>
      <c r="E70" s="7" t="s">
        <v>214</v>
      </c>
      <c r="F70" s="8">
        <v>43334.0</v>
      </c>
      <c r="G70" s="7" t="s">
        <v>15</v>
      </c>
      <c r="H70" s="7" t="s">
        <v>16</v>
      </c>
      <c r="I70" s="7" t="s">
        <v>215</v>
      </c>
      <c r="J70" s="7" t="s">
        <v>18</v>
      </c>
      <c r="K70" s="7" t="s">
        <v>19</v>
      </c>
      <c r="L70" s="7">
        <v>1.0</v>
      </c>
    </row>
    <row r="71">
      <c r="A71" s="5" t="s">
        <v>216</v>
      </c>
      <c r="B71" s="6">
        <v>25000.0</v>
      </c>
      <c r="C71" s="7" t="s">
        <v>13</v>
      </c>
      <c r="D71" s="7">
        <v>3.7954994200025E13</v>
      </c>
      <c r="E71" s="7" t="s">
        <v>209</v>
      </c>
      <c r="F71" s="8">
        <v>43299.0</v>
      </c>
      <c r="G71" s="7" t="s">
        <v>15</v>
      </c>
      <c r="H71" s="7" t="s">
        <v>16</v>
      </c>
      <c r="I71" s="7" t="s">
        <v>160</v>
      </c>
      <c r="J71" s="7" t="s">
        <v>18</v>
      </c>
      <c r="K71" s="7" t="s">
        <v>19</v>
      </c>
      <c r="L71" s="7">
        <v>1.0</v>
      </c>
    </row>
    <row r="72">
      <c r="A72" s="5" t="s">
        <v>217</v>
      </c>
      <c r="B72" s="6">
        <v>25000.0</v>
      </c>
      <c r="C72" s="7" t="s">
        <v>13</v>
      </c>
      <c r="D72" s="7">
        <v>4.9058526200069E13</v>
      </c>
      <c r="E72" s="7" t="s">
        <v>202</v>
      </c>
      <c r="F72" s="8">
        <v>43353.0</v>
      </c>
      <c r="G72" s="7" t="s">
        <v>203</v>
      </c>
      <c r="H72" s="7" t="s">
        <v>16</v>
      </c>
      <c r="I72" s="7" t="s">
        <v>37</v>
      </c>
      <c r="J72" s="7" t="s">
        <v>18</v>
      </c>
      <c r="K72" s="7" t="s">
        <v>19</v>
      </c>
      <c r="L72" s="7">
        <v>1.0</v>
      </c>
    </row>
    <row r="73">
      <c r="A73" s="5" t="s">
        <v>171</v>
      </c>
      <c r="B73" s="6">
        <v>25000.0</v>
      </c>
      <c r="C73" s="7" t="s">
        <v>13</v>
      </c>
      <c r="D73" s="7">
        <v>3.4169319E8</v>
      </c>
      <c r="E73" s="7" t="s">
        <v>50</v>
      </c>
      <c r="F73" s="8">
        <v>43269.0</v>
      </c>
      <c r="G73" s="7" t="s">
        <v>218</v>
      </c>
      <c r="H73" s="7" t="s">
        <v>16</v>
      </c>
      <c r="I73" s="7" t="s">
        <v>52</v>
      </c>
      <c r="J73" s="7" t="s">
        <v>18</v>
      </c>
      <c r="K73" s="7" t="s">
        <v>19</v>
      </c>
      <c r="L73" s="7">
        <v>1.0</v>
      </c>
    </row>
    <row r="74">
      <c r="A74" s="5" t="s">
        <v>219</v>
      </c>
      <c r="B74" s="6">
        <v>24176.0</v>
      </c>
      <c r="C74" s="7" t="s">
        <v>13</v>
      </c>
      <c r="D74" s="7">
        <v>8.25241318E8</v>
      </c>
      <c r="E74" s="7" t="s">
        <v>220</v>
      </c>
      <c r="F74" s="8">
        <v>43208.0</v>
      </c>
      <c r="G74" s="7" t="s">
        <v>15</v>
      </c>
      <c r="H74" s="7" t="s">
        <v>16</v>
      </c>
      <c r="I74" s="7" t="s">
        <v>221</v>
      </c>
      <c r="J74" s="7" t="s">
        <v>18</v>
      </c>
      <c r="K74" s="7" t="s">
        <v>19</v>
      </c>
      <c r="L74" s="7">
        <v>1.0</v>
      </c>
    </row>
    <row r="75">
      <c r="A75" s="5" t="s">
        <v>222</v>
      </c>
      <c r="B75" s="6">
        <v>24000.0</v>
      </c>
      <c r="C75" s="7" t="s">
        <v>66</v>
      </c>
      <c r="D75" s="7">
        <v>8.203367330001E13</v>
      </c>
      <c r="E75" s="7" t="s">
        <v>223</v>
      </c>
      <c r="F75" s="8">
        <v>43339.0</v>
      </c>
      <c r="G75" s="7" t="s">
        <v>61</v>
      </c>
      <c r="H75" s="7" t="s">
        <v>16</v>
      </c>
      <c r="I75" s="7" t="s">
        <v>224</v>
      </c>
      <c r="J75" s="7" t="s">
        <v>18</v>
      </c>
      <c r="K75" s="7" t="s">
        <v>19</v>
      </c>
      <c r="L75" s="7">
        <v>1.0</v>
      </c>
    </row>
    <row r="76">
      <c r="A76" s="5" t="s">
        <v>225</v>
      </c>
      <c r="B76" s="6">
        <v>23500.0</v>
      </c>
      <c r="C76" s="7" t="s">
        <v>13</v>
      </c>
      <c r="D76" s="7">
        <v>7.89145869E8</v>
      </c>
      <c r="E76" s="7" t="s">
        <v>189</v>
      </c>
      <c r="F76" s="8">
        <v>43255.0</v>
      </c>
      <c r="G76" s="7" t="s">
        <v>226</v>
      </c>
      <c r="H76" s="7" t="s">
        <v>16</v>
      </c>
      <c r="I76" s="7" t="s">
        <v>156</v>
      </c>
      <c r="J76" s="7" t="s">
        <v>18</v>
      </c>
      <c r="K76" s="7" t="s">
        <v>19</v>
      </c>
      <c r="L76" s="7">
        <v>1.0</v>
      </c>
    </row>
    <row r="77">
      <c r="A77" s="5" t="s">
        <v>163</v>
      </c>
      <c r="B77" s="6">
        <v>20000.0</v>
      </c>
      <c r="C77" s="7" t="s">
        <v>13</v>
      </c>
      <c r="D77" s="7">
        <v>4.89563072E8</v>
      </c>
      <c r="E77" s="7" t="s">
        <v>189</v>
      </c>
      <c r="F77" s="8">
        <v>43255.0</v>
      </c>
      <c r="G77" s="7" t="s">
        <v>172</v>
      </c>
      <c r="H77" s="7" t="s">
        <v>16</v>
      </c>
      <c r="I77" s="7" t="s">
        <v>156</v>
      </c>
      <c r="J77" s="7" t="s">
        <v>18</v>
      </c>
      <c r="K77" s="7" t="s">
        <v>19</v>
      </c>
      <c r="L77" s="7">
        <v>1.0</v>
      </c>
    </row>
    <row r="78">
      <c r="A78" s="5" t="s">
        <v>154</v>
      </c>
      <c r="B78" s="6">
        <v>20000.0</v>
      </c>
      <c r="C78" s="7" t="s">
        <v>13</v>
      </c>
      <c r="D78" s="7">
        <v>5.22896091E8</v>
      </c>
      <c r="E78" s="7" t="s">
        <v>227</v>
      </c>
      <c r="F78" s="8">
        <v>43271.0</v>
      </c>
      <c r="G78" s="7" t="s">
        <v>228</v>
      </c>
      <c r="H78" s="7" t="s">
        <v>16</v>
      </c>
      <c r="I78" s="7" t="s">
        <v>34</v>
      </c>
      <c r="J78" s="7" t="s">
        <v>18</v>
      </c>
      <c r="K78" s="7" t="s">
        <v>19</v>
      </c>
      <c r="L78" s="7">
        <v>1.0</v>
      </c>
    </row>
    <row r="79">
      <c r="A79" s="5" t="s">
        <v>229</v>
      </c>
      <c r="B79" s="6">
        <v>20000.0</v>
      </c>
      <c r="C79" s="7" t="s">
        <v>13</v>
      </c>
      <c r="D79" s="7">
        <v>4.20089567E8</v>
      </c>
      <c r="E79" s="7" t="s">
        <v>50</v>
      </c>
      <c r="F79" s="8">
        <v>43269.0</v>
      </c>
      <c r="G79" s="7" t="s">
        <v>230</v>
      </c>
      <c r="H79" s="7" t="s">
        <v>16</v>
      </c>
      <c r="I79" s="7" t="s">
        <v>52</v>
      </c>
      <c r="J79" s="7" t="s">
        <v>18</v>
      </c>
      <c r="K79" s="7" t="s">
        <v>19</v>
      </c>
      <c r="L79" s="7">
        <v>1.0</v>
      </c>
    </row>
    <row r="80">
      <c r="A80" s="5" t="s">
        <v>217</v>
      </c>
      <c r="B80" s="6">
        <v>20000.0</v>
      </c>
      <c r="C80" s="7" t="s">
        <v>13</v>
      </c>
      <c r="D80" s="7">
        <v>4.9058526200069E13</v>
      </c>
      <c r="E80" s="7" t="s">
        <v>231</v>
      </c>
      <c r="F80" s="8">
        <v>43353.0</v>
      </c>
      <c r="G80" s="7" t="s">
        <v>232</v>
      </c>
      <c r="H80" s="7" t="s">
        <v>16</v>
      </c>
      <c r="I80" s="7" t="s">
        <v>37</v>
      </c>
      <c r="J80" s="7" t="s">
        <v>18</v>
      </c>
      <c r="K80" s="7" t="s">
        <v>19</v>
      </c>
      <c r="L80" s="7">
        <v>1.0</v>
      </c>
    </row>
    <row r="81">
      <c r="A81" s="5" t="s">
        <v>233</v>
      </c>
      <c r="B81" s="6">
        <v>19025.0</v>
      </c>
      <c r="C81" s="7" t="s">
        <v>13</v>
      </c>
      <c r="D81" s="7">
        <v>8.2239982E8</v>
      </c>
      <c r="E81" s="7" t="s">
        <v>189</v>
      </c>
      <c r="F81" s="8">
        <v>43247.0</v>
      </c>
      <c r="G81" s="7" t="s">
        <v>172</v>
      </c>
      <c r="H81" s="7" t="s">
        <v>16</v>
      </c>
      <c r="I81" s="7" t="s">
        <v>234</v>
      </c>
      <c r="J81" s="7" t="s">
        <v>18</v>
      </c>
      <c r="K81" s="7" t="s">
        <v>19</v>
      </c>
      <c r="L81" s="7">
        <v>1.0</v>
      </c>
    </row>
    <row r="82">
      <c r="A82" s="5" t="s">
        <v>235</v>
      </c>
      <c r="B82" s="6">
        <v>17940.0</v>
      </c>
      <c r="C82" s="7" t="s">
        <v>13</v>
      </c>
      <c r="D82" s="7">
        <v>5.3454877100037E13</v>
      </c>
      <c r="E82" s="7" t="s">
        <v>236</v>
      </c>
      <c r="F82" s="8">
        <v>43329.0</v>
      </c>
      <c r="G82" s="7" t="s">
        <v>237</v>
      </c>
      <c r="H82" s="7" t="s">
        <v>16</v>
      </c>
      <c r="I82" s="7" t="s">
        <v>238</v>
      </c>
      <c r="J82" s="7" t="s">
        <v>18</v>
      </c>
      <c r="K82" s="7" t="s">
        <v>19</v>
      </c>
      <c r="L82" s="7">
        <v>1.0</v>
      </c>
    </row>
    <row r="83">
      <c r="A83" s="5" t="s">
        <v>239</v>
      </c>
      <c r="B83" s="6">
        <v>17500.0</v>
      </c>
      <c r="C83" s="7" t="s">
        <v>13</v>
      </c>
      <c r="D83" s="7">
        <v>3.83890233E8</v>
      </c>
      <c r="E83" s="7" t="s">
        <v>240</v>
      </c>
      <c r="F83" s="8">
        <v>43248.0</v>
      </c>
      <c r="G83" s="7" t="s">
        <v>241</v>
      </c>
      <c r="H83" s="7" t="s">
        <v>16</v>
      </c>
      <c r="I83" s="7" t="s">
        <v>242</v>
      </c>
      <c r="J83" s="7" t="s">
        <v>18</v>
      </c>
      <c r="K83" s="7" t="s">
        <v>19</v>
      </c>
      <c r="L83" s="7">
        <v>1.0</v>
      </c>
    </row>
    <row r="84">
      <c r="A84" s="5" t="s">
        <v>239</v>
      </c>
      <c r="B84" s="6">
        <v>17000.0</v>
      </c>
      <c r="C84" s="7" t="s">
        <v>13</v>
      </c>
      <c r="D84" s="7">
        <v>3.83890233E8</v>
      </c>
      <c r="E84" s="7" t="s">
        <v>189</v>
      </c>
      <c r="F84" s="8">
        <v>43252.0</v>
      </c>
      <c r="G84" s="7" t="s">
        <v>172</v>
      </c>
      <c r="H84" s="7" t="s">
        <v>16</v>
      </c>
      <c r="I84" s="7" t="s">
        <v>133</v>
      </c>
      <c r="J84" s="7" t="s">
        <v>18</v>
      </c>
      <c r="K84" s="7" t="s">
        <v>19</v>
      </c>
      <c r="L84" s="7">
        <v>1.0</v>
      </c>
    </row>
    <row r="85">
      <c r="A85" s="5" t="s">
        <v>243</v>
      </c>
      <c r="B85" s="6">
        <v>15200.0</v>
      </c>
      <c r="C85" s="7" t="s">
        <v>13</v>
      </c>
      <c r="D85" s="7">
        <v>4.84382189E8</v>
      </c>
      <c r="E85" s="7" t="s">
        <v>50</v>
      </c>
      <c r="F85" s="8">
        <v>43279.0</v>
      </c>
      <c r="G85" s="7" t="s">
        <v>244</v>
      </c>
      <c r="H85" s="7" t="s">
        <v>16</v>
      </c>
      <c r="I85" s="7" t="s">
        <v>153</v>
      </c>
      <c r="J85" s="7" t="s">
        <v>18</v>
      </c>
      <c r="K85" s="7" t="s">
        <v>19</v>
      </c>
      <c r="L85" s="7">
        <v>1.0</v>
      </c>
    </row>
    <row r="86">
      <c r="A86" s="5" t="s">
        <v>163</v>
      </c>
      <c r="B86" s="6">
        <v>15000.0</v>
      </c>
      <c r="C86" s="7" t="s">
        <v>13</v>
      </c>
      <c r="D86" s="7">
        <v>4.895630720002E13</v>
      </c>
      <c r="E86" s="7" t="s">
        <v>168</v>
      </c>
      <c r="F86" s="8">
        <v>43287.0</v>
      </c>
      <c r="G86" s="7" t="s">
        <v>245</v>
      </c>
      <c r="H86" s="7" t="s">
        <v>16</v>
      </c>
      <c r="I86" s="7" t="s">
        <v>246</v>
      </c>
      <c r="J86" s="7" t="s">
        <v>18</v>
      </c>
      <c r="K86" s="7" t="s">
        <v>19</v>
      </c>
      <c r="L86" s="7">
        <v>1.0</v>
      </c>
    </row>
    <row r="87">
      <c r="A87" s="5" t="s">
        <v>146</v>
      </c>
      <c r="B87" s="6">
        <v>15000.0</v>
      </c>
      <c r="C87" s="7" t="s">
        <v>66</v>
      </c>
      <c r="D87" s="7">
        <v>5.2539664400011E13</v>
      </c>
      <c r="E87" s="7" t="s">
        <v>147</v>
      </c>
      <c r="F87" s="8">
        <v>43418.0</v>
      </c>
      <c r="G87" s="7" t="s">
        <v>247</v>
      </c>
      <c r="H87" s="7" t="s">
        <v>16</v>
      </c>
      <c r="I87" s="7" t="s">
        <v>148</v>
      </c>
      <c r="J87" s="7" t="s">
        <v>18</v>
      </c>
      <c r="K87" s="7" t="s">
        <v>19</v>
      </c>
      <c r="L87" s="7">
        <v>1.0</v>
      </c>
    </row>
    <row r="88">
      <c r="A88" s="5" t="s">
        <v>248</v>
      </c>
      <c r="B88" s="6">
        <v>15000.0</v>
      </c>
      <c r="C88" s="7" t="s">
        <v>13</v>
      </c>
      <c r="D88" s="7">
        <v>3.28480082E8</v>
      </c>
      <c r="E88" s="7" t="s">
        <v>50</v>
      </c>
      <c r="F88" s="8">
        <v>43252.0</v>
      </c>
      <c r="G88" s="7" t="s">
        <v>249</v>
      </c>
      <c r="H88" s="7" t="s">
        <v>16</v>
      </c>
      <c r="I88" s="7" t="s">
        <v>133</v>
      </c>
      <c r="J88" s="7" t="s">
        <v>18</v>
      </c>
      <c r="K88" s="7" t="s">
        <v>19</v>
      </c>
      <c r="L88" s="7">
        <v>1.0</v>
      </c>
    </row>
    <row r="89">
      <c r="A89" s="5" t="s">
        <v>250</v>
      </c>
      <c r="B89" s="6">
        <v>15000.0</v>
      </c>
      <c r="C89" s="7" t="s">
        <v>13</v>
      </c>
      <c r="D89" s="7">
        <v>3.9856806300059E13</v>
      </c>
      <c r="E89" s="7" t="s">
        <v>251</v>
      </c>
      <c r="F89" s="8">
        <v>43339.0</v>
      </c>
      <c r="G89" s="7" t="s">
        <v>252</v>
      </c>
      <c r="H89" s="7" t="s">
        <v>16</v>
      </c>
      <c r="I89" s="7" t="s">
        <v>224</v>
      </c>
      <c r="J89" s="7" t="s">
        <v>18</v>
      </c>
      <c r="K89" s="7" t="s">
        <v>19</v>
      </c>
      <c r="L89" s="7">
        <v>1.0</v>
      </c>
    </row>
    <row r="90">
      <c r="A90" s="5" t="s">
        <v>253</v>
      </c>
      <c r="B90" s="6">
        <v>15000.0</v>
      </c>
      <c r="C90" s="7" t="s">
        <v>13</v>
      </c>
      <c r="D90" s="7">
        <v>4.3434085700037E13</v>
      </c>
      <c r="E90" s="7" t="s">
        <v>50</v>
      </c>
      <c r="F90" s="8">
        <v>43300.0</v>
      </c>
      <c r="G90" s="7" t="s">
        <v>15</v>
      </c>
      <c r="H90" s="7" t="s">
        <v>16</v>
      </c>
      <c r="I90" s="7" t="s">
        <v>254</v>
      </c>
      <c r="J90" s="7" t="s">
        <v>18</v>
      </c>
      <c r="K90" s="7" t="s">
        <v>19</v>
      </c>
      <c r="L90" s="7">
        <v>1.0</v>
      </c>
    </row>
    <row r="91">
      <c r="A91" s="5" t="s">
        <v>255</v>
      </c>
      <c r="B91" s="6">
        <v>15000.0</v>
      </c>
      <c r="C91" s="7" t="s">
        <v>13</v>
      </c>
      <c r="D91" s="7">
        <v>3.50118865E8</v>
      </c>
      <c r="E91" s="7" t="s">
        <v>50</v>
      </c>
      <c r="F91" s="8">
        <v>43269.0</v>
      </c>
      <c r="G91" s="7" t="s">
        <v>256</v>
      </c>
      <c r="H91" s="7" t="s">
        <v>16</v>
      </c>
      <c r="I91" s="7" t="s">
        <v>52</v>
      </c>
      <c r="J91" s="7" t="s">
        <v>18</v>
      </c>
      <c r="K91" s="7" t="s">
        <v>19</v>
      </c>
      <c r="L91" s="7">
        <v>1.0</v>
      </c>
    </row>
    <row r="92">
      <c r="A92" s="5" t="s">
        <v>257</v>
      </c>
      <c r="B92" s="6">
        <v>15000.0</v>
      </c>
      <c r="C92" s="7" t="s">
        <v>13</v>
      </c>
      <c r="D92" s="7">
        <v>8.0910251E8</v>
      </c>
      <c r="E92" s="7" t="s">
        <v>189</v>
      </c>
      <c r="F92" s="8">
        <v>43262.0</v>
      </c>
      <c r="G92" s="7" t="s">
        <v>172</v>
      </c>
      <c r="H92" s="7" t="s">
        <v>16</v>
      </c>
      <c r="I92" s="7" t="s">
        <v>258</v>
      </c>
      <c r="J92" s="7" t="s">
        <v>18</v>
      </c>
      <c r="K92" s="7" t="s">
        <v>19</v>
      </c>
      <c r="L92" s="7">
        <v>1.0</v>
      </c>
    </row>
    <row r="93">
      <c r="A93" s="5" t="s">
        <v>198</v>
      </c>
      <c r="B93" s="6">
        <v>15000.0</v>
      </c>
      <c r="C93" s="7" t="s">
        <v>13</v>
      </c>
      <c r="D93" s="7">
        <v>5.33896825E8</v>
      </c>
      <c r="E93" s="7" t="s">
        <v>259</v>
      </c>
      <c r="F93" s="8">
        <v>43222.0</v>
      </c>
      <c r="G93" s="7" t="s">
        <v>260</v>
      </c>
      <c r="H93" s="7" t="s">
        <v>16</v>
      </c>
      <c r="I93" s="7" t="s">
        <v>261</v>
      </c>
      <c r="J93" s="7" t="s">
        <v>18</v>
      </c>
      <c r="K93" s="7" t="s">
        <v>19</v>
      </c>
      <c r="L93" s="7">
        <v>1.0</v>
      </c>
    </row>
    <row r="94">
      <c r="A94" s="5" t="s">
        <v>262</v>
      </c>
      <c r="B94" s="6">
        <v>14825.0</v>
      </c>
      <c r="C94" s="7" t="s">
        <v>13</v>
      </c>
      <c r="D94" s="7">
        <v>8.0294758E8</v>
      </c>
      <c r="E94" s="7" t="s">
        <v>263</v>
      </c>
      <c r="F94" s="8">
        <v>43269.0</v>
      </c>
      <c r="G94" s="7" t="s">
        <v>264</v>
      </c>
      <c r="H94" s="7" t="s">
        <v>16</v>
      </c>
      <c r="I94" s="7" t="s">
        <v>52</v>
      </c>
      <c r="J94" s="7" t="s">
        <v>18</v>
      </c>
      <c r="K94" s="7" t="s">
        <v>19</v>
      </c>
      <c r="L94" s="7">
        <v>1.0</v>
      </c>
    </row>
    <row r="95">
      <c r="A95" s="5" t="s">
        <v>265</v>
      </c>
      <c r="B95" s="6">
        <v>14250.0</v>
      </c>
      <c r="C95" s="7" t="s">
        <v>13</v>
      </c>
      <c r="D95" s="7">
        <v>4.9848483100033E13</v>
      </c>
      <c r="E95" s="7" t="s">
        <v>266</v>
      </c>
      <c r="F95" s="8">
        <v>43391.0</v>
      </c>
      <c r="G95" s="7" t="s">
        <v>15</v>
      </c>
      <c r="H95" s="7" t="s">
        <v>16</v>
      </c>
      <c r="I95" s="7" t="s">
        <v>267</v>
      </c>
      <c r="J95" s="7" t="s">
        <v>18</v>
      </c>
      <c r="K95" s="7" t="s">
        <v>19</v>
      </c>
      <c r="L95" s="7">
        <v>1.0</v>
      </c>
    </row>
    <row r="96">
      <c r="A96" s="5" t="s">
        <v>268</v>
      </c>
      <c r="B96" s="6">
        <v>14250.0</v>
      </c>
      <c r="C96" s="7" t="s">
        <v>13</v>
      </c>
      <c r="D96" s="7">
        <v>8.312204960001E13</v>
      </c>
      <c r="E96" s="7" t="s">
        <v>269</v>
      </c>
      <c r="F96" s="8">
        <v>43419.0</v>
      </c>
      <c r="G96" s="7" t="s">
        <v>270</v>
      </c>
      <c r="H96" s="7" t="s">
        <v>16</v>
      </c>
      <c r="I96" s="7" t="s">
        <v>271</v>
      </c>
      <c r="J96" s="7" t="s">
        <v>18</v>
      </c>
      <c r="K96" s="7" t="s">
        <v>19</v>
      </c>
      <c r="L96" s="7">
        <v>1.0</v>
      </c>
    </row>
    <row r="97">
      <c r="A97" s="5" t="s">
        <v>205</v>
      </c>
      <c r="B97" s="6">
        <v>14000.0</v>
      </c>
      <c r="C97" s="7" t="s">
        <v>13</v>
      </c>
      <c r="D97" s="7">
        <v>4.3403882400042E13</v>
      </c>
      <c r="E97" s="7" t="s">
        <v>272</v>
      </c>
      <c r="F97" s="8">
        <v>43420.0</v>
      </c>
      <c r="G97" s="7" t="s">
        <v>273</v>
      </c>
      <c r="H97" s="7" t="s">
        <v>16</v>
      </c>
      <c r="I97" s="7" t="s">
        <v>274</v>
      </c>
      <c r="J97" s="7" t="s">
        <v>18</v>
      </c>
      <c r="K97" s="7" t="s">
        <v>19</v>
      </c>
      <c r="L97" s="7">
        <v>1.0</v>
      </c>
    </row>
    <row r="98">
      <c r="A98" s="5" t="s">
        <v>275</v>
      </c>
      <c r="B98" s="6">
        <v>14000.0</v>
      </c>
      <c r="C98" s="7" t="s">
        <v>13</v>
      </c>
      <c r="D98" s="7">
        <v>8.09584576E8</v>
      </c>
      <c r="E98" s="7" t="s">
        <v>189</v>
      </c>
      <c r="F98" s="8">
        <v>43252.0</v>
      </c>
      <c r="G98" s="7" t="s">
        <v>172</v>
      </c>
      <c r="H98" s="7" t="s">
        <v>16</v>
      </c>
      <c r="I98" s="7" t="s">
        <v>133</v>
      </c>
      <c r="J98" s="7" t="s">
        <v>18</v>
      </c>
      <c r="K98" s="7" t="s">
        <v>19</v>
      </c>
      <c r="L98" s="7">
        <v>1.0</v>
      </c>
    </row>
    <row r="99">
      <c r="A99" s="5" t="s">
        <v>120</v>
      </c>
      <c r="B99" s="6">
        <v>13538.0</v>
      </c>
      <c r="C99" s="7" t="s">
        <v>13</v>
      </c>
      <c r="D99" s="7">
        <v>8.0127165100011E13</v>
      </c>
      <c r="E99" s="7" t="s">
        <v>276</v>
      </c>
      <c r="F99" s="8">
        <v>43298.0</v>
      </c>
      <c r="G99" s="7" t="s">
        <v>277</v>
      </c>
      <c r="H99" s="7" t="s">
        <v>16</v>
      </c>
      <c r="I99" s="7" t="s">
        <v>278</v>
      </c>
      <c r="J99" s="7" t="s">
        <v>18</v>
      </c>
      <c r="K99" s="7" t="s">
        <v>19</v>
      </c>
      <c r="L99" s="7">
        <v>1.0</v>
      </c>
    </row>
    <row r="100">
      <c r="A100" s="5" t="s">
        <v>83</v>
      </c>
      <c r="B100" s="6">
        <v>13000.0</v>
      </c>
      <c r="C100" s="7" t="s">
        <v>66</v>
      </c>
      <c r="D100" s="7">
        <v>4.8856661300037E13</v>
      </c>
      <c r="E100" s="7" t="s">
        <v>194</v>
      </c>
      <c r="F100" s="8">
        <v>43335.0</v>
      </c>
      <c r="G100" s="7" t="s">
        <v>195</v>
      </c>
      <c r="H100" s="7" t="s">
        <v>16</v>
      </c>
      <c r="I100" s="7" t="s">
        <v>196</v>
      </c>
      <c r="J100" s="7" t="s">
        <v>18</v>
      </c>
      <c r="K100" s="7" t="s">
        <v>19</v>
      </c>
      <c r="L100" s="7">
        <v>1.0</v>
      </c>
    </row>
    <row r="101">
      <c r="A101" s="5" t="s">
        <v>146</v>
      </c>
      <c r="B101" s="6">
        <v>13000.0</v>
      </c>
      <c r="C101" s="7" t="s">
        <v>13</v>
      </c>
      <c r="D101" s="7">
        <v>5.2539664400011E13</v>
      </c>
      <c r="E101" s="7" t="s">
        <v>147</v>
      </c>
      <c r="F101" s="8">
        <v>43418.0</v>
      </c>
      <c r="G101" s="7" t="s">
        <v>279</v>
      </c>
      <c r="H101" s="7" t="s">
        <v>16</v>
      </c>
      <c r="I101" s="7" t="s">
        <v>148</v>
      </c>
      <c r="J101" s="7" t="s">
        <v>18</v>
      </c>
      <c r="K101" s="7" t="s">
        <v>19</v>
      </c>
      <c r="L101" s="7">
        <v>1.0</v>
      </c>
    </row>
    <row r="102">
      <c r="A102" s="5" t="s">
        <v>280</v>
      </c>
      <c r="B102" s="6">
        <v>12600.0</v>
      </c>
      <c r="C102" s="7" t="s">
        <v>13</v>
      </c>
      <c r="D102" s="7">
        <v>7.9836587E8</v>
      </c>
      <c r="E102" s="7" t="s">
        <v>189</v>
      </c>
      <c r="F102" s="8">
        <v>43264.0</v>
      </c>
      <c r="G102" s="7" t="s">
        <v>281</v>
      </c>
      <c r="H102" s="7" t="s">
        <v>16</v>
      </c>
      <c r="I102" s="7" t="s">
        <v>282</v>
      </c>
      <c r="J102" s="7" t="s">
        <v>18</v>
      </c>
      <c r="K102" s="7" t="s">
        <v>19</v>
      </c>
      <c r="L102" s="7">
        <v>1.0</v>
      </c>
    </row>
    <row r="103">
      <c r="A103" s="5" t="s">
        <v>171</v>
      </c>
      <c r="B103" s="6">
        <v>11000.0</v>
      </c>
      <c r="C103" s="7" t="s">
        <v>66</v>
      </c>
      <c r="D103" s="7">
        <v>3.4169319000033E13</v>
      </c>
      <c r="E103" s="7" t="s">
        <v>283</v>
      </c>
      <c r="F103" s="8">
        <v>43371.0</v>
      </c>
      <c r="G103" s="7" t="s">
        <v>195</v>
      </c>
      <c r="H103" s="7" t="s">
        <v>16</v>
      </c>
      <c r="I103" s="7" t="s">
        <v>284</v>
      </c>
      <c r="J103" s="7" t="s">
        <v>18</v>
      </c>
      <c r="K103" s="7" t="s">
        <v>19</v>
      </c>
      <c r="L103" s="7">
        <v>1.0</v>
      </c>
    </row>
    <row r="104">
      <c r="A104" s="5" t="s">
        <v>285</v>
      </c>
      <c r="B104" s="6">
        <v>11000.0</v>
      </c>
      <c r="C104" s="7" t="s">
        <v>13</v>
      </c>
      <c r="D104" s="7">
        <v>8.24274781E8</v>
      </c>
      <c r="E104" s="7" t="s">
        <v>189</v>
      </c>
      <c r="F104" s="8">
        <v>43252.0</v>
      </c>
      <c r="G104" s="7" t="s">
        <v>172</v>
      </c>
      <c r="H104" s="7" t="s">
        <v>16</v>
      </c>
      <c r="I104" s="7" t="s">
        <v>133</v>
      </c>
      <c r="J104" s="7" t="s">
        <v>18</v>
      </c>
      <c r="K104" s="7" t="s">
        <v>19</v>
      </c>
      <c r="L104" s="7">
        <v>1.0</v>
      </c>
    </row>
    <row r="105">
      <c r="A105" s="5" t="s">
        <v>286</v>
      </c>
      <c r="B105" s="6">
        <v>10870.0</v>
      </c>
      <c r="C105" s="7" t="s">
        <v>66</v>
      </c>
      <c r="D105" s="7">
        <v>7.89105954E8</v>
      </c>
      <c r="E105" s="7" t="s">
        <v>287</v>
      </c>
      <c r="F105" s="8">
        <v>43091.0</v>
      </c>
      <c r="G105" s="7" t="s">
        <v>15</v>
      </c>
      <c r="H105" s="7" t="s">
        <v>16</v>
      </c>
      <c r="I105" s="7" t="s">
        <v>25</v>
      </c>
      <c r="J105" s="7" t="s">
        <v>18</v>
      </c>
      <c r="K105" s="7" t="s">
        <v>19</v>
      </c>
      <c r="L105" s="7">
        <v>1.0</v>
      </c>
    </row>
    <row r="106">
      <c r="A106" s="5" t="s">
        <v>288</v>
      </c>
      <c r="B106" s="6">
        <v>10300.0</v>
      </c>
      <c r="C106" s="7" t="s">
        <v>66</v>
      </c>
      <c r="D106" s="7">
        <v>3.3348540700014E13</v>
      </c>
      <c r="E106" s="7" t="s">
        <v>194</v>
      </c>
      <c r="F106" s="8">
        <v>43342.0</v>
      </c>
      <c r="G106" s="7" t="s">
        <v>195</v>
      </c>
      <c r="H106" s="7" t="s">
        <v>16</v>
      </c>
      <c r="I106" s="7" t="s">
        <v>289</v>
      </c>
      <c r="J106" s="7" t="s">
        <v>18</v>
      </c>
      <c r="K106" s="7" t="s">
        <v>19</v>
      </c>
      <c r="L106" s="7">
        <v>1.0</v>
      </c>
    </row>
    <row r="107">
      <c r="A107" s="5" t="s">
        <v>290</v>
      </c>
      <c r="B107" s="6">
        <v>10000.0</v>
      </c>
      <c r="C107" s="7" t="s">
        <v>13</v>
      </c>
      <c r="D107" s="7">
        <v>8.21354933E8</v>
      </c>
      <c r="E107" s="7" t="s">
        <v>189</v>
      </c>
      <c r="F107" s="8">
        <v>43244.0</v>
      </c>
      <c r="G107" s="7" t="s">
        <v>172</v>
      </c>
      <c r="H107" s="7" t="s">
        <v>16</v>
      </c>
      <c r="I107" s="7" t="s">
        <v>291</v>
      </c>
      <c r="J107" s="7" t="s">
        <v>18</v>
      </c>
      <c r="K107" s="7" t="s">
        <v>19</v>
      </c>
      <c r="L107" s="7">
        <v>1.0</v>
      </c>
    </row>
    <row r="108">
      <c r="A108" s="5" t="s">
        <v>83</v>
      </c>
      <c r="B108" s="6">
        <v>10000.0</v>
      </c>
      <c r="C108" s="7" t="s">
        <v>13</v>
      </c>
      <c r="D108" s="7">
        <v>4.8856661300037E13</v>
      </c>
      <c r="E108" s="7" t="s">
        <v>276</v>
      </c>
      <c r="F108" s="8">
        <v>43285.0</v>
      </c>
      <c r="G108" s="7" t="s">
        <v>292</v>
      </c>
      <c r="H108" s="7" t="s">
        <v>16</v>
      </c>
      <c r="I108" s="7" t="s">
        <v>44</v>
      </c>
      <c r="J108" s="7" t="s">
        <v>18</v>
      </c>
      <c r="K108" s="7" t="s">
        <v>19</v>
      </c>
      <c r="L108" s="7">
        <v>1.0</v>
      </c>
    </row>
    <row r="109">
      <c r="A109" s="5" t="s">
        <v>293</v>
      </c>
      <c r="B109" s="6">
        <v>10000.0</v>
      </c>
      <c r="C109" s="7" t="s">
        <v>13</v>
      </c>
      <c r="D109" s="7">
        <v>8.2982336800016E13</v>
      </c>
      <c r="E109" s="7" t="s">
        <v>251</v>
      </c>
      <c r="F109" s="8">
        <v>43263.0</v>
      </c>
      <c r="G109" s="7" t="s">
        <v>294</v>
      </c>
      <c r="H109" s="7" t="s">
        <v>16</v>
      </c>
      <c r="I109" s="7" t="s">
        <v>295</v>
      </c>
      <c r="J109" s="7" t="s">
        <v>18</v>
      </c>
      <c r="K109" s="7" t="s">
        <v>19</v>
      </c>
      <c r="L109" s="7">
        <v>1.0</v>
      </c>
    </row>
    <row r="110">
      <c r="A110" s="5" t="s">
        <v>296</v>
      </c>
      <c r="B110" s="6">
        <v>10000.0</v>
      </c>
      <c r="C110" s="7" t="s">
        <v>13</v>
      </c>
      <c r="D110" s="7">
        <v>7.5198395800024E13</v>
      </c>
      <c r="E110" s="7" t="s">
        <v>251</v>
      </c>
      <c r="F110" s="8">
        <v>43276.0</v>
      </c>
      <c r="G110" s="7" t="s">
        <v>297</v>
      </c>
      <c r="H110" s="7" t="s">
        <v>16</v>
      </c>
      <c r="I110" s="7" t="s">
        <v>298</v>
      </c>
      <c r="J110" s="7" t="s">
        <v>18</v>
      </c>
      <c r="K110" s="7" t="s">
        <v>19</v>
      </c>
      <c r="L110" s="7" t="s">
        <v>299</v>
      </c>
    </row>
    <row r="111">
      <c r="A111" s="5" t="s">
        <v>300</v>
      </c>
      <c r="B111" s="6">
        <v>10000.0</v>
      </c>
      <c r="C111" s="7" t="s">
        <v>13</v>
      </c>
      <c r="D111" s="7">
        <v>8.221340780001E13</v>
      </c>
      <c r="E111" s="7" t="s">
        <v>301</v>
      </c>
      <c r="F111" s="8">
        <v>43299.0</v>
      </c>
      <c r="G111" s="7" t="s">
        <v>70</v>
      </c>
      <c r="H111" s="7" t="s">
        <v>16</v>
      </c>
      <c r="I111" s="7" t="s">
        <v>160</v>
      </c>
      <c r="J111" s="7" t="s">
        <v>18</v>
      </c>
      <c r="K111" s="7" t="s">
        <v>19</v>
      </c>
      <c r="L111" s="7">
        <v>1.0</v>
      </c>
    </row>
    <row r="112">
      <c r="A112" s="5" t="s">
        <v>302</v>
      </c>
      <c r="B112" s="6">
        <v>10000.0</v>
      </c>
      <c r="C112" s="7" t="s">
        <v>13</v>
      </c>
      <c r="D112" s="7">
        <v>7.89632254E8</v>
      </c>
      <c r="E112" s="7" t="s">
        <v>189</v>
      </c>
      <c r="F112" s="8">
        <v>43250.0</v>
      </c>
      <c r="G112" s="7" t="s">
        <v>172</v>
      </c>
      <c r="H112" s="7" t="s">
        <v>16</v>
      </c>
      <c r="I112" s="7" t="s">
        <v>303</v>
      </c>
      <c r="J112" s="7" t="s">
        <v>18</v>
      </c>
      <c r="K112" s="7" t="s">
        <v>19</v>
      </c>
      <c r="L112" s="7">
        <v>1.0</v>
      </c>
    </row>
    <row r="113">
      <c r="A113" s="5" t="s">
        <v>304</v>
      </c>
      <c r="B113" s="6">
        <v>9900.0</v>
      </c>
      <c r="C113" s="7" t="s">
        <v>13</v>
      </c>
      <c r="D113" s="7">
        <v>8.246985E8</v>
      </c>
      <c r="E113" s="7" t="s">
        <v>189</v>
      </c>
      <c r="F113" s="8">
        <v>43266.0</v>
      </c>
      <c r="G113" s="7" t="s">
        <v>15</v>
      </c>
      <c r="H113" s="7" t="s">
        <v>16</v>
      </c>
      <c r="I113" s="7" t="s">
        <v>186</v>
      </c>
      <c r="J113" s="7" t="s">
        <v>18</v>
      </c>
      <c r="K113" s="7" t="s">
        <v>19</v>
      </c>
      <c r="L113" s="7">
        <v>1.0</v>
      </c>
    </row>
    <row r="114">
      <c r="A114" s="5" t="s">
        <v>305</v>
      </c>
      <c r="B114" s="6">
        <v>9610.0</v>
      </c>
      <c r="C114" s="7" t="s">
        <v>13</v>
      </c>
      <c r="D114" s="7">
        <v>4.38794034E8</v>
      </c>
      <c r="E114" s="7" t="s">
        <v>189</v>
      </c>
      <c r="F114" s="8">
        <v>43244.0</v>
      </c>
      <c r="G114" s="7" t="s">
        <v>172</v>
      </c>
      <c r="H114" s="7" t="s">
        <v>16</v>
      </c>
      <c r="I114" s="7" t="s">
        <v>291</v>
      </c>
      <c r="J114" s="7" t="s">
        <v>18</v>
      </c>
      <c r="K114" s="7" t="s">
        <v>19</v>
      </c>
      <c r="L114" s="7">
        <v>1.0</v>
      </c>
    </row>
    <row r="115">
      <c r="A115" s="5" t="s">
        <v>306</v>
      </c>
      <c r="B115" s="6">
        <v>9500.0</v>
      </c>
      <c r="C115" s="7" t="s">
        <v>13</v>
      </c>
      <c r="D115" s="7">
        <v>4.5227479800035E13</v>
      </c>
      <c r="E115" s="7" t="s">
        <v>307</v>
      </c>
      <c r="F115" s="8">
        <v>43406.0</v>
      </c>
      <c r="G115" s="7" t="s">
        <v>308</v>
      </c>
      <c r="H115" s="7" t="s">
        <v>16</v>
      </c>
      <c r="I115" s="7" t="s">
        <v>309</v>
      </c>
      <c r="J115" s="7" t="s">
        <v>18</v>
      </c>
      <c r="K115" s="7" t="s">
        <v>19</v>
      </c>
      <c r="L115" s="7">
        <v>1.0</v>
      </c>
    </row>
    <row r="116">
      <c r="A116" s="5" t="s">
        <v>310</v>
      </c>
      <c r="B116" s="6">
        <v>9000.0</v>
      </c>
      <c r="C116" s="7" t="s">
        <v>13</v>
      </c>
      <c r="D116" s="7">
        <v>1.3002285800019E13</v>
      </c>
      <c r="E116" s="7" t="s">
        <v>311</v>
      </c>
      <c r="F116" s="8">
        <v>43342.0</v>
      </c>
      <c r="G116" s="7" t="s">
        <v>312</v>
      </c>
      <c r="H116" s="7" t="s">
        <v>16</v>
      </c>
      <c r="I116" s="7" t="s">
        <v>289</v>
      </c>
      <c r="J116" s="7" t="s">
        <v>18</v>
      </c>
      <c r="K116" s="7" t="s">
        <v>19</v>
      </c>
      <c r="L116" s="7">
        <v>1.0</v>
      </c>
    </row>
    <row r="117">
      <c r="A117" s="5" t="s">
        <v>144</v>
      </c>
      <c r="B117" s="6">
        <v>9000.0</v>
      </c>
      <c r="C117" s="7" t="s">
        <v>13</v>
      </c>
      <c r="D117" s="7">
        <v>3.7809063300017E13</v>
      </c>
      <c r="E117" s="7" t="s">
        <v>313</v>
      </c>
      <c r="F117" s="8">
        <v>43306.0</v>
      </c>
      <c r="G117" s="7" t="s">
        <v>61</v>
      </c>
      <c r="H117" s="7" t="s">
        <v>16</v>
      </c>
      <c r="I117" s="7" t="s">
        <v>28</v>
      </c>
      <c r="J117" s="7" t="s">
        <v>18</v>
      </c>
      <c r="K117" s="7" t="s">
        <v>19</v>
      </c>
      <c r="L117" s="7">
        <v>1.0</v>
      </c>
    </row>
    <row r="118">
      <c r="A118" s="5" t="s">
        <v>310</v>
      </c>
      <c r="B118" s="6">
        <v>8500.0</v>
      </c>
      <c r="C118" s="7" t="s">
        <v>13</v>
      </c>
      <c r="D118" s="7">
        <v>1.3002285800018E13</v>
      </c>
      <c r="E118" s="7" t="s">
        <v>311</v>
      </c>
      <c r="F118" s="8">
        <v>43342.0</v>
      </c>
      <c r="G118" s="7" t="s">
        <v>314</v>
      </c>
      <c r="H118" s="7" t="s">
        <v>16</v>
      </c>
      <c r="I118" s="7" t="s">
        <v>289</v>
      </c>
      <c r="J118" s="7" t="s">
        <v>18</v>
      </c>
      <c r="K118" s="7" t="s">
        <v>19</v>
      </c>
      <c r="L118" s="7">
        <v>1.0</v>
      </c>
    </row>
    <row r="119">
      <c r="A119" s="5" t="s">
        <v>315</v>
      </c>
      <c r="B119" s="6">
        <v>8000.0</v>
      </c>
      <c r="C119" s="7" t="s">
        <v>13</v>
      </c>
      <c r="D119" s="7">
        <v>8.1141156E8</v>
      </c>
      <c r="E119" s="7" t="s">
        <v>189</v>
      </c>
      <c r="F119" s="8">
        <v>43263.0</v>
      </c>
      <c r="G119" s="7" t="s">
        <v>281</v>
      </c>
      <c r="H119" s="7" t="s">
        <v>16</v>
      </c>
      <c r="I119" s="7" t="s">
        <v>295</v>
      </c>
      <c r="J119" s="7" t="s">
        <v>18</v>
      </c>
      <c r="K119" s="7" t="s">
        <v>19</v>
      </c>
      <c r="L119" s="7">
        <v>1.0</v>
      </c>
    </row>
    <row r="120">
      <c r="A120" s="5" t="s">
        <v>316</v>
      </c>
      <c r="B120" s="6">
        <v>8000.0</v>
      </c>
      <c r="C120" s="7" t="s">
        <v>13</v>
      </c>
      <c r="D120" s="7">
        <v>8.33920077E8</v>
      </c>
      <c r="E120" s="7" t="s">
        <v>189</v>
      </c>
      <c r="F120" s="8">
        <v>43257.0</v>
      </c>
      <c r="G120" s="7" t="s">
        <v>172</v>
      </c>
      <c r="H120" s="7" t="s">
        <v>16</v>
      </c>
      <c r="I120" s="7" t="s">
        <v>200</v>
      </c>
      <c r="J120" s="7" t="s">
        <v>18</v>
      </c>
      <c r="K120" s="7" t="s">
        <v>19</v>
      </c>
      <c r="L120" s="7">
        <v>1.0</v>
      </c>
    </row>
    <row r="121">
      <c r="A121" s="5" t="s">
        <v>317</v>
      </c>
      <c r="B121" s="6">
        <v>8000.0</v>
      </c>
      <c r="C121" s="7" t="s">
        <v>13</v>
      </c>
      <c r="D121" s="7">
        <v>5.24259363E8</v>
      </c>
      <c r="E121" s="7" t="s">
        <v>50</v>
      </c>
      <c r="F121" s="8">
        <v>43283.0</v>
      </c>
      <c r="G121" s="7" t="s">
        <v>51</v>
      </c>
      <c r="H121" s="7" t="s">
        <v>16</v>
      </c>
      <c r="I121" s="7" t="s">
        <v>115</v>
      </c>
      <c r="J121" s="7" t="s">
        <v>18</v>
      </c>
      <c r="K121" s="7" t="s">
        <v>19</v>
      </c>
      <c r="L121" s="7">
        <v>1.0</v>
      </c>
    </row>
    <row r="122">
      <c r="A122" s="5" t="s">
        <v>318</v>
      </c>
      <c r="B122" s="6">
        <v>8000.0</v>
      </c>
      <c r="C122" s="7" t="s">
        <v>13</v>
      </c>
      <c r="D122" s="7">
        <v>8.3176796700019E13</v>
      </c>
      <c r="E122" s="7" t="s">
        <v>301</v>
      </c>
      <c r="F122" s="8">
        <v>43353.0</v>
      </c>
      <c r="G122" s="7" t="s">
        <v>319</v>
      </c>
      <c r="H122" s="7" t="s">
        <v>16</v>
      </c>
      <c r="I122" s="7" t="s">
        <v>37</v>
      </c>
      <c r="J122" s="7" t="s">
        <v>18</v>
      </c>
      <c r="K122" s="7" t="s">
        <v>19</v>
      </c>
      <c r="L122" s="7">
        <v>1.0</v>
      </c>
    </row>
    <row r="123">
      <c r="A123" s="5" t="s">
        <v>320</v>
      </c>
      <c r="B123" s="6">
        <v>7900.0</v>
      </c>
      <c r="C123" s="7" t="s">
        <v>13</v>
      </c>
      <c r="D123" s="7">
        <v>3.06040312E8</v>
      </c>
      <c r="E123" s="7" t="s">
        <v>321</v>
      </c>
      <c r="F123" s="8">
        <v>43130.0</v>
      </c>
      <c r="G123" s="7" t="s">
        <v>15</v>
      </c>
      <c r="H123" s="7" t="s">
        <v>16</v>
      </c>
      <c r="I123" s="7" t="s">
        <v>322</v>
      </c>
      <c r="J123" s="7" t="s">
        <v>18</v>
      </c>
      <c r="K123" s="7" t="s">
        <v>19</v>
      </c>
      <c r="L123" s="7">
        <v>1.0</v>
      </c>
    </row>
    <row r="124">
      <c r="A124" s="5" t="s">
        <v>323</v>
      </c>
      <c r="B124" s="6">
        <v>7700.0</v>
      </c>
      <c r="C124" s="7" t="s">
        <v>13</v>
      </c>
      <c r="D124" s="7">
        <v>4.44932446E8</v>
      </c>
      <c r="E124" s="7" t="s">
        <v>324</v>
      </c>
      <c r="F124" s="8">
        <v>43257.0</v>
      </c>
      <c r="G124" s="7" t="s">
        <v>172</v>
      </c>
      <c r="H124" s="7" t="s">
        <v>16</v>
      </c>
      <c r="I124" s="7" t="s">
        <v>200</v>
      </c>
      <c r="J124" s="7" t="s">
        <v>18</v>
      </c>
      <c r="K124" s="7" t="s">
        <v>19</v>
      </c>
      <c r="L124" s="7">
        <v>1.0</v>
      </c>
    </row>
    <row r="125">
      <c r="A125" s="5" t="s">
        <v>325</v>
      </c>
      <c r="B125" s="6">
        <v>7500.0</v>
      </c>
      <c r="C125" s="7" t="s">
        <v>13</v>
      </c>
      <c r="D125" s="7">
        <v>4.9322382000017E13</v>
      </c>
      <c r="E125" s="7" t="s">
        <v>326</v>
      </c>
      <c r="F125" s="8">
        <v>43364.0</v>
      </c>
      <c r="G125" s="7" t="s">
        <v>68</v>
      </c>
      <c r="H125" s="7" t="s">
        <v>16</v>
      </c>
      <c r="I125" s="7" t="s">
        <v>327</v>
      </c>
      <c r="J125" s="7" t="s">
        <v>18</v>
      </c>
      <c r="K125" s="7" t="s">
        <v>19</v>
      </c>
      <c r="L125" s="7">
        <v>1.0</v>
      </c>
    </row>
    <row r="126">
      <c r="A126" s="5" t="s">
        <v>328</v>
      </c>
      <c r="B126" s="6">
        <v>7190.0</v>
      </c>
      <c r="C126" s="7" t="s">
        <v>13</v>
      </c>
      <c r="D126" s="7">
        <v>8.28195339E8</v>
      </c>
      <c r="E126" s="7" t="s">
        <v>33</v>
      </c>
      <c r="F126" s="8">
        <v>43264.0</v>
      </c>
      <c r="G126" s="7" t="s">
        <v>172</v>
      </c>
      <c r="H126" s="7" t="s">
        <v>16</v>
      </c>
      <c r="I126" s="7" t="s">
        <v>129</v>
      </c>
      <c r="J126" s="7" t="s">
        <v>18</v>
      </c>
      <c r="K126" s="7" t="s">
        <v>19</v>
      </c>
      <c r="L126" s="7">
        <v>1.0</v>
      </c>
    </row>
    <row r="127">
      <c r="A127" s="5" t="s">
        <v>329</v>
      </c>
      <c r="B127" s="6">
        <v>7000.0</v>
      </c>
      <c r="C127" s="7" t="s">
        <v>13</v>
      </c>
      <c r="D127" s="7">
        <v>4.1087071100083E13</v>
      </c>
      <c r="E127" s="7" t="s">
        <v>330</v>
      </c>
      <c r="F127" s="8">
        <v>43312.0</v>
      </c>
      <c r="G127" s="7" t="s">
        <v>195</v>
      </c>
      <c r="H127" s="7" t="s">
        <v>16</v>
      </c>
      <c r="I127" s="7" t="s">
        <v>331</v>
      </c>
      <c r="J127" s="7" t="s">
        <v>18</v>
      </c>
      <c r="K127" s="7" t="s">
        <v>19</v>
      </c>
      <c r="L127" s="7">
        <v>1.0</v>
      </c>
    </row>
    <row r="128">
      <c r="A128" s="5" t="s">
        <v>332</v>
      </c>
      <c r="B128" s="6">
        <v>6500.0</v>
      </c>
      <c r="C128" s="7" t="s">
        <v>13</v>
      </c>
      <c r="D128" s="7">
        <v>4.22839365E8</v>
      </c>
      <c r="E128" s="7" t="s">
        <v>50</v>
      </c>
      <c r="F128" s="8">
        <v>43269.0</v>
      </c>
      <c r="G128" s="7" t="s">
        <v>333</v>
      </c>
      <c r="H128" s="7" t="s">
        <v>16</v>
      </c>
      <c r="I128" s="7" t="s">
        <v>52</v>
      </c>
      <c r="J128" s="7" t="s">
        <v>18</v>
      </c>
      <c r="K128" s="7" t="s">
        <v>19</v>
      </c>
      <c r="L128" s="7">
        <v>1.0</v>
      </c>
    </row>
    <row r="129">
      <c r="A129" s="5" t="s">
        <v>334</v>
      </c>
      <c r="B129" s="6">
        <v>5800.0</v>
      </c>
      <c r="C129" s="7" t="s">
        <v>13</v>
      </c>
      <c r="D129" s="7">
        <v>4.38269631E8</v>
      </c>
      <c r="E129" s="7" t="s">
        <v>33</v>
      </c>
      <c r="F129" s="8">
        <v>43270.0</v>
      </c>
      <c r="G129" s="7" t="s">
        <v>172</v>
      </c>
      <c r="H129" s="7" t="s">
        <v>16</v>
      </c>
      <c r="I129" s="7" t="s">
        <v>335</v>
      </c>
      <c r="J129" s="7" t="s">
        <v>18</v>
      </c>
      <c r="K129" s="7" t="s">
        <v>19</v>
      </c>
      <c r="L129" s="7">
        <v>1.0</v>
      </c>
    </row>
    <row r="130">
      <c r="A130" s="5" t="s">
        <v>336</v>
      </c>
      <c r="B130" s="6">
        <v>5000.0</v>
      </c>
      <c r="C130" s="7" t="s">
        <v>13</v>
      </c>
      <c r="D130" s="7">
        <v>4.80293711E8</v>
      </c>
      <c r="E130" s="7" t="s">
        <v>337</v>
      </c>
      <c r="F130" s="8">
        <v>43252.0</v>
      </c>
      <c r="G130" s="7" t="s">
        <v>338</v>
      </c>
      <c r="H130" s="7" t="s">
        <v>16</v>
      </c>
      <c r="I130" s="7" t="s">
        <v>133</v>
      </c>
      <c r="J130" s="7" t="s">
        <v>18</v>
      </c>
      <c r="K130" s="7" t="s">
        <v>19</v>
      </c>
      <c r="L130" s="7">
        <v>1.0</v>
      </c>
    </row>
    <row r="131">
      <c r="A131" s="5" t="s">
        <v>149</v>
      </c>
      <c r="B131" s="6">
        <v>5000.0</v>
      </c>
      <c r="C131" s="7" t="s">
        <v>66</v>
      </c>
      <c r="D131" s="7">
        <v>3.5221687300211E13</v>
      </c>
      <c r="E131" s="7" t="s">
        <v>330</v>
      </c>
      <c r="F131" s="8">
        <v>43312.0</v>
      </c>
      <c r="G131" s="7" t="s">
        <v>195</v>
      </c>
      <c r="H131" s="7" t="s">
        <v>16</v>
      </c>
      <c r="I131" s="7" t="s">
        <v>331</v>
      </c>
      <c r="J131" s="7" t="s">
        <v>18</v>
      </c>
      <c r="K131" s="7" t="s">
        <v>19</v>
      </c>
      <c r="L131" s="7">
        <v>1.0</v>
      </c>
    </row>
    <row r="132">
      <c r="A132" s="5" t="s">
        <v>339</v>
      </c>
      <c r="B132" s="6">
        <v>5000.0</v>
      </c>
      <c r="C132" s="7" t="s">
        <v>13</v>
      </c>
      <c r="D132" s="7">
        <v>8.2138441900015E13</v>
      </c>
      <c r="E132" s="7" t="s">
        <v>276</v>
      </c>
      <c r="F132" s="8">
        <v>43298.0</v>
      </c>
      <c r="G132" s="7" t="s">
        <v>61</v>
      </c>
      <c r="H132" s="7" t="s">
        <v>16</v>
      </c>
      <c r="I132" s="7" t="s">
        <v>278</v>
      </c>
      <c r="J132" s="7" t="s">
        <v>18</v>
      </c>
      <c r="K132" s="7" t="s">
        <v>19</v>
      </c>
      <c r="L132" s="7">
        <v>1.0</v>
      </c>
    </row>
    <row r="133">
      <c r="A133" s="5" t="s">
        <v>340</v>
      </c>
      <c r="B133" s="6">
        <v>5000.0</v>
      </c>
      <c r="C133" s="7" t="s">
        <v>13</v>
      </c>
      <c r="D133" s="7">
        <v>8.10971283E8</v>
      </c>
      <c r="E133" s="7" t="s">
        <v>189</v>
      </c>
      <c r="F133" s="8">
        <v>43269.0</v>
      </c>
      <c r="G133" s="7" t="s">
        <v>172</v>
      </c>
      <c r="H133" s="7" t="s">
        <v>16</v>
      </c>
      <c r="I133" s="7" t="s">
        <v>52</v>
      </c>
      <c r="J133" s="7" t="s">
        <v>18</v>
      </c>
      <c r="K133" s="7" t="s">
        <v>19</v>
      </c>
      <c r="L133" s="7">
        <v>1.0</v>
      </c>
    </row>
    <row r="134">
      <c r="A134" s="5" t="s">
        <v>306</v>
      </c>
      <c r="B134" s="6">
        <v>5000.0</v>
      </c>
      <c r="C134" s="7" t="s">
        <v>13</v>
      </c>
      <c r="D134" s="7">
        <v>4.52274798E8</v>
      </c>
      <c r="E134" s="7" t="s">
        <v>189</v>
      </c>
      <c r="F134" s="8">
        <v>43250.0</v>
      </c>
      <c r="G134" s="7" t="s">
        <v>172</v>
      </c>
      <c r="H134" s="7" t="s">
        <v>16</v>
      </c>
      <c r="I134" s="7" t="s">
        <v>303</v>
      </c>
      <c r="J134" s="7" t="s">
        <v>18</v>
      </c>
      <c r="K134" s="7" t="s">
        <v>19</v>
      </c>
      <c r="L134" s="7">
        <v>1.0</v>
      </c>
    </row>
    <row r="135">
      <c r="A135" s="5" t="s">
        <v>341</v>
      </c>
      <c r="B135" s="6">
        <v>5000.0</v>
      </c>
      <c r="C135" s="7" t="s">
        <v>13</v>
      </c>
      <c r="D135" s="7">
        <v>4.34066577E8</v>
      </c>
      <c r="E135" s="7" t="s">
        <v>342</v>
      </c>
      <c r="F135" s="8">
        <v>43077.0</v>
      </c>
      <c r="G135" s="7" t="s">
        <v>15</v>
      </c>
      <c r="H135" s="7" t="s">
        <v>16</v>
      </c>
      <c r="I135" s="7" t="s">
        <v>343</v>
      </c>
      <c r="J135" s="7" t="s">
        <v>18</v>
      </c>
      <c r="K135" s="7" t="s">
        <v>19</v>
      </c>
      <c r="L135" s="7">
        <v>1.0</v>
      </c>
    </row>
    <row r="136">
      <c r="A136" s="5" t="s">
        <v>123</v>
      </c>
      <c r="B136" s="6">
        <v>5000.0</v>
      </c>
      <c r="C136" s="7" t="s">
        <v>13</v>
      </c>
      <c r="D136" s="7">
        <v>4.32883825E8</v>
      </c>
      <c r="E136" s="7" t="s">
        <v>344</v>
      </c>
      <c r="F136" s="8">
        <v>43251.0</v>
      </c>
      <c r="G136" s="7" t="s">
        <v>15</v>
      </c>
      <c r="H136" s="7" t="s">
        <v>16</v>
      </c>
      <c r="I136" s="7" t="s">
        <v>345</v>
      </c>
      <c r="J136" s="7" t="s">
        <v>18</v>
      </c>
      <c r="K136" s="7" t="s">
        <v>19</v>
      </c>
      <c r="L136" s="7">
        <v>1.0</v>
      </c>
    </row>
    <row r="137">
      <c r="A137" s="5" t="s">
        <v>126</v>
      </c>
      <c r="B137" s="6">
        <v>4000.0</v>
      </c>
      <c r="C137" s="7" t="s">
        <v>66</v>
      </c>
      <c r="D137" s="7">
        <v>4.8237148100029E13</v>
      </c>
      <c r="E137" s="7" t="s">
        <v>283</v>
      </c>
      <c r="F137" s="8">
        <v>43368.0</v>
      </c>
      <c r="G137" s="7" t="s">
        <v>195</v>
      </c>
      <c r="H137" s="7" t="s">
        <v>16</v>
      </c>
      <c r="I137" s="7" t="s">
        <v>346</v>
      </c>
      <c r="J137" s="7" t="s">
        <v>18</v>
      </c>
      <c r="K137" s="7" t="s">
        <v>19</v>
      </c>
      <c r="L137" s="7">
        <v>1.0</v>
      </c>
    </row>
    <row r="138">
      <c r="A138" s="5" t="s">
        <v>235</v>
      </c>
      <c r="B138" s="6">
        <v>4000.0</v>
      </c>
      <c r="C138" s="7" t="s">
        <v>66</v>
      </c>
      <c r="D138" s="7">
        <v>5.3454877100037E13</v>
      </c>
      <c r="E138" s="7" t="s">
        <v>330</v>
      </c>
      <c r="F138" s="8">
        <v>43311.0</v>
      </c>
      <c r="G138" s="7" t="s">
        <v>195</v>
      </c>
      <c r="H138" s="7" t="s">
        <v>16</v>
      </c>
      <c r="I138" s="7" t="s">
        <v>347</v>
      </c>
      <c r="J138" s="7" t="s">
        <v>18</v>
      </c>
      <c r="K138" s="7" t="s">
        <v>19</v>
      </c>
      <c r="L138" s="7">
        <v>1.0</v>
      </c>
    </row>
    <row r="139">
      <c r="A139" s="5" t="s">
        <v>348</v>
      </c>
      <c r="B139" s="6">
        <v>3500.0</v>
      </c>
      <c r="C139" s="7" t="s">
        <v>66</v>
      </c>
      <c r="D139" s="7">
        <v>4.1900910500018E13</v>
      </c>
      <c r="E139" s="7" t="s">
        <v>330</v>
      </c>
      <c r="F139" s="8">
        <v>43335.0</v>
      </c>
      <c r="G139" s="7" t="s">
        <v>195</v>
      </c>
      <c r="H139" s="7" t="s">
        <v>16</v>
      </c>
      <c r="I139" s="7" t="s">
        <v>196</v>
      </c>
      <c r="J139" s="7" t="s">
        <v>18</v>
      </c>
      <c r="K139" s="7" t="s">
        <v>19</v>
      </c>
      <c r="L139" s="7">
        <v>1.0</v>
      </c>
    </row>
    <row r="140">
      <c r="A140" s="5" t="s">
        <v>120</v>
      </c>
      <c r="B140" s="6">
        <v>3000.0</v>
      </c>
      <c r="C140" s="7" t="s">
        <v>13</v>
      </c>
      <c r="D140" s="7">
        <v>8.0127165100011E13</v>
      </c>
      <c r="E140" s="7" t="s">
        <v>251</v>
      </c>
      <c r="F140" s="8">
        <v>43301.0</v>
      </c>
      <c r="G140" s="7" t="s">
        <v>349</v>
      </c>
      <c r="H140" s="7" t="s">
        <v>16</v>
      </c>
      <c r="I140" s="7" t="s">
        <v>350</v>
      </c>
      <c r="J140" s="7" t="s">
        <v>18</v>
      </c>
      <c r="K140" s="7" t="s">
        <v>19</v>
      </c>
      <c r="L140" s="7">
        <v>1.0</v>
      </c>
    </row>
    <row r="141">
      <c r="A141" s="5" t="s">
        <v>351</v>
      </c>
      <c r="B141" s="6">
        <v>3000.0</v>
      </c>
      <c r="C141" s="7" t="s">
        <v>352</v>
      </c>
      <c r="D141" s="7">
        <v>4.1993219900013E13</v>
      </c>
      <c r="E141" s="7" t="s">
        <v>276</v>
      </c>
      <c r="F141" s="8">
        <v>43298.0</v>
      </c>
      <c r="G141" s="7" t="s">
        <v>353</v>
      </c>
      <c r="H141" s="7" t="s">
        <v>354</v>
      </c>
      <c r="I141" s="7" t="s">
        <v>278</v>
      </c>
      <c r="J141" s="7" t="s">
        <v>18</v>
      </c>
      <c r="K141" s="7" t="s">
        <v>19</v>
      </c>
      <c r="L141" s="7">
        <v>1.0</v>
      </c>
    </row>
    <row r="142">
      <c r="A142" s="5" t="s">
        <v>355</v>
      </c>
      <c r="B142" s="6">
        <v>2100.0</v>
      </c>
      <c r="C142" s="7" t="s">
        <v>13</v>
      </c>
      <c r="D142" s="7">
        <v>7.50447567E8</v>
      </c>
      <c r="E142" s="7" t="s">
        <v>33</v>
      </c>
      <c r="F142" s="8">
        <v>43279.0</v>
      </c>
      <c r="G142" s="7" t="s">
        <v>172</v>
      </c>
      <c r="H142" s="7" t="s">
        <v>16</v>
      </c>
      <c r="I142" s="7" t="s">
        <v>153</v>
      </c>
      <c r="J142" s="7" t="s">
        <v>18</v>
      </c>
      <c r="K142" s="7" t="s">
        <v>19</v>
      </c>
      <c r="L142" s="7">
        <v>1.0</v>
      </c>
    </row>
    <row r="143">
      <c r="A143" s="5" t="s">
        <v>356</v>
      </c>
      <c r="B143" s="6">
        <v>2000.0</v>
      </c>
      <c r="C143" s="7" t="s">
        <v>66</v>
      </c>
      <c r="D143" s="7">
        <v>8.1028483600014E13</v>
      </c>
      <c r="E143" s="7" t="s">
        <v>276</v>
      </c>
      <c r="F143" s="8">
        <v>43342.0</v>
      </c>
      <c r="G143" s="7" t="s">
        <v>357</v>
      </c>
      <c r="H143" s="7" t="s">
        <v>16</v>
      </c>
      <c r="I143" s="7" t="s">
        <v>289</v>
      </c>
      <c r="J143" s="7" t="s">
        <v>18</v>
      </c>
      <c r="K143" s="7" t="s">
        <v>19</v>
      </c>
      <c r="L143" s="7">
        <v>1.0</v>
      </c>
    </row>
    <row r="144">
      <c r="A144" s="5" t="s">
        <v>126</v>
      </c>
      <c r="B144" s="6">
        <v>1500.0</v>
      </c>
      <c r="C144" s="7" t="s">
        <v>66</v>
      </c>
      <c r="D144" s="7">
        <v>4.8237148100029E13</v>
      </c>
      <c r="E144" s="7" t="s">
        <v>276</v>
      </c>
      <c r="F144" s="8">
        <v>43368.0</v>
      </c>
      <c r="G144" s="7" t="s">
        <v>357</v>
      </c>
      <c r="H144" s="7" t="s">
        <v>16</v>
      </c>
      <c r="I144" s="7" t="s">
        <v>346</v>
      </c>
      <c r="J144" s="7" t="s">
        <v>18</v>
      </c>
      <c r="K144" s="7" t="s">
        <v>19</v>
      </c>
      <c r="L144" s="7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63"/>
    <col customWidth="1" min="4" max="4" width="18.13"/>
    <col customWidth="1" min="7" max="7" width="18.63"/>
    <col customWidth="1" min="9" max="11" width="22.75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358</v>
      </c>
      <c r="K1" s="3" t="s">
        <v>359</v>
      </c>
      <c r="L1" s="3" t="s">
        <v>360</v>
      </c>
      <c r="M1" s="3" t="s">
        <v>9</v>
      </c>
      <c r="N1" s="3" t="s">
        <v>10</v>
      </c>
      <c r="O1" s="3" t="s">
        <v>11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12</v>
      </c>
      <c r="B2" s="6">
        <v>4372007.0</v>
      </c>
      <c r="C2" s="7" t="s">
        <v>13</v>
      </c>
      <c r="D2" s="7">
        <v>7.81814488E8</v>
      </c>
      <c r="E2" s="7" t="s">
        <v>14</v>
      </c>
      <c r="F2" s="8">
        <v>43136.0</v>
      </c>
      <c r="G2" s="7" t="s">
        <v>15</v>
      </c>
      <c r="H2" s="7" t="s">
        <v>16</v>
      </c>
      <c r="I2" s="7" t="s">
        <v>17</v>
      </c>
      <c r="J2" s="8">
        <f>IFERROR(__xludf.DUMMYFUNCTION("SPLIT(I2,""_"")"),43136.0)</f>
        <v>43136</v>
      </c>
      <c r="K2" s="8">
        <f>IFERROR(__xludf.DUMMYFUNCTION("""COMPUTED_VALUE"""),43286.0)</f>
        <v>43286</v>
      </c>
      <c r="L2">
        <f t="shared" ref="L2:L144" si="1">DATEDIF(J2,K2,"D")</f>
        <v>150</v>
      </c>
      <c r="M2" s="7" t="s">
        <v>18</v>
      </c>
      <c r="N2" s="7" t="s">
        <v>19</v>
      </c>
      <c r="O2" s="7">
        <v>1.0</v>
      </c>
      <c r="Q2">
        <f t="shared" ref="Q2:Q144" si="2">roundup(DATEDIF(J2,K2,"D")/7,0)</f>
        <v>22</v>
      </c>
    </row>
    <row r="3">
      <c r="A3" s="5" t="s">
        <v>20</v>
      </c>
      <c r="B3" s="6">
        <v>3000000.0</v>
      </c>
      <c r="C3" s="7" t="s">
        <v>13</v>
      </c>
      <c r="D3" s="7">
        <v>7.8180455400017E13</v>
      </c>
      <c r="E3" s="7" t="s">
        <v>21</v>
      </c>
      <c r="F3" s="8">
        <v>43145.0</v>
      </c>
      <c r="G3" s="7" t="s">
        <v>15</v>
      </c>
      <c r="H3" s="7" t="s">
        <v>16</v>
      </c>
      <c r="I3" s="7" t="s">
        <v>22</v>
      </c>
      <c r="J3" s="8">
        <f>IFERROR(__xludf.DUMMYFUNCTION("SPLIT(I3,""_"")"),43145.0)</f>
        <v>43145</v>
      </c>
      <c r="K3" s="8">
        <f>IFERROR(__xludf.DUMMYFUNCTION("""COMPUTED_VALUE"""),43326.0)</f>
        <v>43326</v>
      </c>
      <c r="L3">
        <f t="shared" si="1"/>
        <v>181</v>
      </c>
      <c r="M3" s="7" t="s">
        <v>18</v>
      </c>
      <c r="N3" s="7" t="s">
        <v>19</v>
      </c>
      <c r="O3" s="7">
        <v>1.0</v>
      </c>
      <c r="Q3">
        <f t="shared" si="2"/>
        <v>26</v>
      </c>
    </row>
    <row r="4">
      <c r="A4" s="5" t="s">
        <v>23</v>
      </c>
      <c r="B4" s="6">
        <v>1680000.0</v>
      </c>
      <c r="C4" s="7" t="s">
        <v>13</v>
      </c>
      <c r="D4" s="7">
        <v>4.83013405E8</v>
      </c>
      <c r="E4" s="7" t="s">
        <v>24</v>
      </c>
      <c r="F4" s="8">
        <v>43091.0</v>
      </c>
      <c r="G4" s="7" t="s">
        <v>15</v>
      </c>
      <c r="H4" s="7" t="s">
        <v>16</v>
      </c>
      <c r="I4" s="7" t="s">
        <v>25</v>
      </c>
      <c r="J4" s="8">
        <f>IFERROR(__xludf.DUMMYFUNCTION("SPLIT(I4,""_"")"),43091.0)</f>
        <v>43091</v>
      </c>
      <c r="K4" s="8">
        <f>IFERROR(__xludf.DUMMYFUNCTION("""COMPUTED_VALUE"""),43273.0)</f>
        <v>43273</v>
      </c>
      <c r="L4">
        <f t="shared" si="1"/>
        <v>182</v>
      </c>
      <c r="M4" s="7" t="s">
        <v>18</v>
      </c>
      <c r="N4" s="7" t="s">
        <v>19</v>
      </c>
      <c r="O4" s="7">
        <v>1.0</v>
      </c>
      <c r="Q4">
        <f t="shared" si="2"/>
        <v>26</v>
      </c>
    </row>
    <row r="5">
      <c r="A5" s="5" t="s">
        <v>26</v>
      </c>
      <c r="B5" s="6">
        <v>420000.0</v>
      </c>
      <c r="C5" s="7" t="s">
        <v>13</v>
      </c>
      <c r="D5" s="7">
        <v>3.7781852100025E13</v>
      </c>
      <c r="E5" s="7" t="s">
        <v>27</v>
      </c>
      <c r="F5" s="8">
        <v>43306.0</v>
      </c>
      <c r="G5" s="7" t="s">
        <v>15</v>
      </c>
      <c r="H5" s="7" t="s">
        <v>16</v>
      </c>
      <c r="I5" s="7" t="s">
        <v>28</v>
      </c>
      <c r="J5" s="8">
        <f>IFERROR(__xludf.DUMMYFUNCTION("SPLIT(I5,""_"")"),43306.0)</f>
        <v>43306</v>
      </c>
      <c r="K5" s="8">
        <f>IFERROR(__xludf.DUMMYFUNCTION("""COMPUTED_VALUE"""),43490.0)</f>
        <v>43490</v>
      </c>
      <c r="L5">
        <f t="shared" si="1"/>
        <v>184</v>
      </c>
      <c r="M5" s="7" t="s">
        <v>18</v>
      </c>
      <c r="N5" s="7" t="s">
        <v>19</v>
      </c>
      <c r="O5" s="7">
        <v>1.0</v>
      </c>
      <c r="Q5">
        <f t="shared" si="2"/>
        <v>27</v>
      </c>
    </row>
    <row r="6">
      <c r="A6" s="5" t="s">
        <v>29</v>
      </c>
      <c r="B6" s="6">
        <v>407253.0</v>
      </c>
      <c r="C6" s="7" t="s">
        <v>13</v>
      </c>
      <c r="D6" s="7">
        <v>3.21237034E8</v>
      </c>
      <c r="E6" s="7" t="s">
        <v>30</v>
      </c>
      <c r="F6" s="8">
        <v>43259.0</v>
      </c>
      <c r="G6" s="7" t="s">
        <v>15</v>
      </c>
      <c r="H6" s="7" t="s">
        <v>16</v>
      </c>
      <c r="I6" s="7" t="s">
        <v>31</v>
      </c>
      <c r="J6" s="8">
        <f>IFERROR(__xludf.DUMMYFUNCTION("SPLIT(I6,""_"")"),43259.0)</f>
        <v>43259</v>
      </c>
      <c r="K6" s="8">
        <f>IFERROR(__xludf.DUMMYFUNCTION("""COMPUTED_VALUE"""),43442.0)</f>
        <v>43442</v>
      </c>
      <c r="L6">
        <f t="shared" si="1"/>
        <v>183</v>
      </c>
      <c r="M6" s="7" t="s">
        <v>18</v>
      </c>
      <c r="N6" s="7" t="s">
        <v>19</v>
      </c>
      <c r="O6" s="7">
        <v>1.0</v>
      </c>
      <c r="Q6">
        <f t="shared" si="2"/>
        <v>27</v>
      </c>
    </row>
    <row r="7">
      <c r="A7" s="5" t="s">
        <v>32</v>
      </c>
      <c r="B7" s="6">
        <v>332775.0</v>
      </c>
      <c r="C7" s="7" t="s">
        <v>13</v>
      </c>
      <c r="D7" s="7">
        <v>4.09199817E8</v>
      </c>
      <c r="E7" s="7" t="s">
        <v>33</v>
      </c>
      <c r="F7" s="8">
        <v>43271.0</v>
      </c>
      <c r="G7" s="7" t="s">
        <v>15</v>
      </c>
      <c r="H7" s="7" t="s">
        <v>16</v>
      </c>
      <c r="I7" s="7" t="s">
        <v>34</v>
      </c>
      <c r="J7" s="8">
        <f>IFERROR(__xludf.DUMMYFUNCTION("SPLIT(I7,""_"")"),43271.0)</f>
        <v>43271</v>
      </c>
      <c r="K7" s="8">
        <f>IFERROR(__xludf.DUMMYFUNCTION("""COMPUTED_VALUE"""),43454.0)</f>
        <v>43454</v>
      </c>
      <c r="L7">
        <f t="shared" si="1"/>
        <v>183</v>
      </c>
      <c r="M7" s="7" t="s">
        <v>18</v>
      </c>
      <c r="N7" s="7" t="s">
        <v>19</v>
      </c>
      <c r="O7" s="7">
        <v>1.0</v>
      </c>
      <c r="Q7">
        <f t="shared" si="2"/>
        <v>27</v>
      </c>
    </row>
    <row r="8">
      <c r="A8" s="5" t="s">
        <v>35</v>
      </c>
      <c r="B8" s="6">
        <v>320000.0</v>
      </c>
      <c r="C8" s="7" t="s">
        <v>13</v>
      </c>
      <c r="D8" s="7">
        <v>3.9988425300036E13</v>
      </c>
      <c r="E8" s="7" t="s">
        <v>36</v>
      </c>
      <c r="F8" s="8">
        <v>43353.0</v>
      </c>
      <c r="G8" s="7" t="s">
        <v>15</v>
      </c>
      <c r="H8" s="7" t="s">
        <v>16</v>
      </c>
      <c r="I8" s="7" t="s">
        <v>37</v>
      </c>
      <c r="J8" s="8">
        <f>IFERROR(__xludf.DUMMYFUNCTION("SPLIT(I8,""_"")"),43353.0)</f>
        <v>43353</v>
      </c>
      <c r="K8" s="8">
        <f>IFERROR(__xludf.DUMMYFUNCTION("""COMPUTED_VALUE"""),43534.0)</f>
        <v>43534</v>
      </c>
      <c r="L8">
        <f t="shared" si="1"/>
        <v>181</v>
      </c>
      <c r="M8" s="7" t="s">
        <v>18</v>
      </c>
      <c r="N8" s="7" t="s">
        <v>19</v>
      </c>
      <c r="O8" s="7">
        <v>1.0</v>
      </c>
      <c r="Q8">
        <f t="shared" si="2"/>
        <v>26</v>
      </c>
    </row>
    <row r="9">
      <c r="A9" s="5" t="s">
        <v>38</v>
      </c>
      <c r="B9" s="6">
        <v>230000.0</v>
      </c>
      <c r="C9" s="7" t="s">
        <v>13</v>
      </c>
      <c r="D9" s="7">
        <v>4.9058526200069E13</v>
      </c>
      <c r="E9" s="7" t="s">
        <v>39</v>
      </c>
      <c r="F9" s="8">
        <v>43182.0</v>
      </c>
      <c r="G9" s="7" t="s">
        <v>15</v>
      </c>
      <c r="H9" s="7" t="s">
        <v>16</v>
      </c>
      <c r="I9" s="7" t="s">
        <v>40</v>
      </c>
      <c r="J9" s="8">
        <f>IFERROR(__xludf.DUMMYFUNCTION("SPLIT(I9,""_"")"),43182.0)</f>
        <v>43182</v>
      </c>
      <c r="K9" s="8">
        <f>IFERROR(__xludf.DUMMYFUNCTION("""COMPUTED_VALUE"""),43366.0)</f>
        <v>43366</v>
      </c>
      <c r="L9">
        <f t="shared" si="1"/>
        <v>184</v>
      </c>
      <c r="M9" s="7" t="s">
        <v>18</v>
      </c>
      <c r="N9" s="7" t="s">
        <v>19</v>
      </c>
      <c r="O9" s="7">
        <v>1.0</v>
      </c>
      <c r="Q9">
        <f t="shared" si="2"/>
        <v>27</v>
      </c>
    </row>
    <row r="10">
      <c r="A10" s="5" t="s">
        <v>41</v>
      </c>
      <c r="B10" s="6">
        <v>200000.0</v>
      </c>
      <c r="C10" s="7" t="s">
        <v>13</v>
      </c>
      <c r="D10" s="7">
        <v>4.8875025800011E13</v>
      </c>
      <c r="E10" s="7" t="s">
        <v>42</v>
      </c>
      <c r="F10" s="8">
        <v>43285.0</v>
      </c>
      <c r="G10" s="7" t="s">
        <v>43</v>
      </c>
      <c r="H10" s="7" t="s">
        <v>16</v>
      </c>
      <c r="I10" s="7" t="s">
        <v>44</v>
      </c>
      <c r="J10" s="8">
        <f>IFERROR(__xludf.DUMMYFUNCTION("SPLIT(I10,""_"")"),43285.0)</f>
        <v>43285</v>
      </c>
      <c r="K10" s="8">
        <f>IFERROR(__xludf.DUMMYFUNCTION("""COMPUTED_VALUE"""),43469.0)</f>
        <v>43469</v>
      </c>
      <c r="L10">
        <f t="shared" si="1"/>
        <v>184</v>
      </c>
      <c r="M10" s="7" t="s">
        <v>18</v>
      </c>
      <c r="N10" s="7" t="s">
        <v>19</v>
      </c>
      <c r="O10" s="7">
        <v>1.0</v>
      </c>
      <c r="Q10">
        <f t="shared" si="2"/>
        <v>27</v>
      </c>
    </row>
    <row r="11">
      <c r="A11" s="5" t="s">
        <v>45</v>
      </c>
      <c r="B11" s="6">
        <v>180000.0</v>
      </c>
      <c r="C11" s="7" t="s">
        <v>13</v>
      </c>
      <c r="D11" s="7">
        <v>7.8184375000048E13</v>
      </c>
      <c r="E11" s="7" t="s">
        <v>46</v>
      </c>
      <c r="F11" s="8">
        <v>43182.0</v>
      </c>
      <c r="G11" s="7" t="s">
        <v>15</v>
      </c>
      <c r="H11" s="7" t="s">
        <v>16</v>
      </c>
      <c r="I11" s="7" t="s">
        <v>40</v>
      </c>
      <c r="J11" s="8">
        <f>IFERROR(__xludf.DUMMYFUNCTION("SPLIT(I11,""_"")"),43182.0)</f>
        <v>43182</v>
      </c>
      <c r="K11" s="8">
        <f>IFERROR(__xludf.DUMMYFUNCTION("""COMPUTED_VALUE"""),43366.0)</f>
        <v>43366</v>
      </c>
      <c r="L11">
        <f t="shared" si="1"/>
        <v>184</v>
      </c>
      <c r="M11" s="7" t="s">
        <v>18</v>
      </c>
      <c r="N11" s="7" t="s">
        <v>19</v>
      </c>
      <c r="O11" s="7">
        <v>1.0</v>
      </c>
      <c r="Q11">
        <f t="shared" si="2"/>
        <v>27</v>
      </c>
    </row>
    <row r="12">
      <c r="A12" s="5" t="s">
        <v>47</v>
      </c>
      <c r="B12" s="6">
        <v>180000.0</v>
      </c>
      <c r="C12" s="7" t="s">
        <v>13</v>
      </c>
      <c r="D12" s="7">
        <v>8.18313264E8</v>
      </c>
      <c r="E12" s="7" t="s">
        <v>48</v>
      </c>
      <c r="F12" s="8">
        <v>43271.0</v>
      </c>
      <c r="G12" s="7" t="s">
        <v>15</v>
      </c>
      <c r="H12" s="7" t="s">
        <v>16</v>
      </c>
      <c r="I12" s="7" t="s">
        <v>34</v>
      </c>
      <c r="J12" s="8">
        <f>IFERROR(__xludf.DUMMYFUNCTION("SPLIT(I12,""_"")"),43271.0)</f>
        <v>43271</v>
      </c>
      <c r="K12" s="8">
        <f>IFERROR(__xludf.DUMMYFUNCTION("""COMPUTED_VALUE"""),43454.0)</f>
        <v>43454</v>
      </c>
      <c r="L12">
        <f t="shared" si="1"/>
        <v>183</v>
      </c>
      <c r="M12" s="7" t="s">
        <v>18</v>
      </c>
      <c r="N12" s="7" t="s">
        <v>19</v>
      </c>
      <c r="O12" s="7">
        <v>1.0</v>
      </c>
      <c r="Q12">
        <f t="shared" si="2"/>
        <v>27</v>
      </c>
    </row>
    <row r="13">
      <c r="A13" s="5" t="s">
        <v>49</v>
      </c>
      <c r="B13" s="6">
        <v>160000.0</v>
      </c>
      <c r="C13" s="7" t="s">
        <v>13</v>
      </c>
      <c r="D13" s="7">
        <v>4.20089567E8</v>
      </c>
      <c r="E13" s="7" t="s">
        <v>50</v>
      </c>
      <c r="F13" s="8">
        <v>43269.0</v>
      </c>
      <c r="G13" s="7" t="s">
        <v>51</v>
      </c>
      <c r="H13" s="7" t="s">
        <v>16</v>
      </c>
      <c r="I13" s="7" t="s">
        <v>52</v>
      </c>
      <c r="J13" s="8">
        <f>IFERROR(__xludf.DUMMYFUNCTION("SPLIT(I13,""_"")"),43269.0)</f>
        <v>43269</v>
      </c>
      <c r="K13" s="8">
        <f>IFERROR(__xludf.DUMMYFUNCTION("""COMPUTED_VALUE"""),43452.0)</f>
        <v>43452</v>
      </c>
      <c r="L13">
        <f t="shared" si="1"/>
        <v>183</v>
      </c>
      <c r="M13" s="7" t="s">
        <v>18</v>
      </c>
      <c r="N13" s="7" t="s">
        <v>19</v>
      </c>
      <c r="O13" s="7">
        <v>1.0</v>
      </c>
      <c r="Q13">
        <f t="shared" si="2"/>
        <v>27</v>
      </c>
    </row>
    <row r="14">
      <c r="A14" s="5" t="s">
        <v>53</v>
      </c>
      <c r="B14" s="6">
        <v>150000.0</v>
      </c>
      <c r="C14" s="7" t="s">
        <v>13</v>
      </c>
      <c r="D14" s="7">
        <v>5.09079794E8</v>
      </c>
      <c r="E14" s="7" t="s">
        <v>54</v>
      </c>
      <c r="F14" s="8">
        <v>43185.0</v>
      </c>
      <c r="G14" s="7" t="s">
        <v>55</v>
      </c>
      <c r="H14" s="7" t="s">
        <v>16</v>
      </c>
      <c r="I14" s="7" t="s">
        <v>56</v>
      </c>
      <c r="J14" s="8">
        <f>IFERROR(__xludf.DUMMYFUNCTION("SPLIT(I14,""_"")"),43185.0)</f>
        <v>43185</v>
      </c>
      <c r="K14" s="8">
        <f>IFERROR(__xludf.DUMMYFUNCTION("""COMPUTED_VALUE"""),43369.0)</f>
        <v>43369</v>
      </c>
      <c r="L14">
        <f t="shared" si="1"/>
        <v>184</v>
      </c>
      <c r="M14" s="7" t="s">
        <v>18</v>
      </c>
      <c r="N14" s="7" t="s">
        <v>19</v>
      </c>
      <c r="O14" s="7">
        <v>1.0</v>
      </c>
      <c r="Q14">
        <f t="shared" si="2"/>
        <v>27</v>
      </c>
    </row>
    <row r="15">
      <c r="A15" s="5" t="s">
        <v>57</v>
      </c>
      <c r="B15" s="6">
        <v>150000.0</v>
      </c>
      <c r="C15" s="7" t="s">
        <v>13</v>
      </c>
      <c r="D15" s="7">
        <v>3.44264759E8</v>
      </c>
      <c r="E15" s="7" t="s">
        <v>50</v>
      </c>
      <c r="F15" s="8">
        <v>43259.0</v>
      </c>
      <c r="G15" s="7" t="s">
        <v>58</v>
      </c>
      <c r="H15" s="7" t="s">
        <v>16</v>
      </c>
      <c r="I15" s="7" t="s">
        <v>31</v>
      </c>
      <c r="J15" s="8">
        <f>IFERROR(__xludf.DUMMYFUNCTION("SPLIT(I15,""_"")"),43259.0)</f>
        <v>43259</v>
      </c>
      <c r="K15" s="8">
        <f>IFERROR(__xludf.DUMMYFUNCTION("""COMPUTED_VALUE"""),43442.0)</f>
        <v>43442</v>
      </c>
      <c r="L15">
        <f t="shared" si="1"/>
        <v>183</v>
      </c>
      <c r="M15" s="7" t="s">
        <v>18</v>
      </c>
      <c r="N15" s="7" t="s">
        <v>19</v>
      </c>
      <c r="O15" s="7">
        <v>1.0</v>
      </c>
      <c r="Q15">
        <f t="shared" si="2"/>
        <v>27</v>
      </c>
    </row>
    <row r="16">
      <c r="A16" s="5" t="s">
        <v>59</v>
      </c>
      <c r="B16" s="6">
        <v>139000.0</v>
      </c>
      <c r="C16" s="7" t="s">
        <v>13</v>
      </c>
      <c r="D16" s="7">
        <v>3.7796404400038E13</v>
      </c>
      <c r="E16" s="7" t="s">
        <v>60</v>
      </c>
      <c r="F16" s="8">
        <v>43306.0</v>
      </c>
      <c r="G16" s="7" t="s">
        <v>61</v>
      </c>
      <c r="H16" s="7" t="s">
        <v>16</v>
      </c>
      <c r="I16" s="7" t="s">
        <v>28</v>
      </c>
      <c r="J16" s="8">
        <f>IFERROR(__xludf.DUMMYFUNCTION("SPLIT(I16,""_"")"),43306.0)</f>
        <v>43306</v>
      </c>
      <c r="K16" s="8">
        <f>IFERROR(__xludf.DUMMYFUNCTION("""COMPUTED_VALUE"""),43490.0)</f>
        <v>43490</v>
      </c>
      <c r="L16">
        <f t="shared" si="1"/>
        <v>184</v>
      </c>
      <c r="M16" s="7" t="s">
        <v>18</v>
      </c>
      <c r="N16" s="7" t="s">
        <v>19</v>
      </c>
      <c r="O16" s="7">
        <v>1.0</v>
      </c>
      <c r="Q16">
        <f t="shared" si="2"/>
        <v>27</v>
      </c>
    </row>
    <row r="17">
      <c r="A17" s="5" t="s">
        <v>62</v>
      </c>
      <c r="B17" s="6">
        <v>137000.0</v>
      </c>
      <c r="C17" s="7" t="s">
        <v>13</v>
      </c>
      <c r="D17" s="7">
        <v>4.95009441E8</v>
      </c>
      <c r="E17" s="7" t="s">
        <v>63</v>
      </c>
      <c r="F17" s="8">
        <v>43235.0</v>
      </c>
      <c r="G17" s="7" t="s">
        <v>15</v>
      </c>
      <c r="H17" s="7" t="s">
        <v>16</v>
      </c>
      <c r="I17" s="7" t="s">
        <v>64</v>
      </c>
      <c r="J17" s="8">
        <f>IFERROR(__xludf.DUMMYFUNCTION("SPLIT(I17,""_"")"),43235.0)</f>
        <v>43235</v>
      </c>
      <c r="K17" s="8">
        <f>IFERROR(__xludf.DUMMYFUNCTION("""COMPUTED_VALUE"""),43419.0)</f>
        <v>43419</v>
      </c>
      <c r="L17">
        <f t="shared" si="1"/>
        <v>184</v>
      </c>
      <c r="M17" s="7" t="s">
        <v>18</v>
      </c>
      <c r="N17" s="7" t="s">
        <v>19</v>
      </c>
      <c r="O17" s="7">
        <v>1.0</v>
      </c>
      <c r="Q17">
        <f t="shared" si="2"/>
        <v>27</v>
      </c>
    </row>
    <row r="18">
      <c r="A18" s="5" t="s">
        <v>65</v>
      </c>
      <c r="B18" s="6">
        <v>133663.21</v>
      </c>
      <c r="C18" s="7" t="s">
        <v>66</v>
      </c>
      <c r="D18" s="7">
        <v>7.8184992200021E13</v>
      </c>
      <c r="E18" s="7" t="s">
        <v>67</v>
      </c>
      <c r="F18" s="8">
        <v>43361.0</v>
      </c>
      <c r="G18" s="7" t="s">
        <v>68</v>
      </c>
      <c r="H18" s="7" t="s">
        <v>16</v>
      </c>
      <c r="I18" s="7" t="s">
        <v>69</v>
      </c>
      <c r="J18" s="8">
        <f>IFERROR(__xludf.DUMMYFUNCTION("SPLIT(I18,""_"")"),43361.0)</f>
        <v>43361</v>
      </c>
      <c r="K18" s="8">
        <f>IFERROR(__xludf.DUMMYFUNCTION("""COMPUTED_VALUE"""),43542.0)</f>
        <v>43542</v>
      </c>
      <c r="L18">
        <f t="shared" si="1"/>
        <v>181</v>
      </c>
      <c r="M18" s="7" t="s">
        <v>18</v>
      </c>
      <c r="N18" s="7" t="s">
        <v>19</v>
      </c>
      <c r="O18" s="7">
        <v>1.0</v>
      </c>
      <c r="Q18">
        <f t="shared" si="2"/>
        <v>26</v>
      </c>
    </row>
    <row r="19">
      <c r="A19" s="5" t="s">
        <v>35</v>
      </c>
      <c r="B19" s="6">
        <v>120000.0</v>
      </c>
      <c r="C19" s="7" t="s">
        <v>13</v>
      </c>
      <c r="D19" s="7">
        <v>3.9988425300036E13</v>
      </c>
      <c r="E19" s="7" t="s">
        <v>36</v>
      </c>
      <c r="F19" s="8">
        <v>43353.0</v>
      </c>
      <c r="G19" s="7" t="s">
        <v>70</v>
      </c>
      <c r="H19" s="7" t="s">
        <v>16</v>
      </c>
      <c r="I19" s="7" t="s">
        <v>37</v>
      </c>
      <c r="J19" s="8">
        <f>IFERROR(__xludf.DUMMYFUNCTION("SPLIT(I19,""_"")"),43353.0)</f>
        <v>43353</v>
      </c>
      <c r="K19" s="8">
        <f>IFERROR(__xludf.DUMMYFUNCTION("""COMPUTED_VALUE"""),43534.0)</f>
        <v>43534</v>
      </c>
      <c r="L19">
        <f t="shared" si="1"/>
        <v>181</v>
      </c>
      <c r="M19" s="7" t="s">
        <v>18</v>
      </c>
      <c r="N19" s="7" t="s">
        <v>19</v>
      </c>
      <c r="O19" s="7">
        <v>1.0</v>
      </c>
      <c r="Q19">
        <f t="shared" si="2"/>
        <v>26</v>
      </c>
    </row>
    <row r="20">
      <c r="A20" s="5" t="s">
        <v>71</v>
      </c>
      <c r="B20" s="6">
        <v>114000.0</v>
      </c>
      <c r="C20" s="7" t="s">
        <v>13</v>
      </c>
      <c r="D20" s="7">
        <v>4.44337588E8</v>
      </c>
      <c r="E20" s="7" t="s">
        <v>72</v>
      </c>
      <c r="F20" s="8">
        <v>43112.0</v>
      </c>
      <c r="G20" s="7" t="s">
        <v>73</v>
      </c>
      <c r="H20" s="7" t="s">
        <v>16</v>
      </c>
      <c r="I20" s="7" t="s">
        <v>74</v>
      </c>
      <c r="J20" s="8">
        <f>IFERROR(__xludf.DUMMYFUNCTION("SPLIT(I20,""_"")"),43112.0)</f>
        <v>43112</v>
      </c>
      <c r="K20" s="8">
        <f>IFERROR(__xludf.DUMMYFUNCTION("""COMPUTED_VALUE"""),43293.0)</f>
        <v>43293</v>
      </c>
      <c r="L20">
        <f t="shared" si="1"/>
        <v>181</v>
      </c>
      <c r="M20" s="7" t="s">
        <v>18</v>
      </c>
      <c r="N20" s="7" t="s">
        <v>19</v>
      </c>
      <c r="O20" s="7">
        <v>1.0</v>
      </c>
      <c r="Q20">
        <f t="shared" si="2"/>
        <v>26</v>
      </c>
    </row>
    <row r="21">
      <c r="A21" s="5" t="s">
        <v>71</v>
      </c>
      <c r="B21" s="6">
        <v>114000.0</v>
      </c>
      <c r="C21" s="7" t="s">
        <v>13</v>
      </c>
      <c r="D21" s="7">
        <v>4.44337588E8</v>
      </c>
      <c r="E21" s="7" t="s">
        <v>75</v>
      </c>
      <c r="F21" s="8">
        <v>43172.0</v>
      </c>
      <c r="G21" s="7" t="s">
        <v>15</v>
      </c>
      <c r="H21" s="7" t="s">
        <v>16</v>
      </c>
      <c r="I21" s="7" t="s">
        <v>76</v>
      </c>
      <c r="J21" s="8">
        <f>IFERROR(__xludf.DUMMYFUNCTION("SPLIT(I21,""_"")"),43172.0)</f>
        <v>43172</v>
      </c>
      <c r="K21" s="8">
        <f>IFERROR(__xludf.DUMMYFUNCTION("""COMPUTED_VALUE"""),43386.0)</f>
        <v>43386</v>
      </c>
      <c r="L21">
        <f t="shared" si="1"/>
        <v>214</v>
      </c>
      <c r="M21" s="7" t="s">
        <v>18</v>
      </c>
      <c r="N21" s="7" t="s">
        <v>19</v>
      </c>
      <c r="O21" s="7">
        <v>1.0</v>
      </c>
      <c r="Q21">
        <f t="shared" si="2"/>
        <v>31</v>
      </c>
    </row>
    <row r="22">
      <c r="A22" s="5" t="s">
        <v>77</v>
      </c>
      <c r="B22" s="6">
        <v>97740.0</v>
      </c>
      <c r="C22" s="7" t="s">
        <v>13</v>
      </c>
      <c r="D22" s="7">
        <v>3.05378234E8</v>
      </c>
      <c r="E22" s="7" t="s">
        <v>78</v>
      </c>
      <c r="F22" s="8">
        <v>43069.0</v>
      </c>
      <c r="G22" s="7" t="s">
        <v>15</v>
      </c>
      <c r="H22" s="7" t="s">
        <v>16</v>
      </c>
      <c r="I22" s="7" t="s">
        <v>79</v>
      </c>
      <c r="J22" s="8">
        <f>IFERROR(__xludf.DUMMYFUNCTION("SPLIT(I22,""_"")"),43069.0)</f>
        <v>43069</v>
      </c>
      <c r="K22" s="8">
        <f>IFERROR(__xludf.DUMMYFUNCTION("""COMPUTED_VALUE"""),43250.0)</f>
        <v>43250</v>
      </c>
      <c r="L22">
        <f t="shared" si="1"/>
        <v>181</v>
      </c>
      <c r="M22" s="7" t="s">
        <v>18</v>
      </c>
      <c r="N22" s="7" t="s">
        <v>19</v>
      </c>
      <c r="O22" s="7">
        <v>1.0</v>
      </c>
      <c r="Q22">
        <f t="shared" si="2"/>
        <v>26</v>
      </c>
    </row>
    <row r="23">
      <c r="A23" s="5" t="s">
        <v>80</v>
      </c>
      <c r="B23" s="6">
        <v>96187.5</v>
      </c>
      <c r="C23" s="7" t="s">
        <v>13</v>
      </c>
      <c r="D23" s="7">
        <v>3.42215456E8</v>
      </c>
      <c r="E23" s="7" t="s">
        <v>81</v>
      </c>
      <c r="F23" s="8">
        <v>43126.0</v>
      </c>
      <c r="G23" s="7" t="s">
        <v>15</v>
      </c>
      <c r="H23" s="7" t="s">
        <v>16</v>
      </c>
      <c r="I23" s="7" t="s">
        <v>82</v>
      </c>
      <c r="J23" s="8">
        <f>IFERROR(__xludf.DUMMYFUNCTION("SPLIT(I23,""_"")"),43126.0)</f>
        <v>43126</v>
      </c>
      <c r="K23" s="8">
        <f>IFERROR(__xludf.DUMMYFUNCTION("""COMPUTED_VALUE"""),43307.0)</f>
        <v>43307</v>
      </c>
      <c r="L23">
        <f t="shared" si="1"/>
        <v>181</v>
      </c>
      <c r="M23" s="7" t="s">
        <v>18</v>
      </c>
      <c r="N23" s="7" t="s">
        <v>19</v>
      </c>
      <c r="O23" s="7">
        <v>1.0</v>
      </c>
      <c r="Q23">
        <f t="shared" si="2"/>
        <v>26</v>
      </c>
    </row>
    <row r="24">
      <c r="A24" s="5" t="s">
        <v>83</v>
      </c>
      <c r="B24" s="6">
        <v>95932.0</v>
      </c>
      <c r="C24" s="7" t="s">
        <v>13</v>
      </c>
      <c r="D24" s="7">
        <v>4.88566613E8</v>
      </c>
      <c r="E24" s="7" t="s">
        <v>84</v>
      </c>
      <c r="F24" s="8">
        <v>43091.0</v>
      </c>
      <c r="G24" s="7" t="s">
        <v>85</v>
      </c>
      <c r="H24" s="7" t="s">
        <v>16</v>
      </c>
      <c r="I24" s="7" t="s">
        <v>25</v>
      </c>
      <c r="J24" s="8">
        <f>IFERROR(__xludf.DUMMYFUNCTION("SPLIT(I24,""_"")"),43091.0)</f>
        <v>43091</v>
      </c>
      <c r="K24" s="8">
        <f>IFERROR(__xludf.DUMMYFUNCTION("""COMPUTED_VALUE"""),43273.0)</f>
        <v>43273</v>
      </c>
      <c r="L24">
        <f t="shared" si="1"/>
        <v>182</v>
      </c>
      <c r="M24" s="7" t="s">
        <v>18</v>
      </c>
      <c r="N24" s="7" t="s">
        <v>19</v>
      </c>
      <c r="O24" s="7">
        <v>1.0</v>
      </c>
      <c r="Q24">
        <f t="shared" si="2"/>
        <v>26</v>
      </c>
    </row>
    <row r="25">
      <c r="A25" s="5" t="s">
        <v>86</v>
      </c>
      <c r="B25" s="6">
        <v>90000.0</v>
      </c>
      <c r="C25" s="7" t="s">
        <v>13</v>
      </c>
      <c r="D25" s="7">
        <v>4.8428452600072E13</v>
      </c>
      <c r="E25" s="7" t="s">
        <v>87</v>
      </c>
      <c r="F25" s="8">
        <v>43417.0</v>
      </c>
      <c r="G25" s="7" t="s">
        <v>15</v>
      </c>
      <c r="H25" s="7" t="s">
        <v>16</v>
      </c>
      <c r="I25" s="7" t="s">
        <v>88</v>
      </c>
      <c r="J25" s="8">
        <f>IFERROR(__xludf.DUMMYFUNCTION("SPLIT(I25,""_"")"),43417.0)</f>
        <v>43417</v>
      </c>
      <c r="K25" s="8">
        <f>IFERROR(__xludf.DUMMYFUNCTION("""COMPUTED_VALUE"""),43598.0)</f>
        <v>43598</v>
      </c>
      <c r="L25">
        <f t="shared" si="1"/>
        <v>181</v>
      </c>
      <c r="M25" s="7" t="s">
        <v>18</v>
      </c>
      <c r="N25" s="7" t="s">
        <v>19</v>
      </c>
      <c r="O25" s="7">
        <v>1.0</v>
      </c>
      <c r="Q25">
        <f t="shared" si="2"/>
        <v>26</v>
      </c>
    </row>
    <row r="26">
      <c r="A26" s="5" t="s">
        <v>89</v>
      </c>
      <c r="B26" s="6">
        <v>87400.0</v>
      </c>
      <c r="C26" s="7" t="s">
        <v>13</v>
      </c>
      <c r="D26" s="7">
        <v>3.0091783800025E13</v>
      </c>
      <c r="E26" s="7" t="s">
        <v>90</v>
      </c>
      <c r="F26" s="8">
        <v>43385.0</v>
      </c>
      <c r="G26" s="7" t="s">
        <v>15</v>
      </c>
      <c r="H26" s="7" t="s">
        <v>16</v>
      </c>
      <c r="I26" s="7" t="s">
        <v>91</v>
      </c>
      <c r="J26" s="8">
        <f>IFERROR(__xludf.DUMMYFUNCTION("SPLIT(I26,""_"")"),43385.0)</f>
        <v>43385</v>
      </c>
      <c r="K26" s="8">
        <f>IFERROR(__xludf.DUMMYFUNCTION("""COMPUTED_VALUE"""),43567.0)</f>
        <v>43567</v>
      </c>
      <c r="L26">
        <f t="shared" si="1"/>
        <v>182</v>
      </c>
      <c r="M26" s="7" t="s">
        <v>18</v>
      </c>
      <c r="N26" s="7" t="s">
        <v>19</v>
      </c>
      <c r="O26" s="7">
        <v>1.0</v>
      </c>
      <c r="Q26">
        <f t="shared" si="2"/>
        <v>26</v>
      </c>
    </row>
    <row r="27">
      <c r="A27" s="5" t="s">
        <v>92</v>
      </c>
      <c r="B27" s="6">
        <v>77000.0</v>
      </c>
      <c r="C27" s="7" t="s">
        <v>13</v>
      </c>
      <c r="D27" s="7">
        <v>4.18921409E8</v>
      </c>
      <c r="E27" s="7" t="s">
        <v>93</v>
      </c>
      <c r="F27" s="8">
        <v>43143.0</v>
      </c>
      <c r="G27" s="7" t="s">
        <v>15</v>
      </c>
      <c r="H27" s="7" t="s">
        <v>16</v>
      </c>
      <c r="I27" s="7" t="s">
        <v>94</v>
      </c>
      <c r="J27" s="8">
        <f>IFERROR(__xludf.DUMMYFUNCTION("SPLIT(I27,""_"")"),43143.0)</f>
        <v>43143</v>
      </c>
      <c r="K27" s="8">
        <f>IFERROR(__xludf.DUMMYFUNCTION("""COMPUTED_VALUE"""),43314.0)</f>
        <v>43314</v>
      </c>
      <c r="L27">
        <f t="shared" si="1"/>
        <v>171</v>
      </c>
      <c r="M27" s="7" t="s">
        <v>18</v>
      </c>
      <c r="N27" s="7" t="s">
        <v>19</v>
      </c>
      <c r="O27" s="7">
        <v>1.0</v>
      </c>
      <c r="Q27">
        <f t="shared" si="2"/>
        <v>25</v>
      </c>
    </row>
    <row r="28">
      <c r="A28" s="5" t="s">
        <v>95</v>
      </c>
      <c r="B28" s="6">
        <v>72200.0</v>
      </c>
      <c r="C28" s="7" t="s">
        <v>13</v>
      </c>
      <c r="D28" s="7">
        <v>8.2791162900018E13</v>
      </c>
      <c r="E28" s="7" t="s">
        <v>96</v>
      </c>
      <c r="F28" s="8">
        <v>43347.0</v>
      </c>
      <c r="G28" s="7" t="s">
        <v>15</v>
      </c>
      <c r="H28" s="7" t="s">
        <v>16</v>
      </c>
      <c r="I28" s="7" t="s">
        <v>97</v>
      </c>
      <c r="J28" s="8">
        <f>IFERROR(__xludf.DUMMYFUNCTION("SPLIT(I28,""_"")"),43347.0)</f>
        <v>43347</v>
      </c>
      <c r="K28" s="8">
        <f>IFERROR(__xludf.DUMMYFUNCTION("""COMPUTED_VALUE"""),43528.0)</f>
        <v>43528</v>
      </c>
      <c r="L28">
        <f t="shared" si="1"/>
        <v>181</v>
      </c>
      <c r="M28" s="7" t="s">
        <v>18</v>
      </c>
      <c r="N28" s="7" t="s">
        <v>19</v>
      </c>
      <c r="O28" s="7">
        <v>1.0</v>
      </c>
      <c r="Q28">
        <f t="shared" si="2"/>
        <v>26</v>
      </c>
    </row>
    <row r="29">
      <c r="A29" s="5" t="s">
        <v>98</v>
      </c>
      <c r="B29" s="6">
        <v>65000.0</v>
      </c>
      <c r="C29" s="7" t="s">
        <v>13</v>
      </c>
      <c r="D29" s="7">
        <v>7.81843594E8</v>
      </c>
      <c r="E29" s="7" t="s">
        <v>99</v>
      </c>
      <c r="F29" s="8">
        <v>43182.0</v>
      </c>
      <c r="G29" s="7" t="s">
        <v>100</v>
      </c>
      <c r="H29" s="7" t="s">
        <v>16</v>
      </c>
      <c r="I29" s="7" t="s">
        <v>40</v>
      </c>
      <c r="J29" s="8">
        <f>IFERROR(__xludf.DUMMYFUNCTION("SPLIT(I29,""_"")"),43182.0)</f>
        <v>43182</v>
      </c>
      <c r="K29" s="8">
        <f>IFERROR(__xludf.DUMMYFUNCTION("""COMPUTED_VALUE"""),43366.0)</f>
        <v>43366</v>
      </c>
      <c r="L29">
        <f t="shared" si="1"/>
        <v>184</v>
      </c>
      <c r="M29" s="7" t="s">
        <v>18</v>
      </c>
      <c r="N29" s="7" t="s">
        <v>19</v>
      </c>
      <c r="O29" s="7">
        <v>1.0</v>
      </c>
      <c r="Q29">
        <f t="shared" si="2"/>
        <v>27</v>
      </c>
    </row>
    <row r="30">
      <c r="A30" s="5" t="s">
        <v>101</v>
      </c>
      <c r="B30" s="6">
        <v>60000.0</v>
      </c>
      <c r="C30" s="7" t="s">
        <v>13</v>
      </c>
      <c r="D30" s="7">
        <v>3.0016423300037E13</v>
      </c>
      <c r="E30" s="7" t="s">
        <v>102</v>
      </c>
      <c r="F30" s="8">
        <v>43182.0</v>
      </c>
      <c r="G30" s="7" t="s">
        <v>15</v>
      </c>
      <c r="H30" s="7" t="s">
        <v>16</v>
      </c>
      <c r="I30" s="7" t="s">
        <v>40</v>
      </c>
      <c r="J30" s="8">
        <f>IFERROR(__xludf.DUMMYFUNCTION("SPLIT(I30,""_"")"),43182.0)</f>
        <v>43182</v>
      </c>
      <c r="K30" s="8">
        <f>IFERROR(__xludf.DUMMYFUNCTION("""COMPUTED_VALUE"""),43366.0)</f>
        <v>43366</v>
      </c>
      <c r="L30">
        <f t="shared" si="1"/>
        <v>184</v>
      </c>
      <c r="M30" s="7" t="s">
        <v>18</v>
      </c>
      <c r="N30" s="7" t="s">
        <v>19</v>
      </c>
      <c r="O30" s="7">
        <v>1.0</v>
      </c>
      <c r="Q30">
        <f t="shared" si="2"/>
        <v>27</v>
      </c>
    </row>
    <row r="31">
      <c r="A31" s="5" t="s">
        <v>103</v>
      </c>
      <c r="B31" s="6">
        <v>60000.0</v>
      </c>
      <c r="C31" s="7" t="s">
        <v>13</v>
      </c>
      <c r="D31" s="7">
        <v>8.32333181E8</v>
      </c>
      <c r="E31" s="7" t="s">
        <v>104</v>
      </c>
      <c r="F31" s="8">
        <v>43161.0</v>
      </c>
      <c r="G31" s="7" t="s">
        <v>105</v>
      </c>
      <c r="H31" s="7" t="s">
        <v>16</v>
      </c>
      <c r="I31" s="7" t="s">
        <v>106</v>
      </c>
      <c r="J31" s="8">
        <f>IFERROR(__xludf.DUMMYFUNCTION("SPLIT(I31,""_"")"),43161.0)</f>
        <v>43161</v>
      </c>
      <c r="K31" s="8">
        <f>IFERROR(__xludf.DUMMYFUNCTION("""COMPUTED_VALUE"""),43345.0)</f>
        <v>43345</v>
      </c>
      <c r="L31">
        <f t="shared" si="1"/>
        <v>184</v>
      </c>
      <c r="M31" s="7" t="s">
        <v>18</v>
      </c>
      <c r="N31" s="7" t="s">
        <v>19</v>
      </c>
      <c r="O31" s="7">
        <v>1.0</v>
      </c>
      <c r="Q31">
        <f t="shared" si="2"/>
        <v>27</v>
      </c>
    </row>
    <row r="32">
      <c r="A32" s="5" t="s">
        <v>107</v>
      </c>
      <c r="B32" s="6">
        <v>59400.0</v>
      </c>
      <c r="C32" s="7" t="s">
        <v>13</v>
      </c>
      <c r="D32" s="7">
        <v>5.1779186900012E13</v>
      </c>
      <c r="E32" s="7" t="s">
        <v>108</v>
      </c>
      <c r="F32" s="8">
        <v>43306.0</v>
      </c>
      <c r="G32" s="7" t="s">
        <v>15</v>
      </c>
      <c r="H32" s="7" t="s">
        <v>16</v>
      </c>
      <c r="I32" s="7" t="s">
        <v>28</v>
      </c>
      <c r="J32" s="8">
        <f>IFERROR(__xludf.DUMMYFUNCTION("SPLIT(I32,""_"")"),43306.0)</f>
        <v>43306</v>
      </c>
      <c r="K32" s="8">
        <f>IFERROR(__xludf.DUMMYFUNCTION("""COMPUTED_VALUE"""),43490.0)</f>
        <v>43490</v>
      </c>
      <c r="L32">
        <f t="shared" si="1"/>
        <v>184</v>
      </c>
      <c r="M32" s="7" t="s">
        <v>18</v>
      </c>
      <c r="N32" s="7" t="s">
        <v>19</v>
      </c>
      <c r="O32" s="7">
        <v>1.0</v>
      </c>
      <c r="Q32">
        <f t="shared" si="2"/>
        <v>27</v>
      </c>
    </row>
    <row r="33">
      <c r="A33" s="5" t="s">
        <v>109</v>
      </c>
      <c r="B33" s="6">
        <v>58000.0</v>
      </c>
      <c r="C33" s="7" t="s">
        <v>13</v>
      </c>
      <c r="D33" s="7">
        <v>3.9811228400011E13</v>
      </c>
      <c r="E33" s="7" t="s">
        <v>110</v>
      </c>
      <c r="F33" s="8">
        <v>43319.0</v>
      </c>
      <c r="G33" s="7" t="s">
        <v>111</v>
      </c>
      <c r="H33" s="7" t="s">
        <v>16</v>
      </c>
      <c r="I33" s="7" t="s">
        <v>112</v>
      </c>
      <c r="J33" s="8">
        <f>IFERROR(__xludf.DUMMYFUNCTION("SPLIT(I33,""_"")"),43319.0)</f>
        <v>43319</v>
      </c>
      <c r="K33" s="8">
        <f>IFERROR(__xludf.DUMMYFUNCTION("""COMPUTED_VALUE"""),43503.0)</f>
        <v>43503</v>
      </c>
      <c r="L33">
        <f t="shared" si="1"/>
        <v>184</v>
      </c>
      <c r="M33" s="7" t="s">
        <v>18</v>
      </c>
      <c r="N33" s="7" t="s">
        <v>19</v>
      </c>
      <c r="O33" s="7">
        <v>1.0</v>
      </c>
      <c r="Q33">
        <f t="shared" si="2"/>
        <v>27</v>
      </c>
    </row>
    <row r="34">
      <c r="A34" s="5" t="s">
        <v>113</v>
      </c>
      <c r="B34" s="6">
        <v>57000.0</v>
      </c>
      <c r="C34" s="7" t="s">
        <v>13</v>
      </c>
      <c r="D34" s="7">
        <v>4.7941474E8</v>
      </c>
      <c r="E34" s="7" t="s">
        <v>114</v>
      </c>
      <c r="F34" s="8">
        <v>43283.0</v>
      </c>
      <c r="G34" s="7" t="s">
        <v>15</v>
      </c>
      <c r="H34" s="7" t="s">
        <v>16</v>
      </c>
      <c r="I34" s="7" t="s">
        <v>115</v>
      </c>
      <c r="J34" s="8">
        <f>IFERROR(__xludf.DUMMYFUNCTION("SPLIT(I34,""_"")"),43283.0)</f>
        <v>43283</v>
      </c>
      <c r="K34" s="8">
        <f>IFERROR(__xludf.DUMMYFUNCTION("""COMPUTED_VALUE"""),43467.0)</f>
        <v>43467</v>
      </c>
      <c r="L34">
        <f t="shared" si="1"/>
        <v>184</v>
      </c>
      <c r="M34" s="7" t="s">
        <v>18</v>
      </c>
      <c r="N34" s="7" t="s">
        <v>19</v>
      </c>
      <c r="O34" s="7">
        <v>1.0</v>
      </c>
      <c r="Q34">
        <f t="shared" si="2"/>
        <v>27</v>
      </c>
    </row>
    <row r="35">
      <c r="A35" s="5" t="s">
        <v>116</v>
      </c>
      <c r="B35" s="6">
        <v>55000.0</v>
      </c>
      <c r="C35" s="7" t="s">
        <v>13</v>
      </c>
      <c r="D35" s="7">
        <v>8.0077623900017E13</v>
      </c>
      <c r="E35" s="7" t="s">
        <v>117</v>
      </c>
      <c r="F35" s="8">
        <v>43318.0</v>
      </c>
      <c r="G35" s="7" t="s">
        <v>118</v>
      </c>
      <c r="H35" s="7" t="s">
        <v>16</v>
      </c>
      <c r="I35" s="7" t="s">
        <v>119</v>
      </c>
      <c r="J35" s="8">
        <f>IFERROR(__xludf.DUMMYFUNCTION("SPLIT(I35,""_"")"),43318.0)</f>
        <v>43318</v>
      </c>
      <c r="K35" s="8">
        <f>IFERROR(__xludf.DUMMYFUNCTION("""COMPUTED_VALUE"""),43502.0)</f>
        <v>43502</v>
      </c>
      <c r="L35">
        <f t="shared" si="1"/>
        <v>184</v>
      </c>
      <c r="M35" s="7" t="s">
        <v>18</v>
      </c>
      <c r="N35" s="7" t="s">
        <v>19</v>
      </c>
      <c r="O35" s="7">
        <v>1.0</v>
      </c>
      <c r="Q35">
        <f t="shared" si="2"/>
        <v>27</v>
      </c>
    </row>
    <row r="36">
      <c r="A36" s="5" t="s">
        <v>120</v>
      </c>
      <c r="B36" s="6">
        <v>55000.0</v>
      </c>
      <c r="C36" s="7" t="s">
        <v>13</v>
      </c>
      <c r="D36" s="7">
        <v>8.0127651000011E13</v>
      </c>
      <c r="E36" s="7" t="s">
        <v>117</v>
      </c>
      <c r="F36" s="8">
        <v>43356.0</v>
      </c>
      <c r="G36" s="7" t="s">
        <v>121</v>
      </c>
      <c r="H36" s="7" t="s">
        <v>16</v>
      </c>
      <c r="I36" s="7" t="s">
        <v>122</v>
      </c>
      <c r="J36" s="8">
        <f>IFERROR(__xludf.DUMMYFUNCTION("SPLIT(I36,""_"")"),43356.0)</f>
        <v>43356</v>
      </c>
      <c r="K36" s="8">
        <f>IFERROR(__xludf.DUMMYFUNCTION("""COMPUTED_VALUE"""),43537.0)</f>
        <v>43537</v>
      </c>
      <c r="L36">
        <f t="shared" si="1"/>
        <v>181</v>
      </c>
      <c r="M36" s="7" t="s">
        <v>18</v>
      </c>
      <c r="N36" s="7" t="s">
        <v>19</v>
      </c>
      <c r="O36" s="7">
        <v>1.0</v>
      </c>
      <c r="Q36">
        <f t="shared" si="2"/>
        <v>26</v>
      </c>
    </row>
    <row r="37">
      <c r="A37" s="5" t="s">
        <v>123</v>
      </c>
      <c r="B37" s="6">
        <v>55000.0</v>
      </c>
      <c r="C37" s="7" t="s">
        <v>13</v>
      </c>
      <c r="D37" s="7">
        <v>4.3288382500031E13</v>
      </c>
      <c r="E37" s="7" t="s">
        <v>117</v>
      </c>
      <c r="F37" s="8">
        <v>43304.0</v>
      </c>
      <c r="G37" s="7" t="s">
        <v>124</v>
      </c>
      <c r="H37" s="7" t="s">
        <v>16</v>
      </c>
      <c r="I37" s="7" t="s">
        <v>125</v>
      </c>
      <c r="J37" s="8">
        <f>IFERROR(__xludf.DUMMYFUNCTION("SPLIT(I37,""_"")"),43304.0)</f>
        <v>43304</v>
      </c>
      <c r="K37" s="8">
        <f>IFERROR(__xludf.DUMMYFUNCTION("""COMPUTED_VALUE"""),43488.0)</f>
        <v>43488</v>
      </c>
      <c r="L37">
        <f t="shared" si="1"/>
        <v>184</v>
      </c>
      <c r="M37" s="7" t="s">
        <v>18</v>
      </c>
      <c r="N37" s="7" t="s">
        <v>19</v>
      </c>
      <c r="O37" s="7">
        <v>1.0</v>
      </c>
      <c r="Q37">
        <f t="shared" si="2"/>
        <v>27</v>
      </c>
    </row>
    <row r="38">
      <c r="A38" s="5" t="s">
        <v>126</v>
      </c>
      <c r="B38" s="6">
        <v>54000.0</v>
      </c>
      <c r="C38" s="7" t="s">
        <v>13</v>
      </c>
      <c r="D38" s="7">
        <v>4.8237148100029E13</v>
      </c>
      <c r="E38" s="7" t="s">
        <v>127</v>
      </c>
      <c r="F38" s="8">
        <v>43264.0</v>
      </c>
      <c r="G38" s="7" t="s">
        <v>128</v>
      </c>
      <c r="H38" s="7" t="s">
        <v>16</v>
      </c>
      <c r="I38" s="7" t="s">
        <v>129</v>
      </c>
      <c r="J38" s="8">
        <f>IFERROR(__xludf.DUMMYFUNCTION("SPLIT(I38,""_"")"),43264.0)</f>
        <v>43264</v>
      </c>
      <c r="K38" s="8">
        <f>IFERROR(__xludf.DUMMYFUNCTION("""COMPUTED_VALUE"""),43447.0)</f>
        <v>43447</v>
      </c>
      <c r="L38">
        <f t="shared" si="1"/>
        <v>183</v>
      </c>
      <c r="M38" s="7" t="s">
        <v>18</v>
      </c>
      <c r="N38" s="7" t="s">
        <v>19</v>
      </c>
      <c r="O38" s="7">
        <v>1.0</v>
      </c>
      <c r="Q38">
        <f t="shared" si="2"/>
        <v>27</v>
      </c>
    </row>
    <row r="39">
      <c r="A39" s="5" t="s">
        <v>130</v>
      </c>
      <c r="B39" s="6">
        <v>52500.0</v>
      </c>
      <c r="C39" s="7" t="s">
        <v>13</v>
      </c>
      <c r="D39" s="7">
        <v>3.8956456800027E13</v>
      </c>
      <c r="E39" s="7" t="s">
        <v>131</v>
      </c>
      <c r="F39" s="8">
        <v>43252.0</v>
      </c>
      <c r="G39" s="7" t="s">
        <v>132</v>
      </c>
      <c r="H39" s="7" t="s">
        <v>16</v>
      </c>
      <c r="I39" s="7" t="s">
        <v>133</v>
      </c>
      <c r="J39" s="8">
        <f>IFERROR(__xludf.DUMMYFUNCTION("SPLIT(I39,""_"")"),43252.0)</f>
        <v>43252</v>
      </c>
      <c r="K39" s="8">
        <f>IFERROR(__xludf.DUMMYFUNCTION("""COMPUTED_VALUE"""),43435.0)</f>
        <v>43435</v>
      </c>
      <c r="L39">
        <f t="shared" si="1"/>
        <v>183</v>
      </c>
      <c r="M39" s="7" t="s">
        <v>18</v>
      </c>
      <c r="N39" s="7" t="s">
        <v>19</v>
      </c>
      <c r="O39" s="7">
        <v>1.0</v>
      </c>
      <c r="Q39">
        <f t="shared" si="2"/>
        <v>27</v>
      </c>
    </row>
    <row r="40">
      <c r="A40" s="5" t="s">
        <v>134</v>
      </c>
      <c r="B40" s="6">
        <v>50000.0</v>
      </c>
      <c r="C40" s="7" t="s">
        <v>13</v>
      </c>
      <c r="D40" s="7">
        <v>4.515460970001E13</v>
      </c>
      <c r="E40" s="7" t="s">
        <v>135</v>
      </c>
      <c r="F40" s="8">
        <v>43417.0</v>
      </c>
      <c r="G40" s="7" t="s">
        <v>136</v>
      </c>
      <c r="H40" s="7" t="s">
        <v>16</v>
      </c>
      <c r="I40" s="7" t="s">
        <v>88</v>
      </c>
      <c r="J40" s="8">
        <f>IFERROR(__xludf.DUMMYFUNCTION("SPLIT(I40,""_"")"),43417.0)</f>
        <v>43417</v>
      </c>
      <c r="K40" s="8">
        <f>IFERROR(__xludf.DUMMYFUNCTION("""COMPUTED_VALUE"""),43598.0)</f>
        <v>43598</v>
      </c>
      <c r="L40">
        <f t="shared" si="1"/>
        <v>181</v>
      </c>
      <c r="M40" s="7" t="s">
        <v>18</v>
      </c>
      <c r="N40" s="7" t="s">
        <v>19</v>
      </c>
      <c r="O40" s="7">
        <v>1.0</v>
      </c>
      <c r="Q40">
        <f t="shared" si="2"/>
        <v>26</v>
      </c>
    </row>
    <row r="41">
      <c r="A41" s="5" t="s">
        <v>137</v>
      </c>
      <c r="B41" s="6">
        <v>50000.0</v>
      </c>
      <c r="C41" s="7" t="s">
        <v>13</v>
      </c>
      <c r="D41" s="7">
        <v>3.79140221E8</v>
      </c>
      <c r="E41" s="7" t="s">
        <v>50</v>
      </c>
      <c r="F41" s="8">
        <v>43269.0</v>
      </c>
      <c r="G41" s="7" t="s">
        <v>138</v>
      </c>
      <c r="H41" s="7" t="s">
        <v>16</v>
      </c>
      <c r="I41" s="7" t="s">
        <v>52</v>
      </c>
      <c r="J41" s="8">
        <f>IFERROR(__xludf.DUMMYFUNCTION("SPLIT(I41,""_"")"),43269.0)</f>
        <v>43269</v>
      </c>
      <c r="K41" s="8">
        <f>IFERROR(__xludf.DUMMYFUNCTION("""COMPUTED_VALUE"""),43452.0)</f>
        <v>43452</v>
      </c>
      <c r="L41">
        <f t="shared" si="1"/>
        <v>183</v>
      </c>
      <c r="M41" s="7" t="s">
        <v>18</v>
      </c>
      <c r="N41" s="7" t="s">
        <v>19</v>
      </c>
      <c r="O41" s="7">
        <v>1.0</v>
      </c>
      <c r="Q41">
        <f t="shared" si="2"/>
        <v>27</v>
      </c>
    </row>
    <row r="42">
      <c r="A42" s="5" t="s">
        <v>139</v>
      </c>
      <c r="B42" s="6">
        <v>49000.0</v>
      </c>
      <c r="C42" s="7" t="s">
        <v>13</v>
      </c>
      <c r="D42" s="7">
        <v>3.98191569E8</v>
      </c>
      <c r="E42" s="7" t="s">
        <v>140</v>
      </c>
      <c r="F42" s="8">
        <v>43124.0</v>
      </c>
      <c r="G42" s="7" t="s">
        <v>15</v>
      </c>
      <c r="H42" s="7" t="s">
        <v>16</v>
      </c>
      <c r="I42" s="7" t="s">
        <v>141</v>
      </c>
      <c r="J42" s="8">
        <f>IFERROR(__xludf.DUMMYFUNCTION("SPLIT(I42,""_"")"),43124.0)</f>
        <v>43124</v>
      </c>
      <c r="K42" s="8">
        <f>IFERROR(__xludf.DUMMYFUNCTION("""COMPUTED_VALUE"""),43305.0)</f>
        <v>43305</v>
      </c>
      <c r="L42">
        <f t="shared" si="1"/>
        <v>181</v>
      </c>
      <c r="M42" s="7" t="s">
        <v>18</v>
      </c>
      <c r="N42" s="7" t="s">
        <v>19</v>
      </c>
      <c r="O42" s="7">
        <v>1.0</v>
      </c>
      <c r="Q42">
        <f t="shared" si="2"/>
        <v>26</v>
      </c>
    </row>
    <row r="43">
      <c r="A43" s="5" t="s">
        <v>142</v>
      </c>
      <c r="B43" s="6">
        <v>47500.0</v>
      </c>
      <c r="C43" s="7" t="s">
        <v>13</v>
      </c>
      <c r="D43" s="7">
        <v>4.21985235E8</v>
      </c>
      <c r="E43" s="7" t="s">
        <v>143</v>
      </c>
      <c r="F43" s="8">
        <v>43271.0</v>
      </c>
      <c r="G43" s="7" t="s">
        <v>15</v>
      </c>
      <c r="H43" s="7" t="s">
        <v>16</v>
      </c>
      <c r="I43" s="7" t="s">
        <v>34</v>
      </c>
      <c r="J43" s="8">
        <f>IFERROR(__xludf.DUMMYFUNCTION("SPLIT(I43,""_"")"),43271.0)</f>
        <v>43271</v>
      </c>
      <c r="K43" s="8">
        <f>IFERROR(__xludf.DUMMYFUNCTION("""COMPUTED_VALUE"""),43454.0)</f>
        <v>43454</v>
      </c>
      <c r="L43">
        <f t="shared" si="1"/>
        <v>183</v>
      </c>
      <c r="M43" s="7" t="s">
        <v>18</v>
      </c>
      <c r="N43" s="7" t="s">
        <v>19</v>
      </c>
      <c r="O43" s="7">
        <v>1.0</v>
      </c>
      <c r="Q43">
        <f t="shared" si="2"/>
        <v>27</v>
      </c>
    </row>
    <row r="44">
      <c r="A44" s="5" t="s">
        <v>144</v>
      </c>
      <c r="B44" s="6">
        <v>47500.0</v>
      </c>
      <c r="C44" s="7" t="s">
        <v>13</v>
      </c>
      <c r="D44" s="7">
        <v>3.78090633E8</v>
      </c>
      <c r="E44" s="7" t="s">
        <v>50</v>
      </c>
      <c r="F44" s="8">
        <v>43269.0</v>
      </c>
      <c r="G44" s="7" t="s">
        <v>145</v>
      </c>
      <c r="H44" s="7" t="s">
        <v>16</v>
      </c>
      <c r="I44" s="7" t="s">
        <v>52</v>
      </c>
      <c r="J44" s="8">
        <f>IFERROR(__xludf.DUMMYFUNCTION("SPLIT(I44,""_"")"),43269.0)</f>
        <v>43269</v>
      </c>
      <c r="K44" s="8">
        <f>IFERROR(__xludf.DUMMYFUNCTION("""COMPUTED_VALUE"""),43452.0)</f>
        <v>43452</v>
      </c>
      <c r="L44">
        <f t="shared" si="1"/>
        <v>183</v>
      </c>
      <c r="M44" s="7" t="s">
        <v>18</v>
      </c>
      <c r="N44" s="7" t="s">
        <v>19</v>
      </c>
      <c r="O44" s="7">
        <v>1.0</v>
      </c>
      <c r="Q44">
        <f t="shared" si="2"/>
        <v>27</v>
      </c>
    </row>
    <row r="45">
      <c r="A45" s="5" t="s">
        <v>146</v>
      </c>
      <c r="B45" s="6">
        <v>46318.0</v>
      </c>
      <c r="C45" s="7" t="s">
        <v>13</v>
      </c>
      <c r="D45" s="7">
        <v>5.2539664400011E13</v>
      </c>
      <c r="E45" s="7" t="s">
        <v>147</v>
      </c>
      <c r="F45" s="8">
        <v>43418.0</v>
      </c>
      <c r="G45" s="7" t="s">
        <v>61</v>
      </c>
      <c r="H45" s="7" t="s">
        <v>16</v>
      </c>
      <c r="I45" s="7" t="s">
        <v>148</v>
      </c>
      <c r="J45" s="8">
        <f>IFERROR(__xludf.DUMMYFUNCTION("SPLIT(I45,""_"")"),43418.0)</f>
        <v>43418</v>
      </c>
      <c r="K45" s="8">
        <f>IFERROR(__xludf.DUMMYFUNCTION("""COMPUTED_VALUE"""),43599.0)</f>
        <v>43599</v>
      </c>
      <c r="L45">
        <f t="shared" si="1"/>
        <v>181</v>
      </c>
      <c r="M45" s="7" t="s">
        <v>18</v>
      </c>
      <c r="N45" s="7" t="s">
        <v>19</v>
      </c>
      <c r="O45" s="7">
        <v>1.0</v>
      </c>
      <c r="Q45">
        <f t="shared" si="2"/>
        <v>26</v>
      </c>
    </row>
    <row r="46">
      <c r="A46" s="5" t="s">
        <v>149</v>
      </c>
      <c r="B46" s="6">
        <v>45000.0</v>
      </c>
      <c r="C46" s="7" t="s">
        <v>13</v>
      </c>
      <c r="D46" s="7">
        <v>3.52216873E8</v>
      </c>
      <c r="E46" s="7" t="s">
        <v>127</v>
      </c>
      <c r="F46" s="8">
        <v>43269.0</v>
      </c>
      <c r="G46" s="7" t="s">
        <v>150</v>
      </c>
      <c r="H46" s="7" t="s">
        <v>16</v>
      </c>
      <c r="I46" s="7" t="s">
        <v>52</v>
      </c>
      <c r="J46" s="8">
        <f>IFERROR(__xludf.DUMMYFUNCTION("SPLIT(I46,""_"")"),43269.0)</f>
        <v>43269</v>
      </c>
      <c r="K46" s="8">
        <f>IFERROR(__xludf.DUMMYFUNCTION("""COMPUTED_VALUE"""),43452.0)</f>
        <v>43452</v>
      </c>
      <c r="L46">
        <f t="shared" si="1"/>
        <v>183</v>
      </c>
      <c r="M46" s="7" t="s">
        <v>18</v>
      </c>
      <c r="N46" s="7" t="s">
        <v>19</v>
      </c>
      <c r="O46" s="7">
        <v>1.0</v>
      </c>
      <c r="Q46">
        <f t="shared" si="2"/>
        <v>27</v>
      </c>
    </row>
    <row r="47">
      <c r="A47" s="5" t="s">
        <v>151</v>
      </c>
      <c r="B47" s="6">
        <v>45000.0</v>
      </c>
      <c r="C47" s="7" t="s">
        <v>13</v>
      </c>
      <c r="D47" s="7">
        <v>3.49753467E8</v>
      </c>
      <c r="E47" s="7" t="s">
        <v>152</v>
      </c>
      <c r="F47" s="8">
        <v>43279.0</v>
      </c>
      <c r="G47" s="7" t="s">
        <v>15</v>
      </c>
      <c r="H47" s="7" t="s">
        <v>16</v>
      </c>
      <c r="I47" s="7" t="s">
        <v>153</v>
      </c>
      <c r="J47" s="8">
        <f>IFERROR(__xludf.DUMMYFUNCTION("SPLIT(I47,""_"")"),43279.0)</f>
        <v>43279</v>
      </c>
      <c r="K47" s="8">
        <f>IFERROR(__xludf.DUMMYFUNCTION("""COMPUTED_VALUE"""),43462.0)</f>
        <v>43462</v>
      </c>
      <c r="L47">
        <f t="shared" si="1"/>
        <v>183</v>
      </c>
      <c r="M47" s="7" t="s">
        <v>18</v>
      </c>
      <c r="N47" s="7" t="s">
        <v>19</v>
      </c>
      <c r="O47" s="7">
        <v>1.0</v>
      </c>
      <c r="Q47">
        <f t="shared" si="2"/>
        <v>27</v>
      </c>
    </row>
    <row r="48">
      <c r="A48" s="5" t="s">
        <v>154</v>
      </c>
      <c r="B48" s="6">
        <v>42750.0</v>
      </c>
      <c r="C48" s="7" t="s">
        <v>13</v>
      </c>
      <c r="D48" s="7">
        <v>5.22896091E8</v>
      </c>
      <c r="E48" s="7" t="s">
        <v>127</v>
      </c>
      <c r="F48" s="8">
        <v>43255.0</v>
      </c>
      <c r="G48" s="7" t="s">
        <v>155</v>
      </c>
      <c r="H48" s="7" t="s">
        <v>16</v>
      </c>
      <c r="I48" s="7" t="s">
        <v>156</v>
      </c>
      <c r="J48" s="8">
        <f>IFERROR(__xludf.DUMMYFUNCTION("SPLIT(I48,""_"")"),43255.0)</f>
        <v>43255</v>
      </c>
      <c r="K48" s="8">
        <f>IFERROR(__xludf.DUMMYFUNCTION("""COMPUTED_VALUE"""),43438.0)</f>
        <v>43438</v>
      </c>
      <c r="L48">
        <f t="shared" si="1"/>
        <v>183</v>
      </c>
      <c r="M48" s="7" t="s">
        <v>18</v>
      </c>
      <c r="N48" s="7" t="s">
        <v>19</v>
      </c>
      <c r="O48" s="7">
        <v>1.0</v>
      </c>
      <c r="Q48">
        <f t="shared" si="2"/>
        <v>27</v>
      </c>
    </row>
    <row r="49">
      <c r="A49" s="5" t="s">
        <v>157</v>
      </c>
      <c r="B49" s="6">
        <v>42700.0</v>
      </c>
      <c r="C49" s="7" t="s">
        <v>13</v>
      </c>
      <c r="D49" s="7">
        <v>4.2971672300011E13</v>
      </c>
      <c r="E49" s="7" t="s">
        <v>158</v>
      </c>
      <c r="F49" s="8">
        <v>43299.0</v>
      </c>
      <c r="G49" s="7" t="s">
        <v>159</v>
      </c>
      <c r="H49" s="7" t="s">
        <v>16</v>
      </c>
      <c r="I49" s="7" t="s">
        <v>160</v>
      </c>
      <c r="J49" s="8">
        <f>IFERROR(__xludf.DUMMYFUNCTION("SPLIT(I49,""_"")"),43299.0)</f>
        <v>43299</v>
      </c>
      <c r="K49" s="8">
        <f>IFERROR(__xludf.DUMMYFUNCTION("""COMPUTED_VALUE"""),43118.0)</f>
        <v>43118</v>
      </c>
      <c r="L49" t="str">
        <f t="shared" si="1"/>
        <v>#NUM!</v>
      </c>
      <c r="M49" s="7" t="s">
        <v>18</v>
      </c>
      <c r="N49" s="7" t="s">
        <v>19</v>
      </c>
      <c r="O49" s="7">
        <v>1.0</v>
      </c>
      <c r="Q49" t="str">
        <f t="shared" si="2"/>
        <v>#NUM!</v>
      </c>
    </row>
    <row r="50">
      <c r="A50" s="5" t="s">
        <v>134</v>
      </c>
      <c r="B50" s="6">
        <v>41000.0</v>
      </c>
      <c r="C50" s="7" t="s">
        <v>13</v>
      </c>
      <c r="D50" s="7">
        <v>4.515469700001E13</v>
      </c>
      <c r="E50" s="7" t="s">
        <v>127</v>
      </c>
      <c r="F50" s="8">
        <v>43286.0</v>
      </c>
      <c r="G50" s="7" t="s">
        <v>161</v>
      </c>
      <c r="H50" s="7" t="s">
        <v>16</v>
      </c>
      <c r="I50" s="7" t="s">
        <v>162</v>
      </c>
      <c r="J50" s="8">
        <f>IFERROR(__xludf.DUMMYFUNCTION("SPLIT(I50,""_"")"),43286.0)</f>
        <v>43286</v>
      </c>
      <c r="K50" s="8">
        <f>IFERROR(__xludf.DUMMYFUNCTION("""COMPUTED_VALUE"""),43470.0)</f>
        <v>43470</v>
      </c>
      <c r="L50">
        <f t="shared" si="1"/>
        <v>184</v>
      </c>
      <c r="M50" s="7" t="s">
        <v>18</v>
      </c>
      <c r="N50" s="7" t="s">
        <v>19</v>
      </c>
      <c r="O50" s="7">
        <v>1.0</v>
      </c>
      <c r="Q50">
        <f t="shared" si="2"/>
        <v>27</v>
      </c>
    </row>
    <row r="51">
      <c r="A51" s="5" t="s">
        <v>163</v>
      </c>
      <c r="B51" s="6">
        <v>40000.0</v>
      </c>
      <c r="C51" s="7" t="s">
        <v>13</v>
      </c>
      <c r="D51" s="7">
        <v>4.89563072E8</v>
      </c>
      <c r="E51" s="7" t="s">
        <v>164</v>
      </c>
      <c r="F51" s="8">
        <v>43133.0</v>
      </c>
      <c r="G51" s="7" t="s">
        <v>165</v>
      </c>
      <c r="H51" s="7" t="s">
        <v>16</v>
      </c>
      <c r="I51" s="7" t="s">
        <v>166</v>
      </c>
      <c r="J51" s="8">
        <f>IFERROR(__xludf.DUMMYFUNCTION("SPLIT(I51,""_"")"),43133.0)</f>
        <v>43133</v>
      </c>
      <c r="K51" s="8">
        <f>IFERROR(__xludf.DUMMYFUNCTION("""COMPUTED_VALUE"""),43320.0)</f>
        <v>43320</v>
      </c>
      <c r="L51">
        <f t="shared" si="1"/>
        <v>187</v>
      </c>
      <c r="M51" s="7" t="s">
        <v>18</v>
      </c>
      <c r="N51" s="7" t="s">
        <v>19</v>
      </c>
      <c r="O51" s="7">
        <v>1.0</v>
      </c>
      <c r="Q51">
        <f t="shared" si="2"/>
        <v>27</v>
      </c>
    </row>
    <row r="52">
      <c r="A52" s="5" t="s">
        <v>167</v>
      </c>
      <c r="B52" s="6">
        <v>40000.0</v>
      </c>
      <c r="C52" s="7" t="s">
        <v>13</v>
      </c>
      <c r="D52" s="7">
        <v>8.2343035000012E13</v>
      </c>
      <c r="E52" s="7" t="s">
        <v>168</v>
      </c>
      <c r="F52" s="8">
        <v>43280.0</v>
      </c>
      <c r="G52" s="7" t="s">
        <v>169</v>
      </c>
      <c r="H52" s="7" t="s">
        <v>16</v>
      </c>
      <c r="I52" s="7" t="s">
        <v>170</v>
      </c>
      <c r="J52" s="8">
        <f>IFERROR(__xludf.DUMMYFUNCTION("SPLIT(I52,""_"")"),43280.0)</f>
        <v>43280</v>
      </c>
      <c r="K52" s="8">
        <f>IFERROR(__xludf.DUMMYFUNCTION("""COMPUTED_VALUE"""),43463.0)</f>
        <v>43463</v>
      </c>
      <c r="L52">
        <f t="shared" si="1"/>
        <v>183</v>
      </c>
      <c r="M52" s="7" t="s">
        <v>18</v>
      </c>
      <c r="N52" s="7" t="s">
        <v>19</v>
      </c>
      <c r="O52" s="7">
        <v>1.0</v>
      </c>
      <c r="Q52">
        <f t="shared" si="2"/>
        <v>27</v>
      </c>
    </row>
    <row r="53">
      <c r="A53" s="5" t="s">
        <v>171</v>
      </c>
      <c r="B53" s="6">
        <v>40000.0</v>
      </c>
      <c r="C53" s="7" t="s">
        <v>13</v>
      </c>
      <c r="D53" s="7">
        <v>3.4169319E8</v>
      </c>
      <c r="E53" s="7" t="s">
        <v>33</v>
      </c>
      <c r="F53" s="8">
        <v>43269.0</v>
      </c>
      <c r="G53" s="7" t="s">
        <v>172</v>
      </c>
      <c r="H53" s="7" t="s">
        <v>16</v>
      </c>
      <c r="I53" s="7" t="s">
        <v>52</v>
      </c>
      <c r="J53" s="8">
        <f>IFERROR(__xludf.DUMMYFUNCTION("SPLIT(I53,""_"")"),43269.0)</f>
        <v>43269</v>
      </c>
      <c r="K53" s="8">
        <f>IFERROR(__xludf.DUMMYFUNCTION("""COMPUTED_VALUE"""),43452.0)</f>
        <v>43452</v>
      </c>
      <c r="L53">
        <f t="shared" si="1"/>
        <v>183</v>
      </c>
      <c r="M53" s="7" t="s">
        <v>18</v>
      </c>
      <c r="N53" s="7" t="s">
        <v>19</v>
      </c>
      <c r="O53" s="7">
        <v>1.0</v>
      </c>
      <c r="Q53">
        <f t="shared" si="2"/>
        <v>27</v>
      </c>
    </row>
    <row r="54">
      <c r="A54" s="5" t="s">
        <v>173</v>
      </c>
      <c r="B54" s="6">
        <v>38000.0</v>
      </c>
      <c r="C54" s="7" t="s">
        <v>13</v>
      </c>
      <c r="D54" s="7">
        <v>4.19009105E8</v>
      </c>
      <c r="E54" s="7" t="s">
        <v>174</v>
      </c>
      <c r="F54" s="8">
        <v>43161.0</v>
      </c>
      <c r="G54" s="7" t="s">
        <v>15</v>
      </c>
      <c r="H54" s="7" t="s">
        <v>16</v>
      </c>
      <c r="I54" s="7" t="s">
        <v>106</v>
      </c>
      <c r="J54" s="8">
        <f>IFERROR(__xludf.DUMMYFUNCTION("SPLIT(I54,""_"")"),43161.0)</f>
        <v>43161</v>
      </c>
      <c r="K54" s="8">
        <f>IFERROR(__xludf.DUMMYFUNCTION("""COMPUTED_VALUE"""),43345.0)</f>
        <v>43345</v>
      </c>
      <c r="L54">
        <f t="shared" si="1"/>
        <v>184</v>
      </c>
      <c r="M54" s="7" t="s">
        <v>18</v>
      </c>
      <c r="N54" s="7" t="s">
        <v>19</v>
      </c>
      <c r="O54" s="7">
        <v>1.0</v>
      </c>
      <c r="Q54">
        <f t="shared" si="2"/>
        <v>27</v>
      </c>
    </row>
    <row r="55">
      <c r="A55" s="5" t="s">
        <v>175</v>
      </c>
      <c r="B55" s="6">
        <v>38000.0</v>
      </c>
      <c r="C55" s="7" t="s">
        <v>13</v>
      </c>
      <c r="D55" s="7">
        <v>4.19009105E8</v>
      </c>
      <c r="E55" s="7" t="s">
        <v>127</v>
      </c>
      <c r="F55" s="8">
        <v>43252.0</v>
      </c>
      <c r="G55" s="7" t="s">
        <v>155</v>
      </c>
      <c r="H55" s="7" t="s">
        <v>16</v>
      </c>
      <c r="I55" s="7" t="s">
        <v>133</v>
      </c>
      <c r="J55" s="8">
        <f>IFERROR(__xludf.DUMMYFUNCTION("SPLIT(I55,""_"")"),43252.0)</f>
        <v>43252</v>
      </c>
      <c r="K55" s="8">
        <f>IFERROR(__xludf.DUMMYFUNCTION("""COMPUTED_VALUE"""),43435.0)</f>
        <v>43435</v>
      </c>
      <c r="L55">
        <f t="shared" si="1"/>
        <v>183</v>
      </c>
      <c r="M55" s="7" t="s">
        <v>18</v>
      </c>
      <c r="N55" s="7" t="s">
        <v>19</v>
      </c>
      <c r="O55" s="7">
        <v>1.0</v>
      </c>
      <c r="Q55">
        <f t="shared" si="2"/>
        <v>27</v>
      </c>
    </row>
    <row r="56">
      <c r="A56" s="5" t="s">
        <v>176</v>
      </c>
      <c r="B56" s="6">
        <v>35000.0</v>
      </c>
      <c r="C56" s="7" t="s">
        <v>13</v>
      </c>
      <c r="D56" s="7">
        <v>4.02652853E8</v>
      </c>
      <c r="E56" s="7" t="s">
        <v>50</v>
      </c>
      <c r="F56" s="8">
        <v>43269.0</v>
      </c>
      <c r="G56" s="7" t="s">
        <v>51</v>
      </c>
      <c r="H56" s="7" t="s">
        <v>16</v>
      </c>
      <c r="I56" s="7" t="s">
        <v>52</v>
      </c>
      <c r="J56" s="8">
        <f>IFERROR(__xludf.DUMMYFUNCTION("SPLIT(I56,""_"")"),43269.0)</f>
        <v>43269</v>
      </c>
      <c r="K56" s="8">
        <f>IFERROR(__xludf.DUMMYFUNCTION("""COMPUTED_VALUE"""),43452.0)</f>
        <v>43452</v>
      </c>
      <c r="L56">
        <f t="shared" si="1"/>
        <v>183</v>
      </c>
      <c r="M56" s="7" t="s">
        <v>18</v>
      </c>
      <c r="N56" s="7" t="s">
        <v>19</v>
      </c>
      <c r="O56" s="7">
        <v>1.0</v>
      </c>
      <c r="Q56">
        <f t="shared" si="2"/>
        <v>27</v>
      </c>
    </row>
    <row r="57">
      <c r="A57" s="5" t="s">
        <v>177</v>
      </c>
      <c r="B57" s="6">
        <v>35000.0</v>
      </c>
      <c r="C57" s="7" t="s">
        <v>13</v>
      </c>
      <c r="D57" s="7">
        <v>3.4169319E8</v>
      </c>
      <c r="E57" s="7" t="s">
        <v>178</v>
      </c>
      <c r="F57" s="8">
        <v>43174.0</v>
      </c>
      <c r="G57" s="7" t="s">
        <v>179</v>
      </c>
      <c r="H57" s="7" t="s">
        <v>16</v>
      </c>
      <c r="I57" s="7" t="s">
        <v>180</v>
      </c>
      <c r="J57" s="8">
        <f>IFERROR(__xludf.DUMMYFUNCTION("SPLIT(I57,""_"")"),43174.0)</f>
        <v>43174</v>
      </c>
      <c r="K57" s="8">
        <f>IFERROR(__xludf.DUMMYFUNCTION("""COMPUTED_VALUE"""),43358.0)</f>
        <v>43358</v>
      </c>
      <c r="L57">
        <f t="shared" si="1"/>
        <v>184</v>
      </c>
      <c r="M57" s="7" t="s">
        <v>18</v>
      </c>
      <c r="N57" s="7" t="s">
        <v>19</v>
      </c>
      <c r="O57" s="7">
        <v>1.0</v>
      </c>
      <c r="Q57">
        <f t="shared" si="2"/>
        <v>27</v>
      </c>
    </row>
    <row r="58">
      <c r="A58" s="5" t="s">
        <v>181</v>
      </c>
      <c r="B58" s="6">
        <v>34000.0</v>
      </c>
      <c r="C58" s="7" t="s">
        <v>13</v>
      </c>
      <c r="D58" s="7">
        <v>4.20252348E8</v>
      </c>
      <c r="E58" s="7" t="s">
        <v>182</v>
      </c>
      <c r="F58" s="8">
        <v>43160.0</v>
      </c>
      <c r="G58" s="7" t="s">
        <v>183</v>
      </c>
      <c r="H58" s="7" t="s">
        <v>16</v>
      </c>
      <c r="I58" s="7" t="s">
        <v>184</v>
      </c>
      <c r="J58" s="8">
        <f>IFERROR(__xludf.DUMMYFUNCTION("SPLIT(I58,""_"")"),43160.0)</f>
        <v>43160</v>
      </c>
      <c r="K58" s="8">
        <f>IFERROR(__xludf.DUMMYFUNCTION("""COMPUTED_VALUE"""),43344.0)</f>
        <v>43344</v>
      </c>
      <c r="L58">
        <f t="shared" si="1"/>
        <v>184</v>
      </c>
      <c r="M58" s="7" t="s">
        <v>18</v>
      </c>
      <c r="N58" s="7" t="s">
        <v>19</v>
      </c>
      <c r="O58" s="7">
        <v>1.0</v>
      </c>
      <c r="Q58">
        <f t="shared" si="2"/>
        <v>27</v>
      </c>
    </row>
    <row r="59">
      <c r="A59" s="5" t="s">
        <v>134</v>
      </c>
      <c r="B59" s="6">
        <v>33250.0</v>
      </c>
      <c r="C59" s="7" t="s">
        <v>13</v>
      </c>
      <c r="D59" s="7">
        <v>4.51546097E8</v>
      </c>
      <c r="E59" s="7" t="s">
        <v>185</v>
      </c>
      <c r="F59" s="8">
        <v>43266.0</v>
      </c>
      <c r="G59" s="7" t="s">
        <v>155</v>
      </c>
      <c r="H59" s="7" t="s">
        <v>16</v>
      </c>
      <c r="I59" s="7" t="s">
        <v>186</v>
      </c>
      <c r="J59" s="8">
        <f>IFERROR(__xludf.DUMMYFUNCTION("SPLIT(I59,""_"")"),43266.0)</f>
        <v>43266</v>
      </c>
      <c r="K59" s="8">
        <f>IFERROR(__xludf.DUMMYFUNCTION("""COMPUTED_VALUE"""),43449.0)</f>
        <v>43449</v>
      </c>
      <c r="L59">
        <f t="shared" si="1"/>
        <v>183</v>
      </c>
      <c r="M59" s="7" t="s">
        <v>18</v>
      </c>
      <c r="N59" s="7" t="s">
        <v>19</v>
      </c>
      <c r="O59" s="7">
        <v>1.0</v>
      </c>
      <c r="Q59">
        <f t="shared" si="2"/>
        <v>27</v>
      </c>
    </row>
    <row r="60">
      <c r="A60" s="5" t="s">
        <v>187</v>
      </c>
      <c r="B60" s="6">
        <v>32000.0</v>
      </c>
      <c r="C60" s="7" t="s">
        <v>13</v>
      </c>
      <c r="D60" s="7">
        <v>3.06564279E8</v>
      </c>
      <c r="E60" s="7" t="s">
        <v>188</v>
      </c>
      <c r="F60" s="8">
        <v>43126.0</v>
      </c>
      <c r="G60" s="7" t="s">
        <v>15</v>
      </c>
      <c r="H60" s="7" t="s">
        <v>16</v>
      </c>
      <c r="I60" s="7" t="s">
        <v>82</v>
      </c>
      <c r="J60" s="8">
        <f>IFERROR(__xludf.DUMMYFUNCTION("SPLIT(I60,""_"")"),43126.0)</f>
        <v>43126</v>
      </c>
      <c r="K60" s="8">
        <f>IFERROR(__xludf.DUMMYFUNCTION("""COMPUTED_VALUE"""),43307.0)</f>
        <v>43307</v>
      </c>
      <c r="L60">
        <f t="shared" si="1"/>
        <v>181</v>
      </c>
      <c r="M60" s="7" t="s">
        <v>18</v>
      </c>
      <c r="N60" s="7" t="s">
        <v>19</v>
      </c>
      <c r="O60" s="7">
        <v>1.0</v>
      </c>
      <c r="Q60">
        <f t="shared" si="2"/>
        <v>26</v>
      </c>
    </row>
    <row r="61">
      <c r="A61" s="5" t="s">
        <v>176</v>
      </c>
      <c r="B61" s="6">
        <v>30000.0</v>
      </c>
      <c r="C61" s="7" t="s">
        <v>13</v>
      </c>
      <c r="D61" s="7">
        <v>4.02652853E8</v>
      </c>
      <c r="E61" s="7" t="s">
        <v>189</v>
      </c>
      <c r="F61" s="8">
        <v>43252.0</v>
      </c>
      <c r="G61" s="7" t="s">
        <v>172</v>
      </c>
      <c r="H61" s="7" t="s">
        <v>16</v>
      </c>
      <c r="I61" s="7" t="s">
        <v>133</v>
      </c>
      <c r="J61" s="8">
        <f>IFERROR(__xludf.DUMMYFUNCTION("SPLIT(I61,""_"")"),43252.0)</f>
        <v>43252</v>
      </c>
      <c r="K61" s="8">
        <f>IFERROR(__xludf.DUMMYFUNCTION("""COMPUTED_VALUE"""),43435.0)</f>
        <v>43435</v>
      </c>
      <c r="L61">
        <f t="shared" si="1"/>
        <v>183</v>
      </c>
      <c r="M61" s="7" t="s">
        <v>18</v>
      </c>
      <c r="N61" s="7" t="s">
        <v>19</v>
      </c>
      <c r="O61" s="7">
        <v>1.0</v>
      </c>
      <c r="Q61">
        <f t="shared" si="2"/>
        <v>27</v>
      </c>
    </row>
    <row r="62">
      <c r="A62" s="5" t="s">
        <v>190</v>
      </c>
      <c r="B62" s="6">
        <v>30000.0</v>
      </c>
      <c r="C62" s="7" t="s">
        <v>13</v>
      </c>
      <c r="D62" s="7">
        <v>4.3470528100021E13</v>
      </c>
      <c r="E62" s="7" t="s">
        <v>191</v>
      </c>
      <c r="F62" s="8">
        <v>43411.0</v>
      </c>
      <c r="G62" s="7" t="s">
        <v>15</v>
      </c>
      <c r="H62" s="7" t="s">
        <v>16</v>
      </c>
      <c r="I62" s="7" t="s">
        <v>192</v>
      </c>
      <c r="J62" s="8">
        <f>IFERROR(__xludf.DUMMYFUNCTION("SPLIT(I62,""_"")"),43411.0)</f>
        <v>43411</v>
      </c>
      <c r="K62" s="8">
        <f>IFERROR(__xludf.DUMMYFUNCTION("""COMPUTED_VALUE"""),43592.0)</f>
        <v>43592</v>
      </c>
      <c r="L62">
        <f t="shared" si="1"/>
        <v>181</v>
      </c>
      <c r="M62" s="7" t="s">
        <v>18</v>
      </c>
      <c r="N62" s="7" t="s">
        <v>19</v>
      </c>
      <c r="O62" s="7">
        <v>1.0</v>
      </c>
      <c r="Q62">
        <f t="shared" si="2"/>
        <v>26</v>
      </c>
    </row>
    <row r="63">
      <c r="A63" s="5" t="s">
        <v>193</v>
      </c>
      <c r="B63" s="6">
        <v>29000.0</v>
      </c>
      <c r="C63" s="7" t="s">
        <v>66</v>
      </c>
      <c r="D63" s="7">
        <v>4.022835430007E13</v>
      </c>
      <c r="E63" s="7" t="s">
        <v>194</v>
      </c>
      <c r="F63" s="8">
        <v>43335.0</v>
      </c>
      <c r="G63" s="7" t="s">
        <v>195</v>
      </c>
      <c r="H63" s="7" t="s">
        <v>16</v>
      </c>
      <c r="I63" s="7" t="s">
        <v>196</v>
      </c>
      <c r="J63" s="8">
        <f>IFERROR(__xludf.DUMMYFUNCTION("SPLIT(I63,""_"")"),43335.0)</f>
        <v>43335</v>
      </c>
      <c r="K63" s="8">
        <f>IFERROR(__xludf.DUMMYFUNCTION("""COMPUTED_VALUE"""),43519.0)</f>
        <v>43519</v>
      </c>
      <c r="L63">
        <f t="shared" si="1"/>
        <v>184</v>
      </c>
      <c r="M63" s="7" t="s">
        <v>18</v>
      </c>
      <c r="N63" s="7" t="s">
        <v>19</v>
      </c>
      <c r="O63" s="7">
        <v>1.0</v>
      </c>
      <c r="Q63">
        <f t="shared" si="2"/>
        <v>27</v>
      </c>
    </row>
    <row r="64">
      <c r="A64" s="5" t="s">
        <v>123</v>
      </c>
      <c r="B64" s="6">
        <v>28000.0</v>
      </c>
      <c r="C64" s="7" t="s">
        <v>13</v>
      </c>
      <c r="D64" s="7">
        <v>4.3288382500031E13</v>
      </c>
      <c r="E64" s="7" t="s">
        <v>197</v>
      </c>
      <c r="F64" s="8">
        <v>43304.0</v>
      </c>
      <c r="G64" s="7" t="s">
        <v>15</v>
      </c>
      <c r="H64" s="7" t="s">
        <v>16</v>
      </c>
      <c r="I64" s="7" t="s">
        <v>125</v>
      </c>
      <c r="J64" s="8">
        <f>IFERROR(__xludf.DUMMYFUNCTION("SPLIT(I64,""_"")"),43304.0)</f>
        <v>43304</v>
      </c>
      <c r="K64" s="8">
        <f>IFERROR(__xludf.DUMMYFUNCTION("""COMPUTED_VALUE"""),43488.0)</f>
        <v>43488</v>
      </c>
      <c r="L64">
        <f t="shared" si="1"/>
        <v>184</v>
      </c>
      <c r="M64" s="7" t="s">
        <v>18</v>
      </c>
      <c r="N64" s="7" t="s">
        <v>19</v>
      </c>
      <c r="O64" s="7">
        <v>1.0</v>
      </c>
      <c r="Q64">
        <f t="shared" si="2"/>
        <v>27</v>
      </c>
    </row>
    <row r="65">
      <c r="A65" s="5" t="s">
        <v>198</v>
      </c>
      <c r="B65" s="6">
        <v>26000.0</v>
      </c>
      <c r="C65" s="7" t="s">
        <v>13</v>
      </c>
      <c r="D65" s="7">
        <v>5.33896825E8</v>
      </c>
      <c r="E65" s="7" t="s">
        <v>50</v>
      </c>
      <c r="F65" s="8">
        <v>43257.0</v>
      </c>
      <c r="G65" s="7" t="s">
        <v>199</v>
      </c>
      <c r="H65" s="7" t="s">
        <v>16</v>
      </c>
      <c r="I65" s="7" t="s">
        <v>200</v>
      </c>
      <c r="J65" s="8">
        <f>IFERROR(__xludf.DUMMYFUNCTION("SPLIT(I65,""_"")"),43257.0)</f>
        <v>43257</v>
      </c>
      <c r="K65" s="8">
        <f>IFERROR(__xludf.DUMMYFUNCTION("""COMPUTED_VALUE"""),43440.0)</f>
        <v>43440</v>
      </c>
      <c r="L65">
        <f t="shared" si="1"/>
        <v>183</v>
      </c>
      <c r="M65" s="7" t="s">
        <v>18</v>
      </c>
      <c r="N65" s="7" t="s">
        <v>19</v>
      </c>
      <c r="O65" s="7">
        <v>1.0</v>
      </c>
      <c r="Q65">
        <f t="shared" si="2"/>
        <v>27</v>
      </c>
    </row>
    <row r="66">
      <c r="A66" s="5" t="s">
        <v>201</v>
      </c>
      <c r="B66" s="6">
        <v>25000.0</v>
      </c>
      <c r="C66" s="7" t="s">
        <v>13</v>
      </c>
      <c r="D66" s="7">
        <v>4.3383539400027E13</v>
      </c>
      <c r="E66" s="7" t="s">
        <v>202</v>
      </c>
      <c r="F66" s="8">
        <v>43370.0</v>
      </c>
      <c r="G66" s="7" t="s">
        <v>203</v>
      </c>
      <c r="H66" s="7" t="s">
        <v>16</v>
      </c>
      <c r="I66" s="7" t="s">
        <v>204</v>
      </c>
      <c r="J66" s="8">
        <f>IFERROR(__xludf.DUMMYFUNCTION("SPLIT(I66,""_"")"),43370.0)</f>
        <v>43370</v>
      </c>
      <c r="K66" s="8">
        <f>IFERROR(__xludf.DUMMYFUNCTION("""COMPUTED_VALUE"""),43551.0)</f>
        <v>43551</v>
      </c>
      <c r="L66">
        <f t="shared" si="1"/>
        <v>181</v>
      </c>
      <c r="M66" s="7" t="s">
        <v>18</v>
      </c>
      <c r="N66" s="7" t="s">
        <v>19</v>
      </c>
      <c r="O66" s="7">
        <v>1.0</v>
      </c>
      <c r="Q66">
        <f t="shared" si="2"/>
        <v>26</v>
      </c>
    </row>
    <row r="67">
      <c r="A67" s="5" t="s">
        <v>205</v>
      </c>
      <c r="B67" s="6">
        <v>25000.0</v>
      </c>
      <c r="C67" s="7" t="s">
        <v>13</v>
      </c>
      <c r="D67" s="7">
        <v>4.3403882400042E13</v>
      </c>
      <c r="E67" s="7" t="s">
        <v>206</v>
      </c>
      <c r="F67" s="8">
        <v>43332.0</v>
      </c>
      <c r="G67" s="7" t="s">
        <v>203</v>
      </c>
      <c r="H67" s="7" t="s">
        <v>16</v>
      </c>
      <c r="I67" s="7" t="s">
        <v>207</v>
      </c>
      <c r="J67" s="8">
        <f>IFERROR(__xludf.DUMMYFUNCTION("SPLIT(I67,""_"")"),43332.0)</f>
        <v>43332</v>
      </c>
      <c r="K67" s="8">
        <f>IFERROR(__xludf.DUMMYFUNCTION("""COMPUTED_VALUE"""),43516.0)</f>
        <v>43516</v>
      </c>
      <c r="L67">
        <f t="shared" si="1"/>
        <v>184</v>
      </c>
      <c r="M67" s="7" t="s">
        <v>18</v>
      </c>
      <c r="N67" s="7" t="s">
        <v>19</v>
      </c>
      <c r="O67" s="7">
        <v>1.0</v>
      </c>
      <c r="Q67">
        <f t="shared" si="2"/>
        <v>27</v>
      </c>
    </row>
    <row r="68">
      <c r="A68" s="5" t="s">
        <v>208</v>
      </c>
      <c r="B68" s="6">
        <v>25000.0</v>
      </c>
      <c r="C68" s="7" t="s">
        <v>13</v>
      </c>
      <c r="D68" s="7">
        <v>3.4063725500027E13</v>
      </c>
      <c r="E68" s="7" t="s">
        <v>209</v>
      </c>
      <c r="F68" s="8">
        <v>43328.0</v>
      </c>
      <c r="G68" s="7" t="s">
        <v>15</v>
      </c>
      <c r="H68" s="7" t="s">
        <v>16</v>
      </c>
      <c r="I68" s="7" t="s">
        <v>210</v>
      </c>
      <c r="J68" s="8">
        <f>IFERROR(__xludf.DUMMYFUNCTION("SPLIT(I68,""_"")"),43328.0)</f>
        <v>43328</v>
      </c>
      <c r="K68" s="8">
        <f>IFERROR(__xludf.DUMMYFUNCTION("""COMPUTED_VALUE"""),43512.0)</f>
        <v>43512</v>
      </c>
      <c r="L68">
        <f t="shared" si="1"/>
        <v>184</v>
      </c>
      <c r="M68" s="7" t="s">
        <v>18</v>
      </c>
      <c r="N68" s="7" t="s">
        <v>19</v>
      </c>
      <c r="O68" s="7">
        <v>1.0</v>
      </c>
      <c r="Q68">
        <f t="shared" si="2"/>
        <v>27</v>
      </c>
    </row>
    <row r="69">
      <c r="A69" s="5" t="s">
        <v>211</v>
      </c>
      <c r="B69" s="6">
        <v>25000.0</v>
      </c>
      <c r="C69" s="7" t="s">
        <v>13</v>
      </c>
      <c r="D69" s="7">
        <v>8.2071933400014E13</v>
      </c>
      <c r="E69" s="7" t="s">
        <v>212</v>
      </c>
      <c r="F69" s="8">
        <v>43411.0</v>
      </c>
      <c r="G69" s="7" t="s">
        <v>15</v>
      </c>
      <c r="H69" s="7" t="s">
        <v>16</v>
      </c>
      <c r="I69" s="7" t="s">
        <v>192</v>
      </c>
      <c r="J69" s="8">
        <f>IFERROR(__xludf.DUMMYFUNCTION("SPLIT(I69,""_"")"),43411.0)</f>
        <v>43411</v>
      </c>
      <c r="K69" s="8">
        <f>IFERROR(__xludf.DUMMYFUNCTION("""COMPUTED_VALUE"""),43592.0)</f>
        <v>43592</v>
      </c>
      <c r="L69">
        <f t="shared" si="1"/>
        <v>181</v>
      </c>
      <c r="M69" s="7" t="s">
        <v>18</v>
      </c>
      <c r="N69" s="7" t="s">
        <v>19</v>
      </c>
      <c r="O69" s="7">
        <v>1.0</v>
      </c>
      <c r="Q69">
        <f t="shared" si="2"/>
        <v>26</v>
      </c>
    </row>
    <row r="70">
      <c r="A70" s="5" t="s">
        <v>213</v>
      </c>
      <c r="B70" s="6">
        <v>25000.0</v>
      </c>
      <c r="C70" s="7" t="s">
        <v>13</v>
      </c>
      <c r="D70" s="7">
        <v>8.0961975200011E13</v>
      </c>
      <c r="E70" s="7" t="s">
        <v>214</v>
      </c>
      <c r="F70" s="8">
        <v>43334.0</v>
      </c>
      <c r="G70" s="7" t="s">
        <v>15</v>
      </c>
      <c r="H70" s="7" t="s">
        <v>16</v>
      </c>
      <c r="I70" s="7" t="s">
        <v>215</v>
      </c>
      <c r="J70" s="8">
        <f>IFERROR(__xludf.DUMMYFUNCTION("SPLIT(I70,""_"")"),43334.0)</f>
        <v>43334</v>
      </c>
      <c r="K70" s="8">
        <f>IFERROR(__xludf.DUMMYFUNCTION("""COMPUTED_VALUE"""),43518.0)</f>
        <v>43518</v>
      </c>
      <c r="L70">
        <f t="shared" si="1"/>
        <v>184</v>
      </c>
      <c r="M70" s="7" t="s">
        <v>18</v>
      </c>
      <c r="N70" s="7" t="s">
        <v>19</v>
      </c>
      <c r="O70" s="7">
        <v>1.0</v>
      </c>
      <c r="Q70">
        <f t="shared" si="2"/>
        <v>27</v>
      </c>
    </row>
    <row r="71">
      <c r="A71" s="5" t="s">
        <v>216</v>
      </c>
      <c r="B71" s="6">
        <v>25000.0</v>
      </c>
      <c r="C71" s="7" t="s">
        <v>13</v>
      </c>
      <c r="D71" s="7">
        <v>3.7954994200025E13</v>
      </c>
      <c r="E71" s="7" t="s">
        <v>209</v>
      </c>
      <c r="F71" s="8">
        <v>43299.0</v>
      </c>
      <c r="G71" s="7" t="s">
        <v>15</v>
      </c>
      <c r="H71" s="7" t="s">
        <v>16</v>
      </c>
      <c r="I71" s="7" t="s">
        <v>160</v>
      </c>
      <c r="J71" s="8">
        <f>IFERROR(__xludf.DUMMYFUNCTION("SPLIT(I71,""_"")"),43299.0)</f>
        <v>43299</v>
      </c>
      <c r="K71" s="8">
        <f>IFERROR(__xludf.DUMMYFUNCTION("""COMPUTED_VALUE"""),43118.0)</f>
        <v>43118</v>
      </c>
      <c r="L71" t="str">
        <f t="shared" si="1"/>
        <v>#NUM!</v>
      </c>
      <c r="M71" s="7" t="s">
        <v>18</v>
      </c>
      <c r="N71" s="7" t="s">
        <v>19</v>
      </c>
      <c r="O71" s="7">
        <v>1.0</v>
      </c>
      <c r="Q71" t="str">
        <f t="shared" si="2"/>
        <v>#NUM!</v>
      </c>
    </row>
    <row r="72">
      <c r="A72" s="5" t="s">
        <v>217</v>
      </c>
      <c r="B72" s="6">
        <v>25000.0</v>
      </c>
      <c r="C72" s="7" t="s">
        <v>13</v>
      </c>
      <c r="D72" s="7">
        <v>4.9058526200069E13</v>
      </c>
      <c r="E72" s="7" t="s">
        <v>202</v>
      </c>
      <c r="F72" s="8">
        <v>43353.0</v>
      </c>
      <c r="G72" s="7" t="s">
        <v>203</v>
      </c>
      <c r="H72" s="7" t="s">
        <v>16</v>
      </c>
      <c r="I72" s="7" t="s">
        <v>37</v>
      </c>
      <c r="J72" s="8">
        <f>IFERROR(__xludf.DUMMYFUNCTION("SPLIT(I72,""_"")"),43353.0)</f>
        <v>43353</v>
      </c>
      <c r="K72" s="8">
        <f>IFERROR(__xludf.DUMMYFUNCTION("""COMPUTED_VALUE"""),43534.0)</f>
        <v>43534</v>
      </c>
      <c r="L72">
        <f t="shared" si="1"/>
        <v>181</v>
      </c>
      <c r="M72" s="7" t="s">
        <v>18</v>
      </c>
      <c r="N72" s="7" t="s">
        <v>19</v>
      </c>
      <c r="O72" s="7">
        <v>1.0</v>
      </c>
      <c r="Q72">
        <f t="shared" si="2"/>
        <v>26</v>
      </c>
    </row>
    <row r="73">
      <c r="A73" s="5" t="s">
        <v>171</v>
      </c>
      <c r="B73" s="6">
        <v>25000.0</v>
      </c>
      <c r="C73" s="7" t="s">
        <v>13</v>
      </c>
      <c r="D73" s="7">
        <v>3.4169319E8</v>
      </c>
      <c r="E73" s="7" t="s">
        <v>50</v>
      </c>
      <c r="F73" s="8">
        <v>43269.0</v>
      </c>
      <c r="G73" s="7" t="s">
        <v>218</v>
      </c>
      <c r="H73" s="7" t="s">
        <v>16</v>
      </c>
      <c r="I73" s="7" t="s">
        <v>52</v>
      </c>
      <c r="J73" s="8">
        <f>IFERROR(__xludf.DUMMYFUNCTION("SPLIT(I73,""_"")"),43269.0)</f>
        <v>43269</v>
      </c>
      <c r="K73" s="8">
        <f>IFERROR(__xludf.DUMMYFUNCTION("""COMPUTED_VALUE"""),43452.0)</f>
        <v>43452</v>
      </c>
      <c r="L73">
        <f t="shared" si="1"/>
        <v>183</v>
      </c>
      <c r="M73" s="7" t="s">
        <v>18</v>
      </c>
      <c r="N73" s="7" t="s">
        <v>19</v>
      </c>
      <c r="O73" s="7">
        <v>1.0</v>
      </c>
      <c r="Q73">
        <f t="shared" si="2"/>
        <v>27</v>
      </c>
    </row>
    <row r="74">
      <c r="A74" s="5" t="s">
        <v>219</v>
      </c>
      <c r="B74" s="6">
        <v>24176.0</v>
      </c>
      <c r="C74" s="7" t="s">
        <v>13</v>
      </c>
      <c r="D74" s="7">
        <v>8.25241318E8</v>
      </c>
      <c r="E74" s="7" t="s">
        <v>220</v>
      </c>
      <c r="F74" s="8">
        <v>43208.0</v>
      </c>
      <c r="G74" s="7" t="s">
        <v>15</v>
      </c>
      <c r="H74" s="7" t="s">
        <v>16</v>
      </c>
      <c r="I74" s="7" t="s">
        <v>221</v>
      </c>
      <c r="J74" s="8">
        <f>IFERROR(__xludf.DUMMYFUNCTION("SPLIT(I74,""_"")"),43208.0)</f>
        <v>43208</v>
      </c>
      <c r="K74" s="8">
        <f>IFERROR(__xludf.DUMMYFUNCTION("""COMPUTED_VALUE"""),43391.0)</f>
        <v>43391</v>
      </c>
      <c r="L74">
        <f t="shared" si="1"/>
        <v>183</v>
      </c>
      <c r="M74" s="7" t="s">
        <v>18</v>
      </c>
      <c r="N74" s="7" t="s">
        <v>19</v>
      </c>
      <c r="O74" s="7">
        <v>1.0</v>
      </c>
      <c r="Q74">
        <f t="shared" si="2"/>
        <v>27</v>
      </c>
    </row>
    <row r="75">
      <c r="A75" s="5" t="s">
        <v>222</v>
      </c>
      <c r="B75" s="6">
        <v>24000.0</v>
      </c>
      <c r="C75" s="7" t="s">
        <v>66</v>
      </c>
      <c r="D75" s="7">
        <v>8.203367330001E13</v>
      </c>
      <c r="E75" s="7" t="s">
        <v>223</v>
      </c>
      <c r="F75" s="8">
        <v>43339.0</v>
      </c>
      <c r="G75" s="7" t="s">
        <v>61</v>
      </c>
      <c r="H75" s="7" t="s">
        <v>16</v>
      </c>
      <c r="I75" s="7" t="s">
        <v>224</v>
      </c>
      <c r="J75" s="8">
        <f>IFERROR(__xludf.DUMMYFUNCTION("SPLIT(I75,""_"")"),43339.0)</f>
        <v>43339</v>
      </c>
      <c r="K75" s="8">
        <f>IFERROR(__xludf.DUMMYFUNCTION("""COMPUTED_VALUE"""),43523.0)</f>
        <v>43523</v>
      </c>
      <c r="L75">
        <f t="shared" si="1"/>
        <v>184</v>
      </c>
      <c r="M75" s="7" t="s">
        <v>18</v>
      </c>
      <c r="N75" s="7" t="s">
        <v>19</v>
      </c>
      <c r="O75" s="7">
        <v>1.0</v>
      </c>
      <c r="Q75">
        <f t="shared" si="2"/>
        <v>27</v>
      </c>
    </row>
    <row r="76">
      <c r="A76" s="5" t="s">
        <v>225</v>
      </c>
      <c r="B76" s="6">
        <v>23500.0</v>
      </c>
      <c r="C76" s="7" t="s">
        <v>13</v>
      </c>
      <c r="D76" s="7">
        <v>7.89145869E8</v>
      </c>
      <c r="E76" s="7" t="s">
        <v>189</v>
      </c>
      <c r="F76" s="8">
        <v>43255.0</v>
      </c>
      <c r="G76" s="7" t="s">
        <v>226</v>
      </c>
      <c r="H76" s="7" t="s">
        <v>16</v>
      </c>
      <c r="I76" s="7" t="s">
        <v>156</v>
      </c>
      <c r="J76" s="8">
        <f>IFERROR(__xludf.DUMMYFUNCTION("SPLIT(I76,""_"")"),43255.0)</f>
        <v>43255</v>
      </c>
      <c r="K76" s="8">
        <f>IFERROR(__xludf.DUMMYFUNCTION("""COMPUTED_VALUE"""),43438.0)</f>
        <v>43438</v>
      </c>
      <c r="L76">
        <f t="shared" si="1"/>
        <v>183</v>
      </c>
      <c r="M76" s="7" t="s">
        <v>18</v>
      </c>
      <c r="N76" s="7" t="s">
        <v>19</v>
      </c>
      <c r="O76" s="7">
        <v>1.0</v>
      </c>
      <c r="Q76">
        <f t="shared" si="2"/>
        <v>27</v>
      </c>
    </row>
    <row r="77">
      <c r="A77" s="5" t="s">
        <v>163</v>
      </c>
      <c r="B77" s="6">
        <v>20000.0</v>
      </c>
      <c r="C77" s="7" t="s">
        <v>13</v>
      </c>
      <c r="D77" s="7">
        <v>4.89563072E8</v>
      </c>
      <c r="E77" s="7" t="s">
        <v>189</v>
      </c>
      <c r="F77" s="8">
        <v>43255.0</v>
      </c>
      <c r="G77" s="7" t="s">
        <v>172</v>
      </c>
      <c r="H77" s="7" t="s">
        <v>16</v>
      </c>
      <c r="I77" s="7" t="s">
        <v>156</v>
      </c>
      <c r="J77" s="8">
        <f>IFERROR(__xludf.DUMMYFUNCTION("SPLIT(I77,""_"")"),43255.0)</f>
        <v>43255</v>
      </c>
      <c r="K77" s="8">
        <f>IFERROR(__xludf.DUMMYFUNCTION("""COMPUTED_VALUE"""),43438.0)</f>
        <v>43438</v>
      </c>
      <c r="L77">
        <f t="shared" si="1"/>
        <v>183</v>
      </c>
      <c r="M77" s="7" t="s">
        <v>18</v>
      </c>
      <c r="N77" s="7" t="s">
        <v>19</v>
      </c>
      <c r="O77" s="7">
        <v>1.0</v>
      </c>
      <c r="Q77">
        <f t="shared" si="2"/>
        <v>27</v>
      </c>
    </row>
    <row r="78">
      <c r="A78" s="5" t="s">
        <v>154</v>
      </c>
      <c r="B78" s="6">
        <v>20000.0</v>
      </c>
      <c r="C78" s="7" t="s">
        <v>13</v>
      </c>
      <c r="D78" s="7">
        <v>5.22896091E8</v>
      </c>
      <c r="E78" s="7" t="s">
        <v>227</v>
      </c>
      <c r="F78" s="8">
        <v>43271.0</v>
      </c>
      <c r="G78" s="7" t="s">
        <v>228</v>
      </c>
      <c r="H78" s="7" t="s">
        <v>16</v>
      </c>
      <c r="I78" s="7" t="s">
        <v>34</v>
      </c>
      <c r="J78" s="8">
        <f>IFERROR(__xludf.DUMMYFUNCTION("SPLIT(I78,""_"")"),43271.0)</f>
        <v>43271</v>
      </c>
      <c r="K78" s="8">
        <f>IFERROR(__xludf.DUMMYFUNCTION("""COMPUTED_VALUE"""),43454.0)</f>
        <v>43454</v>
      </c>
      <c r="L78">
        <f t="shared" si="1"/>
        <v>183</v>
      </c>
      <c r="M78" s="7" t="s">
        <v>18</v>
      </c>
      <c r="N78" s="7" t="s">
        <v>19</v>
      </c>
      <c r="O78" s="7">
        <v>1.0</v>
      </c>
      <c r="Q78">
        <f t="shared" si="2"/>
        <v>27</v>
      </c>
    </row>
    <row r="79">
      <c r="A79" s="5" t="s">
        <v>229</v>
      </c>
      <c r="B79" s="6">
        <v>20000.0</v>
      </c>
      <c r="C79" s="7" t="s">
        <v>13</v>
      </c>
      <c r="D79" s="7">
        <v>4.20089567E8</v>
      </c>
      <c r="E79" s="7" t="s">
        <v>50</v>
      </c>
      <c r="F79" s="8">
        <v>43269.0</v>
      </c>
      <c r="G79" s="7" t="s">
        <v>230</v>
      </c>
      <c r="H79" s="7" t="s">
        <v>16</v>
      </c>
      <c r="I79" s="7" t="s">
        <v>52</v>
      </c>
      <c r="J79" s="8">
        <f>IFERROR(__xludf.DUMMYFUNCTION("SPLIT(I79,""_"")"),43269.0)</f>
        <v>43269</v>
      </c>
      <c r="K79" s="8">
        <f>IFERROR(__xludf.DUMMYFUNCTION("""COMPUTED_VALUE"""),43452.0)</f>
        <v>43452</v>
      </c>
      <c r="L79">
        <f t="shared" si="1"/>
        <v>183</v>
      </c>
      <c r="M79" s="7" t="s">
        <v>18</v>
      </c>
      <c r="N79" s="7" t="s">
        <v>19</v>
      </c>
      <c r="O79" s="7">
        <v>1.0</v>
      </c>
      <c r="Q79">
        <f t="shared" si="2"/>
        <v>27</v>
      </c>
    </row>
    <row r="80">
      <c r="A80" s="5" t="s">
        <v>217</v>
      </c>
      <c r="B80" s="6">
        <v>20000.0</v>
      </c>
      <c r="C80" s="7" t="s">
        <v>13</v>
      </c>
      <c r="D80" s="7">
        <v>4.9058526200069E13</v>
      </c>
      <c r="E80" s="7" t="s">
        <v>231</v>
      </c>
      <c r="F80" s="8">
        <v>43353.0</v>
      </c>
      <c r="G80" s="7" t="s">
        <v>232</v>
      </c>
      <c r="H80" s="7" t="s">
        <v>16</v>
      </c>
      <c r="I80" s="7" t="s">
        <v>37</v>
      </c>
      <c r="J80" s="8">
        <f>IFERROR(__xludf.DUMMYFUNCTION("SPLIT(I80,""_"")"),43353.0)</f>
        <v>43353</v>
      </c>
      <c r="K80" s="8">
        <f>IFERROR(__xludf.DUMMYFUNCTION("""COMPUTED_VALUE"""),43534.0)</f>
        <v>43534</v>
      </c>
      <c r="L80">
        <f t="shared" si="1"/>
        <v>181</v>
      </c>
      <c r="M80" s="7" t="s">
        <v>18</v>
      </c>
      <c r="N80" s="7" t="s">
        <v>19</v>
      </c>
      <c r="O80" s="7">
        <v>1.0</v>
      </c>
      <c r="Q80">
        <f t="shared" si="2"/>
        <v>26</v>
      </c>
    </row>
    <row r="81">
      <c r="A81" s="5" t="s">
        <v>233</v>
      </c>
      <c r="B81" s="6">
        <v>19025.0</v>
      </c>
      <c r="C81" s="7" t="s">
        <v>13</v>
      </c>
      <c r="D81" s="7">
        <v>8.2239982E8</v>
      </c>
      <c r="E81" s="7" t="s">
        <v>189</v>
      </c>
      <c r="F81" s="8">
        <v>43247.0</v>
      </c>
      <c r="G81" s="7" t="s">
        <v>172</v>
      </c>
      <c r="H81" s="7" t="s">
        <v>16</v>
      </c>
      <c r="I81" s="7" t="s">
        <v>234</v>
      </c>
      <c r="J81" s="8">
        <f>IFERROR(__xludf.DUMMYFUNCTION("SPLIT(I81,""_"")"),43247.0)</f>
        <v>43247</v>
      </c>
      <c r="K81" s="8">
        <f>IFERROR(__xludf.DUMMYFUNCTION("""COMPUTED_VALUE"""),43431.0)</f>
        <v>43431</v>
      </c>
      <c r="L81">
        <f t="shared" si="1"/>
        <v>184</v>
      </c>
      <c r="M81" s="7" t="s">
        <v>18</v>
      </c>
      <c r="N81" s="7" t="s">
        <v>19</v>
      </c>
      <c r="O81" s="7">
        <v>1.0</v>
      </c>
      <c r="Q81">
        <f t="shared" si="2"/>
        <v>27</v>
      </c>
    </row>
    <row r="82">
      <c r="A82" s="5" t="s">
        <v>235</v>
      </c>
      <c r="B82" s="6">
        <v>17940.0</v>
      </c>
      <c r="C82" s="7" t="s">
        <v>13</v>
      </c>
      <c r="D82" s="7">
        <v>5.3454877100037E13</v>
      </c>
      <c r="E82" s="7" t="s">
        <v>236</v>
      </c>
      <c r="F82" s="8">
        <v>43329.0</v>
      </c>
      <c r="G82" s="7" t="s">
        <v>237</v>
      </c>
      <c r="H82" s="7" t="s">
        <v>16</v>
      </c>
      <c r="I82" s="7" t="s">
        <v>238</v>
      </c>
      <c r="J82" s="8">
        <f>IFERROR(__xludf.DUMMYFUNCTION("SPLIT(I82,""_"")"),43329.0)</f>
        <v>43329</v>
      </c>
      <c r="K82" s="8">
        <f>IFERROR(__xludf.DUMMYFUNCTION("""COMPUTED_VALUE"""),43513.0)</f>
        <v>43513</v>
      </c>
      <c r="L82">
        <f t="shared" si="1"/>
        <v>184</v>
      </c>
      <c r="M82" s="7" t="s">
        <v>18</v>
      </c>
      <c r="N82" s="7" t="s">
        <v>19</v>
      </c>
      <c r="O82" s="7">
        <v>1.0</v>
      </c>
      <c r="Q82">
        <f t="shared" si="2"/>
        <v>27</v>
      </c>
    </row>
    <row r="83">
      <c r="A83" s="5" t="s">
        <v>239</v>
      </c>
      <c r="B83" s="6">
        <v>17500.0</v>
      </c>
      <c r="C83" s="7" t="s">
        <v>13</v>
      </c>
      <c r="D83" s="7">
        <v>3.83890233E8</v>
      </c>
      <c r="E83" s="7" t="s">
        <v>240</v>
      </c>
      <c r="F83" s="8">
        <v>43248.0</v>
      </c>
      <c r="G83" s="7" t="s">
        <v>241</v>
      </c>
      <c r="H83" s="7" t="s">
        <v>16</v>
      </c>
      <c r="I83" s="7" t="s">
        <v>242</v>
      </c>
      <c r="J83" s="8">
        <f>IFERROR(__xludf.DUMMYFUNCTION("SPLIT(I83,""_"")"),43248.0)</f>
        <v>43248</v>
      </c>
      <c r="K83" s="8">
        <f>IFERROR(__xludf.DUMMYFUNCTION("""COMPUTED_VALUE"""),43432.0)</f>
        <v>43432</v>
      </c>
      <c r="L83">
        <f t="shared" si="1"/>
        <v>184</v>
      </c>
      <c r="M83" s="7" t="s">
        <v>18</v>
      </c>
      <c r="N83" s="7" t="s">
        <v>19</v>
      </c>
      <c r="O83" s="7">
        <v>1.0</v>
      </c>
      <c r="Q83">
        <f t="shared" si="2"/>
        <v>27</v>
      </c>
    </row>
    <row r="84">
      <c r="A84" s="5" t="s">
        <v>239</v>
      </c>
      <c r="B84" s="6">
        <v>17000.0</v>
      </c>
      <c r="C84" s="7" t="s">
        <v>13</v>
      </c>
      <c r="D84" s="7">
        <v>3.83890233E8</v>
      </c>
      <c r="E84" s="7" t="s">
        <v>189</v>
      </c>
      <c r="F84" s="8">
        <v>43252.0</v>
      </c>
      <c r="G84" s="7" t="s">
        <v>172</v>
      </c>
      <c r="H84" s="7" t="s">
        <v>16</v>
      </c>
      <c r="I84" s="7" t="s">
        <v>133</v>
      </c>
      <c r="J84" s="8">
        <f>IFERROR(__xludf.DUMMYFUNCTION("SPLIT(I84,""_"")"),43252.0)</f>
        <v>43252</v>
      </c>
      <c r="K84" s="8">
        <f>IFERROR(__xludf.DUMMYFUNCTION("""COMPUTED_VALUE"""),43435.0)</f>
        <v>43435</v>
      </c>
      <c r="L84">
        <f t="shared" si="1"/>
        <v>183</v>
      </c>
      <c r="M84" s="7" t="s">
        <v>18</v>
      </c>
      <c r="N84" s="7" t="s">
        <v>19</v>
      </c>
      <c r="O84" s="7">
        <v>1.0</v>
      </c>
      <c r="Q84">
        <f t="shared" si="2"/>
        <v>27</v>
      </c>
    </row>
    <row r="85">
      <c r="A85" s="5" t="s">
        <v>243</v>
      </c>
      <c r="B85" s="6">
        <v>15200.0</v>
      </c>
      <c r="C85" s="7" t="s">
        <v>13</v>
      </c>
      <c r="D85" s="7">
        <v>4.84382189E8</v>
      </c>
      <c r="E85" s="7" t="s">
        <v>50</v>
      </c>
      <c r="F85" s="8">
        <v>43279.0</v>
      </c>
      <c r="G85" s="7" t="s">
        <v>244</v>
      </c>
      <c r="H85" s="7" t="s">
        <v>16</v>
      </c>
      <c r="I85" s="7" t="s">
        <v>153</v>
      </c>
      <c r="J85" s="8">
        <f>IFERROR(__xludf.DUMMYFUNCTION("SPLIT(I85,""_"")"),43279.0)</f>
        <v>43279</v>
      </c>
      <c r="K85" s="8">
        <f>IFERROR(__xludf.DUMMYFUNCTION("""COMPUTED_VALUE"""),43462.0)</f>
        <v>43462</v>
      </c>
      <c r="L85">
        <f t="shared" si="1"/>
        <v>183</v>
      </c>
      <c r="M85" s="7" t="s">
        <v>18</v>
      </c>
      <c r="N85" s="7" t="s">
        <v>19</v>
      </c>
      <c r="O85" s="7">
        <v>1.0</v>
      </c>
      <c r="Q85">
        <f t="shared" si="2"/>
        <v>27</v>
      </c>
    </row>
    <row r="86">
      <c r="A86" s="5" t="s">
        <v>163</v>
      </c>
      <c r="B86" s="6">
        <v>15000.0</v>
      </c>
      <c r="C86" s="7" t="s">
        <v>13</v>
      </c>
      <c r="D86" s="7">
        <v>4.895630720002E13</v>
      </c>
      <c r="E86" s="7" t="s">
        <v>168</v>
      </c>
      <c r="F86" s="8">
        <v>43287.0</v>
      </c>
      <c r="G86" s="7" t="s">
        <v>245</v>
      </c>
      <c r="H86" s="7" t="s">
        <v>16</v>
      </c>
      <c r="I86" s="7" t="s">
        <v>246</v>
      </c>
      <c r="J86" s="8">
        <f>IFERROR(__xludf.DUMMYFUNCTION("SPLIT(I86,""_"")"),43287.0)</f>
        <v>43287</v>
      </c>
      <c r="K86" s="8">
        <f>IFERROR(__xludf.DUMMYFUNCTION("""COMPUTED_VALUE"""),43471.0)</f>
        <v>43471</v>
      </c>
      <c r="L86">
        <f t="shared" si="1"/>
        <v>184</v>
      </c>
      <c r="M86" s="7" t="s">
        <v>18</v>
      </c>
      <c r="N86" s="7" t="s">
        <v>19</v>
      </c>
      <c r="O86" s="7">
        <v>1.0</v>
      </c>
      <c r="Q86">
        <f t="shared" si="2"/>
        <v>27</v>
      </c>
    </row>
    <row r="87">
      <c r="A87" s="5" t="s">
        <v>146</v>
      </c>
      <c r="B87" s="6">
        <v>15000.0</v>
      </c>
      <c r="C87" s="7" t="s">
        <v>66</v>
      </c>
      <c r="D87" s="7">
        <v>5.2539664400011E13</v>
      </c>
      <c r="E87" s="7" t="s">
        <v>147</v>
      </c>
      <c r="F87" s="8">
        <v>43418.0</v>
      </c>
      <c r="G87" s="7" t="s">
        <v>247</v>
      </c>
      <c r="H87" s="7" t="s">
        <v>16</v>
      </c>
      <c r="I87" s="7" t="s">
        <v>148</v>
      </c>
      <c r="J87" s="8">
        <f>IFERROR(__xludf.DUMMYFUNCTION("SPLIT(I87,""_"")"),43418.0)</f>
        <v>43418</v>
      </c>
      <c r="K87" s="8">
        <f>IFERROR(__xludf.DUMMYFUNCTION("""COMPUTED_VALUE"""),43599.0)</f>
        <v>43599</v>
      </c>
      <c r="L87">
        <f t="shared" si="1"/>
        <v>181</v>
      </c>
      <c r="M87" s="7" t="s">
        <v>18</v>
      </c>
      <c r="N87" s="7" t="s">
        <v>19</v>
      </c>
      <c r="O87" s="7">
        <v>1.0</v>
      </c>
      <c r="Q87">
        <f t="shared" si="2"/>
        <v>26</v>
      </c>
    </row>
    <row r="88">
      <c r="A88" s="5" t="s">
        <v>248</v>
      </c>
      <c r="B88" s="6">
        <v>15000.0</v>
      </c>
      <c r="C88" s="7" t="s">
        <v>13</v>
      </c>
      <c r="D88" s="7">
        <v>3.28480082E8</v>
      </c>
      <c r="E88" s="7" t="s">
        <v>50</v>
      </c>
      <c r="F88" s="8">
        <v>43252.0</v>
      </c>
      <c r="G88" s="7" t="s">
        <v>249</v>
      </c>
      <c r="H88" s="7" t="s">
        <v>16</v>
      </c>
      <c r="I88" s="7" t="s">
        <v>133</v>
      </c>
      <c r="J88" s="8">
        <f>IFERROR(__xludf.DUMMYFUNCTION("SPLIT(I88,""_"")"),43252.0)</f>
        <v>43252</v>
      </c>
      <c r="K88" s="8">
        <f>IFERROR(__xludf.DUMMYFUNCTION("""COMPUTED_VALUE"""),43435.0)</f>
        <v>43435</v>
      </c>
      <c r="L88">
        <f t="shared" si="1"/>
        <v>183</v>
      </c>
      <c r="M88" s="7" t="s">
        <v>18</v>
      </c>
      <c r="N88" s="7" t="s">
        <v>19</v>
      </c>
      <c r="O88" s="7">
        <v>1.0</v>
      </c>
      <c r="Q88">
        <f t="shared" si="2"/>
        <v>27</v>
      </c>
    </row>
    <row r="89">
      <c r="A89" s="5" t="s">
        <v>250</v>
      </c>
      <c r="B89" s="6">
        <v>15000.0</v>
      </c>
      <c r="C89" s="7" t="s">
        <v>13</v>
      </c>
      <c r="D89" s="7">
        <v>3.9856806300059E13</v>
      </c>
      <c r="E89" s="7" t="s">
        <v>251</v>
      </c>
      <c r="F89" s="8">
        <v>43339.0</v>
      </c>
      <c r="G89" s="7" t="s">
        <v>252</v>
      </c>
      <c r="H89" s="7" t="s">
        <v>16</v>
      </c>
      <c r="I89" s="7" t="s">
        <v>224</v>
      </c>
      <c r="J89" s="8">
        <f>IFERROR(__xludf.DUMMYFUNCTION("SPLIT(I89,""_"")"),43339.0)</f>
        <v>43339</v>
      </c>
      <c r="K89" s="8">
        <f>IFERROR(__xludf.DUMMYFUNCTION("""COMPUTED_VALUE"""),43523.0)</f>
        <v>43523</v>
      </c>
      <c r="L89">
        <f t="shared" si="1"/>
        <v>184</v>
      </c>
      <c r="M89" s="7" t="s">
        <v>18</v>
      </c>
      <c r="N89" s="7" t="s">
        <v>19</v>
      </c>
      <c r="O89" s="7">
        <v>1.0</v>
      </c>
      <c r="Q89">
        <f t="shared" si="2"/>
        <v>27</v>
      </c>
    </row>
    <row r="90">
      <c r="A90" s="5" t="s">
        <v>253</v>
      </c>
      <c r="B90" s="6">
        <v>15000.0</v>
      </c>
      <c r="C90" s="7" t="s">
        <v>13</v>
      </c>
      <c r="D90" s="7">
        <v>4.3434085700037E13</v>
      </c>
      <c r="E90" s="7" t="s">
        <v>50</v>
      </c>
      <c r="F90" s="8">
        <v>43300.0</v>
      </c>
      <c r="G90" s="7" t="s">
        <v>15</v>
      </c>
      <c r="H90" s="7" t="s">
        <v>16</v>
      </c>
      <c r="I90" s="7" t="s">
        <v>254</v>
      </c>
      <c r="J90" s="8">
        <f>IFERROR(__xludf.DUMMYFUNCTION("SPLIT(I90,""_"")"),43300.0)</f>
        <v>43300</v>
      </c>
      <c r="K90" s="8">
        <f>IFERROR(__xludf.DUMMYFUNCTION("""COMPUTED_VALUE"""),43119.0)</f>
        <v>43119</v>
      </c>
      <c r="L90" t="str">
        <f t="shared" si="1"/>
        <v>#NUM!</v>
      </c>
      <c r="M90" s="7" t="s">
        <v>18</v>
      </c>
      <c r="N90" s="7" t="s">
        <v>19</v>
      </c>
      <c r="O90" s="7">
        <v>1.0</v>
      </c>
      <c r="Q90" t="str">
        <f t="shared" si="2"/>
        <v>#NUM!</v>
      </c>
    </row>
    <row r="91">
      <c r="A91" s="5" t="s">
        <v>255</v>
      </c>
      <c r="B91" s="6">
        <v>15000.0</v>
      </c>
      <c r="C91" s="7" t="s">
        <v>13</v>
      </c>
      <c r="D91" s="7">
        <v>3.50118865E8</v>
      </c>
      <c r="E91" s="7" t="s">
        <v>50</v>
      </c>
      <c r="F91" s="8">
        <v>43269.0</v>
      </c>
      <c r="G91" s="7" t="s">
        <v>256</v>
      </c>
      <c r="H91" s="7" t="s">
        <v>16</v>
      </c>
      <c r="I91" s="7" t="s">
        <v>52</v>
      </c>
      <c r="J91" s="8">
        <f>IFERROR(__xludf.DUMMYFUNCTION("SPLIT(I91,""_"")"),43269.0)</f>
        <v>43269</v>
      </c>
      <c r="K91" s="8">
        <f>IFERROR(__xludf.DUMMYFUNCTION("""COMPUTED_VALUE"""),43452.0)</f>
        <v>43452</v>
      </c>
      <c r="L91">
        <f t="shared" si="1"/>
        <v>183</v>
      </c>
      <c r="M91" s="7" t="s">
        <v>18</v>
      </c>
      <c r="N91" s="7" t="s">
        <v>19</v>
      </c>
      <c r="O91" s="7">
        <v>1.0</v>
      </c>
      <c r="Q91">
        <f t="shared" si="2"/>
        <v>27</v>
      </c>
    </row>
    <row r="92">
      <c r="A92" s="5" t="s">
        <v>257</v>
      </c>
      <c r="B92" s="6">
        <v>15000.0</v>
      </c>
      <c r="C92" s="7" t="s">
        <v>13</v>
      </c>
      <c r="D92" s="7">
        <v>8.0910251E8</v>
      </c>
      <c r="E92" s="7" t="s">
        <v>189</v>
      </c>
      <c r="F92" s="8">
        <v>43262.0</v>
      </c>
      <c r="G92" s="7" t="s">
        <v>172</v>
      </c>
      <c r="H92" s="7" t="s">
        <v>16</v>
      </c>
      <c r="I92" s="7" t="s">
        <v>258</v>
      </c>
      <c r="J92" s="8">
        <f>IFERROR(__xludf.DUMMYFUNCTION("SPLIT(I92,""_"")"),43262.0)</f>
        <v>43262</v>
      </c>
      <c r="K92" s="8">
        <f>IFERROR(__xludf.DUMMYFUNCTION("""COMPUTED_VALUE"""),43445.0)</f>
        <v>43445</v>
      </c>
      <c r="L92">
        <f t="shared" si="1"/>
        <v>183</v>
      </c>
      <c r="M92" s="7" t="s">
        <v>18</v>
      </c>
      <c r="N92" s="7" t="s">
        <v>19</v>
      </c>
      <c r="O92" s="7">
        <v>1.0</v>
      </c>
      <c r="Q92">
        <f t="shared" si="2"/>
        <v>27</v>
      </c>
    </row>
    <row r="93">
      <c r="A93" s="5" t="s">
        <v>198</v>
      </c>
      <c r="B93" s="6">
        <v>15000.0</v>
      </c>
      <c r="C93" s="7" t="s">
        <v>13</v>
      </c>
      <c r="D93" s="7">
        <v>5.33896825E8</v>
      </c>
      <c r="E93" s="7" t="s">
        <v>259</v>
      </c>
      <c r="F93" s="8">
        <v>43222.0</v>
      </c>
      <c r="G93" s="7" t="s">
        <v>260</v>
      </c>
      <c r="H93" s="7" t="s">
        <v>16</v>
      </c>
      <c r="I93" s="7" t="s">
        <v>261</v>
      </c>
      <c r="J93" s="8">
        <f>IFERROR(__xludf.DUMMYFUNCTION("SPLIT(I93,""_"")"),43222.0)</f>
        <v>43222</v>
      </c>
      <c r="K93" s="8">
        <f>IFERROR(__xludf.DUMMYFUNCTION("""COMPUTED_VALUE"""),43406.0)</f>
        <v>43406</v>
      </c>
      <c r="L93">
        <f t="shared" si="1"/>
        <v>184</v>
      </c>
      <c r="M93" s="7" t="s">
        <v>18</v>
      </c>
      <c r="N93" s="7" t="s">
        <v>19</v>
      </c>
      <c r="O93" s="7">
        <v>1.0</v>
      </c>
      <c r="Q93">
        <f t="shared" si="2"/>
        <v>27</v>
      </c>
    </row>
    <row r="94">
      <c r="A94" s="5" t="s">
        <v>262</v>
      </c>
      <c r="B94" s="6">
        <v>14825.0</v>
      </c>
      <c r="C94" s="7" t="s">
        <v>13</v>
      </c>
      <c r="D94" s="7">
        <v>8.0294758E8</v>
      </c>
      <c r="E94" s="7" t="s">
        <v>263</v>
      </c>
      <c r="F94" s="8">
        <v>43269.0</v>
      </c>
      <c r="G94" s="7" t="s">
        <v>264</v>
      </c>
      <c r="H94" s="7" t="s">
        <v>16</v>
      </c>
      <c r="I94" s="7" t="s">
        <v>52</v>
      </c>
      <c r="J94" s="8">
        <f>IFERROR(__xludf.DUMMYFUNCTION("SPLIT(I94,""_"")"),43269.0)</f>
        <v>43269</v>
      </c>
      <c r="K94" s="8">
        <f>IFERROR(__xludf.DUMMYFUNCTION("""COMPUTED_VALUE"""),43452.0)</f>
        <v>43452</v>
      </c>
      <c r="L94">
        <f t="shared" si="1"/>
        <v>183</v>
      </c>
      <c r="M94" s="7" t="s">
        <v>18</v>
      </c>
      <c r="N94" s="7" t="s">
        <v>19</v>
      </c>
      <c r="O94" s="7">
        <v>1.0</v>
      </c>
      <c r="Q94">
        <f t="shared" si="2"/>
        <v>27</v>
      </c>
    </row>
    <row r="95">
      <c r="A95" s="5" t="s">
        <v>265</v>
      </c>
      <c r="B95" s="6">
        <v>14250.0</v>
      </c>
      <c r="C95" s="7" t="s">
        <v>13</v>
      </c>
      <c r="D95" s="7">
        <v>4.9848483100033E13</v>
      </c>
      <c r="E95" s="7" t="s">
        <v>266</v>
      </c>
      <c r="F95" s="8">
        <v>43391.0</v>
      </c>
      <c r="G95" s="7" t="s">
        <v>15</v>
      </c>
      <c r="H95" s="7" t="s">
        <v>16</v>
      </c>
      <c r="I95" s="7" t="s">
        <v>267</v>
      </c>
      <c r="J95" s="8">
        <f>IFERROR(__xludf.DUMMYFUNCTION("SPLIT(I95,""_"")"),43391.0)</f>
        <v>43391</v>
      </c>
      <c r="K95" s="8">
        <f>IFERROR(__xludf.DUMMYFUNCTION("""COMPUTED_VALUE"""),43573.0)</f>
        <v>43573</v>
      </c>
      <c r="L95">
        <f t="shared" si="1"/>
        <v>182</v>
      </c>
      <c r="M95" s="7" t="s">
        <v>18</v>
      </c>
      <c r="N95" s="7" t="s">
        <v>19</v>
      </c>
      <c r="O95" s="7">
        <v>1.0</v>
      </c>
      <c r="Q95">
        <f t="shared" si="2"/>
        <v>26</v>
      </c>
    </row>
    <row r="96">
      <c r="A96" s="5" t="s">
        <v>268</v>
      </c>
      <c r="B96" s="6">
        <v>14250.0</v>
      </c>
      <c r="C96" s="7" t="s">
        <v>13</v>
      </c>
      <c r="D96" s="7">
        <v>8.312204960001E13</v>
      </c>
      <c r="E96" s="7" t="s">
        <v>269</v>
      </c>
      <c r="F96" s="8">
        <v>43419.0</v>
      </c>
      <c r="G96" s="7" t="s">
        <v>270</v>
      </c>
      <c r="H96" s="7" t="s">
        <v>16</v>
      </c>
      <c r="I96" s="7" t="s">
        <v>271</v>
      </c>
      <c r="J96" s="8">
        <f>IFERROR(__xludf.DUMMYFUNCTION("SPLIT(I96,""_"")"),43419.0)</f>
        <v>43419</v>
      </c>
      <c r="K96" s="8">
        <f>IFERROR(__xludf.DUMMYFUNCTION("""COMPUTED_VALUE"""),43600.0)</f>
        <v>43600</v>
      </c>
      <c r="L96">
        <f t="shared" si="1"/>
        <v>181</v>
      </c>
      <c r="M96" s="7" t="s">
        <v>18</v>
      </c>
      <c r="N96" s="7" t="s">
        <v>19</v>
      </c>
      <c r="O96" s="7">
        <v>1.0</v>
      </c>
      <c r="Q96">
        <f t="shared" si="2"/>
        <v>26</v>
      </c>
    </row>
    <row r="97">
      <c r="A97" s="5" t="s">
        <v>205</v>
      </c>
      <c r="B97" s="6">
        <v>14000.0</v>
      </c>
      <c r="C97" s="7" t="s">
        <v>13</v>
      </c>
      <c r="D97" s="7">
        <v>4.3403882400042E13</v>
      </c>
      <c r="E97" s="7" t="s">
        <v>272</v>
      </c>
      <c r="F97" s="8">
        <v>43420.0</v>
      </c>
      <c r="G97" s="7" t="s">
        <v>273</v>
      </c>
      <c r="H97" s="7" t="s">
        <v>16</v>
      </c>
      <c r="I97" s="7" t="s">
        <v>274</v>
      </c>
      <c r="J97" s="8">
        <f>IFERROR(__xludf.DUMMYFUNCTION("SPLIT(I97,""_"")"),43420.0)</f>
        <v>43420</v>
      </c>
      <c r="K97" s="8">
        <f>IFERROR(__xludf.DUMMYFUNCTION("""COMPUTED_VALUE"""),43601.0)</f>
        <v>43601</v>
      </c>
      <c r="L97">
        <f t="shared" si="1"/>
        <v>181</v>
      </c>
      <c r="M97" s="7" t="s">
        <v>18</v>
      </c>
      <c r="N97" s="7" t="s">
        <v>19</v>
      </c>
      <c r="O97" s="7">
        <v>1.0</v>
      </c>
      <c r="Q97">
        <f t="shared" si="2"/>
        <v>26</v>
      </c>
    </row>
    <row r="98">
      <c r="A98" s="5" t="s">
        <v>275</v>
      </c>
      <c r="B98" s="6">
        <v>14000.0</v>
      </c>
      <c r="C98" s="7" t="s">
        <v>13</v>
      </c>
      <c r="D98" s="7">
        <v>8.09584576E8</v>
      </c>
      <c r="E98" s="7" t="s">
        <v>189</v>
      </c>
      <c r="F98" s="8">
        <v>43252.0</v>
      </c>
      <c r="G98" s="7" t="s">
        <v>172</v>
      </c>
      <c r="H98" s="7" t="s">
        <v>16</v>
      </c>
      <c r="I98" s="7" t="s">
        <v>133</v>
      </c>
      <c r="J98" s="8">
        <f>IFERROR(__xludf.DUMMYFUNCTION("SPLIT(I98,""_"")"),43252.0)</f>
        <v>43252</v>
      </c>
      <c r="K98" s="8">
        <f>IFERROR(__xludf.DUMMYFUNCTION("""COMPUTED_VALUE"""),43435.0)</f>
        <v>43435</v>
      </c>
      <c r="L98">
        <f t="shared" si="1"/>
        <v>183</v>
      </c>
      <c r="M98" s="7" t="s">
        <v>18</v>
      </c>
      <c r="N98" s="7" t="s">
        <v>19</v>
      </c>
      <c r="O98" s="7">
        <v>1.0</v>
      </c>
      <c r="Q98">
        <f t="shared" si="2"/>
        <v>27</v>
      </c>
    </row>
    <row r="99">
      <c r="A99" s="5" t="s">
        <v>120</v>
      </c>
      <c r="B99" s="6">
        <v>13538.0</v>
      </c>
      <c r="C99" s="7" t="s">
        <v>13</v>
      </c>
      <c r="D99" s="7">
        <v>8.0127165100011E13</v>
      </c>
      <c r="E99" s="7" t="s">
        <v>276</v>
      </c>
      <c r="F99" s="8">
        <v>43298.0</v>
      </c>
      <c r="G99" s="7" t="s">
        <v>277</v>
      </c>
      <c r="H99" s="7" t="s">
        <v>16</v>
      </c>
      <c r="I99" s="7" t="s">
        <v>278</v>
      </c>
      <c r="J99" s="8">
        <f>IFERROR(__xludf.DUMMYFUNCTION("SPLIT(I99,""_"")"),43298.0)</f>
        <v>43298</v>
      </c>
      <c r="K99" s="8">
        <f>IFERROR(__xludf.DUMMYFUNCTION("""COMPUTED_VALUE"""),43482.0)</f>
        <v>43482</v>
      </c>
      <c r="L99">
        <f t="shared" si="1"/>
        <v>184</v>
      </c>
      <c r="M99" s="7" t="s">
        <v>18</v>
      </c>
      <c r="N99" s="7" t="s">
        <v>19</v>
      </c>
      <c r="O99" s="7">
        <v>1.0</v>
      </c>
      <c r="Q99">
        <f t="shared" si="2"/>
        <v>27</v>
      </c>
    </row>
    <row r="100">
      <c r="A100" s="5" t="s">
        <v>83</v>
      </c>
      <c r="B100" s="6">
        <v>13000.0</v>
      </c>
      <c r="C100" s="7" t="s">
        <v>66</v>
      </c>
      <c r="D100" s="7">
        <v>4.8856661300037E13</v>
      </c>
      <c r="E100" s="7" t="s">
        <v>194</v>
      </c>
      <c r="F100" s="8">
        <v>43335.0</v>
      </c>
      <c r="G100" s="7" t="s">
        <v>195</v>
      </c>
      <c r="H100" s="7" t="s">
        <v>16</v>
      </c>
      <c r="I100" s="7" t="s">
        <v>196</v>
      </c>
      <c r="J100" s="8">
        <f>IFERROR(__xludf.DUMMYFUNCTION("SPLIT(I100,""_"")"),43335.0)</f>
        <v>43335</v>
      </c>
      <c r="K100" s="8">
        <f>IFERROR(__xludf.DUMMYFUNCTION("""COMPUTED_VALUE"""),43519.0)</f>
        <v>43519</v>
      </c>
      <c r="L100">
        <f t="shared" si="1"/>
        <v>184</v>
      </c>
      <c r="M100" s="7" t="s">
        <v>18</v>
      </c>
      <c r="N100" s="7" t="s">
        <v>19</v>
      </c>
      <c r="O100" s="7">
        <v>1.0</v>
      </c>
      <c r="Q100">
        <f t="shared" si="2"/>
        <v>27</v>
      </c>
    </row>
    <row r="101">
      <c r="A101" s="5" t="s">
        <v>146</v>
      </c>
      <c r="B101" s="6">
        <v>13000.0</v>
      </c>
      <c r="C101" s="7" t="s">
        <v>13</v>
      </c>
      <c r="D101" s="7">
        <v>5.2539664400011E13</v>
      </c>
      <c r="E101" s="7" t="s">
        <v>147</v>
      </c>
      <c r="F101" s="8">
        <v>43418.0</v>
      </c>
      <c r="G101" s="7" t="s">
        <v>279</v>
      </c>
      <c r="H101" s="7" t="s">
        <v>16</v>
      </c>
      <c r="I101" s="7" t="s">
        <v>148</v>
      </c>
      <c r="J101" s="8">
        <f>IFERROR(__xludf.DUMMYFUNCTION("SPLIT(I101,""_"")"),43418.0)</f>
        <v>43418</v>
      </c>
      <c r="K101" s="8">
        <f>IFERROR(__xludf.DUMMYFUNCTION("""COMPUTED_VALUE"""),43599.0)</f>
        <v>43599</v>
      </c>
      <c r="L101">
        <f t="shared" si="1"/>
        <v>181</v>
      </c>
      <c r="M101" s="7" t="s">
        <v>18</v>
      </c>
      <c r="N101" s="7" t="s">
        <v>19</v>
      </c>
      <c r="O101" s="7">
        <v>1.0</v>
      </c>
      <c r="Q101">
        <f t="shared" si="2"/>
        <v>26</v>
      </c>
    </row>
    <row r="102">
      <c r="A102" s="5" t="s">
        <v>280</v>
      </c>
      <c r="B102" s="6">
        <v>12600.0</v>
      </c>
      <c r="C102" s="7" t="s">
        <v>13</v>
      </c>
      <c r="D102" s="7">
        <v>7.9836587E8</v>
      </c>
      <c r="E102" s="7" t="s">
        <v>189</v>
      </c>
      <c r="F102" s="8">
        <v>43264.0</v>
      </c>
      <c r="G102" s="7" t="s">
        <v>281</v>
      </c>
      <c r="H102" s="7" t="s">
        <v>16</v>
      </c>
      <c r="I102" s="7" t="s">
        <v>282</v>
      </c>
      <c r="J102" s="8">
        <f>IFERROR(__xludf.DUMMYFUNCTION("SPLIT(I102,""_"")"),43264.0)</f>
        <v>43264</v>
      </c>
      <c r="K102" s="8">
        <f>IFERROR(__xludf.DUMMYFUNCTION("""COMPUTED_VALUE"""),43812.0)</f>
        <v>43812</v>
      </c>
      <c r="L102">
        <f t="shared" si="1"/>
        <v>548</v>
      </c>
      <c r="M102" s="7" t="s">
        <v>18</v>
      </c>
      <c r="N102" s="7" t="s">
        <v>19</v>
      </c>
      <c r="O102" s="7">
        <v>1.0</v>
      </c>
      <c r="Q102">
        <f t="shared" si="2"/>
        <v>79</v>
      </c>
    </row>
    <row r="103">
      <c r="A103" s="5" t="s">
        <v>171</v>
      </c>
      <c r="B103" s="6">
        <v>11000.0</v>
      </c>
      <c r="C103" s="7" t="s">
        <v>66</v>
      </c>
      <c r="D103" s="7">
        <v>3.4169319000033E13</v>
      </c>
      <c r="E103" s="7" t="s">
        <v>283</v>
      </c>
      <c r="F103" s="8">
        <v>43371.0</v>
      </c>
      <c r="G103" s="7" t="s">
        <v>195</v>
      </c>
      <c r="H103" s="7" t="s">
        <v>16</v>
      </c>
      <c r="I103" s="7" t="s">
        <v>284</v>
      </c>
      <c r="J103" s="8">
        <f>IFERROR(__xludf.DUMMYFUNCTION("SPLIT(I103,""_"")"),43371.0)</f>
        <v>43371</v>
      </c>
      <c r="K103" s="8">
        <f>IFERROR(__xludf.DUMMYFUNCTION("""COMPUTED_VALUE"""),43552.0)</f>
        <v>43552</v>
      </c>
      <c r="L103">
        <f t="shared" si="1"/>
        <v>181</v>
      </c>
      <c r="M103" s="7" t="s">
        <v>18</v>
      </c>
      <c r="N103" s="7" t="s">
        <v>19</v>
      </c>
      <c r="O103" s="7">
        <v>1.0</v>
      </c>
      <c r="Q103">
        <f t="shared" si="2"/>
        <v>26</v>
      </c>
    </row>
    <row r="104">
      <c r="A104" s="5" t="s">
        <v>285</v>
      </c>
      <c r="B104" s="6">
        <v>11000.0</v>
      </c>
      <c r="C104" s="7" t="s">
        <v>13</v>
      </c>
      <c r="D104" s="7">
        <v>8.24274781E8</v>
      </c>
      <c r="E104" s="7" t="s">
        <v>189</v>
      </c>
      <c r="F104" s="8">
        <v>43252.0</v>
      </c>
      <c r="G104" s="7" t="s">
        <v>172</v>
      </c>
      <c r="H104" s="7" t="s">
        <v>16</v>
      </c>
      <c r="I104" s="7" t="s">
        <v>133</v>
      </c>
      <c r="J104" s="8">
        <f>IFERROR(__xludf.DUMMYFUNCTION("SPLIT(I104,""_"")"),43252.0)</f>
        <v>43252</v>
      </c>
      <c r="K104" s="8">
        <f>IFERROR(__xludf.DUMMYFUNCTION("""COMPUTED_VALUE"""),43435.0)</f>
        <v>43435</v>
      </c>
      <c r="L104">
        <f t="shared" si="1"/>
        <v>183</v>
      </c>
      <c r="M104" s="7" t="s">
        <v>18</v>
      </c>
      <c r="N104" s="7" t="s">
        <v>19</v>
      </c>
      <c r="O104" s="7">
        <v>1.0</v>
      </c>
      <c r="Q104">
        <f t="shared" si="2"/>
        <v>27</v>
      </c>
    </row>
    <row r="105">
      <c r="A105" s="5" t="s">
        <v>286</v>
      </c>
      <c r="B105" s="6">
        <v>10870.0</v>
      </c>
      <c r="C105" s="7" t="s">
        <v>66</v>
      </c>
      <c r="D105" s="7">
        <v>7.89105954E8</v>
      </c>
      <c r="E105" s="7" t="s">
        <v>287</v>
      </c>
      <c r="F105" s="8">
        <v>43091.0</v>
      </c>
      <c r="G105" s="7" t="s">
        <v>15</v>
      </c>
      <c r="H105" s="7" t="s">
        <v>16</v>
      </c>
      <c r="I105" s="7" t="s">
        <v>25</v>
      </c>
      <c r="J105" s="8">
        <f>IFERROR(__xludf.DUMMYFUNCTION("SPLIT(I105,""_"")"),43091.0)</f>
        <v>43091</v>
      </c>
      <c r="K105" s="8">
        <f>IFERROR(__xludf.DUMMYFUNCTION("""COMPUTED_VALUE"""),43273.0)</f>
        <v>43273</v>
      </c>
      <c r="L105">
        <f t="shared" si="1"/>
        <v>182</v>
      </c>
      <c r="M105" s="7" t="s">
        <v>18</v>
      </c>
      <c r="N105" s="7" t="s">
        <v>19</v>
      </c>
      <c r="O105" s="7">
        <v>1.0</v>
      </c>
      <c r="Q105">
        <f t="shared" si="2"/>
        <v>26</v>
      </c>
    </row>
    <row r="106">
      <c r="A106" s="5" t="s">
        <v>288</v>
      </c>
      <c r="B106" s="6">
        <v>10300.0</v>
      </c>
      <c r="C106" s="7" t="s">
        <v>66</v>
      </c>
      <c r="D106" s="7">
        <v>3.3348540700014E13</v>
      </c>
      <c r="E106" s="7" t="s">
        <v>194</v>
      </c>
      <c r="F106" s="8">
        <v>43342.0</v>
      </c>
      <c r="G106" s="7" t="s">
        <v>195</v>
      </c>
      <c r="H106" s="7" t="s">
        <v>16</v>
      </c>
      <c r="I106" s="7" t="s">
        <v>289</v>
      </c>
      <c r="J106" s="8">
        <f>IFERROR(__xludf.DUMMYFUNCTION("SPLIT(I106,""_"")"),43342.0)</f>
        <v>43342</v>
      </c>
      <c r="K106" s="8">
        <f>IFERROR(__xludf.DUMMYFUNCTION("""COMPUTED_VALUE"""),43524.0)</f>
        <v>43524</v>
      </c>
      <c r="L106">
        <f t="shared" si="1"/>
        <v>182</v>
      </c>
      <c r="M106" s="7" t="s">
        <v>18</v>
      </c>
      <c r="N106" s="7" t="s">
        <v>19</v>
      </c>
      <c r="O106" s="7">
        <v>1.0</v>
      </c>
      <c r="Q106">
        <f t="shared" si="2"/>
        <v>26</v>
      </c>
    </row>
    <row r="107">
      <c r="A107" s="5" t="s">
        <v>290</v>
      </c>
      <c r="B107" s="6">
        <v>10000.0</v>
      </c>
      <c r="C107" s="7" t="s">
        <v>13</v>
      </c>
      <c r="D107" s="7">
        <v>8.21354933E8</v>
      </c>
      <c r="E107" s="7" t="s">
        <v>189</v>
      </c>
      <c r="F107" s="8">
        <v>43244.0</v>
      </c>
      <c r="G107" s="7" t="s">
        <v>172</v>
      </c>
      <c r="H107" s="7" t="s">
        <v>16</v>
      </c>
      <c r="I107" s="7" t="s">
        <v>291</v>
      </c>
      <c r="J107" s="8">
        <f>IFERROR(__xludf.DUMMYFUNCTION("SPLIT(I107,""_"")"),43244.0)</f>
        <v>43244</v>
      </c>
      <c r="K107" s="8">
        <f>IFERROR(__xludf.DUMMYFUNCTION("""COMPUTED_VALUE"""),43428.0)</f>
        <v>43428</v>
      </c>
      <c r="L107">
        <f t="shared" si="1"/>
        <v>184</v>
      </c>
      <c r="M107" s="7" t="s">
        <v>18</v>
      </c>
      <c r="N107" s="7" t="s">
        <v>19</v>
      </c>
      <c r="O107" s="7">
        <v>1.0</v>
      </c>
      <c r="Q107">
        <f t="shared" si="2"/>
        <v>27</v>
      </c>
    </row>
    <row r="108">
      <c r="A108" s="5" t="s">
        <v>83</v>
      </c>
      <c r="B108" s="6">
        <v>10000.0</v>
      </c>
      <c r="C108" s="7" t="s">
        <v>13</v>
      </c>
      <c r="D108" s="7">
        <v>4.8856661300037E13</v>
      </c>
      <c r="E108" s="7" t="s">
        <v>276</v>
      </c>
      <c r="F108" s="8">
        <v>43285.0</v>
      </c>
      <c r="G108" s="7" t="s">
        <v>292</v>
      </c>
      <c r="H108" s="7" t="s">
        <v>16</v>
      </c>
      <c r="I108" s="7" t="s">
        <v>44</v>
      </c>
      <c r="J108" s="8">
        <f>IFERROR(__xludf.DUMMYFUNCTION("SPLIT(I108,""_"")"),43285.0)</f>
        <v>43285</v>
      </c>
      <c r="K108" s="8">
        <f>IFERROR(__xludf.DUMMYFUNCTION("""COMPUTED_VALUE"""),43469.0)</f>
        <v>43469</v>
      </c>
      <c r="L108">
        <f t="shared" si="1"/>
        <v>184</v>
      </c>
      <c r="M108" s="7" t="s">
        <v>18</v>
      </c>
      <c r="N108" s="7" t="s">
        <v>19</v>
      </c>
      <c r="O108" s="7">
        <v>1.0</v>
      </c>
      <c r="Q108">
        <f t="shared" si="2"/>
        <v>27</v>
      </c>
    </row>
    <row r="109">
      <c r="A109" s="5" t="s">
        <v>293</v>
      </c>
      <c r="B109" s="6">
        <v>10000.0</v>
      </c>
      <c r="C109" s="7" t="s">
        <v>13</v>
      </c>
      <c r="D109" s="7">
        <v>8.2982336800016E13</v>
      </c>
      <c r="E109" s="7" t="s">
        <v>251</v>
      </c>
      <c r="F109" s="8">
        <v>43263.0</v>
      </c>
      <c r="G109" s="7" t="s">
        <v>294</v>
      </c>
      <c r="H109" s="7" t="s">
        <v>16</v>
      </c>
      <c r="I109" s="7" t="s">
        <v>295</v>
      </c>
      <c r="J109" s="8">
        <f>IFERROR(__xludf.DUMMYFUNCTION("SPLIT(I109,""_"")"),43263.0)</f>
        <v>43263</v>
      </c>
      <c r="K109" s="8">
        <f>IFERROR(__xludf.DUMMYFUNCTION("""COMPUTED_VALUE"""),43446.0)</f>
        <v>43446</v>
      </c>
      <c r="L109">
        <f t="shared" si="1"/>
        <v>183</v>
      </c>
      <c r="M109" s="7" t="s">
        <v>18</v>
      </c>
      <c r="N109" s="7" t="s">
        <v>19</v>
      </c>
      <c r="O109" s="7">
        <v>1.0</v>
      </c>
      <c r="Q109">
        <f t="shared" si="2"/>
        <v>27</v>
      </c>
    </row>
    <row r="110">
      <c r="A110" s="5" t="s">
        <v>296</v>
      </c>
      <c r="B110" s="6">
        <v>10000.0</v>
      </c>
      <c r="C110" s="7" t="s">
        <v>13</v>
      </c>
      <c r="D110" s="7">
        <v>7.5198395800024E13</v>
      </c>
      <c r="E110" s="7" t="s">
        <v>251</v>
      </c>
      <c r="F110" s="8">
        <v>43276.0</v>
      </c>
      <c r="G110" s="7" t="s">
        <v>297</v>
      </c>
      <c r="H110" s="7" t="s">
        <v>16</v>
      </c>
      <c r="I110" s="7" t="s">
        <v>298</v>
      </c>
      <c r="J110" s="8">
        <f>IFERROR(__xludf.DUMMYFUNCTION("SPLIT(I110,""_"")"),43276.0)</f>
        <v>43276</v>
      </c>
      <c r="K110" s="8">
        <f>IFERROR(__xludf.DUMMYFUNCTION("""COMPUTED_VALUE"""),43459.0)</f>
        <v>43459</v>
      </c>
      <c r="L110">
        <f t="shared" si="1"/>
        <v>183</v>
      </c>
      <c r="M110" s="7" t="s">
        <v>18</v>
      </c>
      <c r="N110" s="7" t="s">
        <v>19</v>
      </c>
      <c r="O110" s="7" t="s">
        <v>299</v>
      </c>
      <c r="Q110">
        <f t="shared" si="2"/>
        <v>27</v>
      </c>
    </row>
    <row r="111">
      <c r="A111" s="5" t="s">
        <v>300</v>
      </c>
      <c r="B111" s="6">
        <v>10000.0</v>
      </c>
      <c r="C111" s="7" t="s">
        <v>13</v>
      </c>
      <c r="D111" s="7">
        <v>8.221340780001E13</v>
      </c>
      <c r="E111" s="7" t="s">
        <v>301</v>
      </c>
      <c r="F111" s="8">
        <v>43299.0</v>
      </c>
      <c r="G111" s="7" t="s">
        <v>70</v>
      </c>
      <c r="H111" s="7" t="s">
        <v>16</v>
      </c>
      <c r="I111" s="7" t="s">
        <v>160</v>
      </c>
      <c r="J111" s="8">
        <f>IFERROR(__xludf.DUMMYFUNCTION("SPLIT(I111,""_"")"),43299.0)</f>
        <v>43299</v>
      </c>
      <c r="K111" s="8">
        <f>IFERROR(__xludf.DUMMYFUNCTION("""COMPUTED_VALUE"""),43118.0)</f>
        <v>43118</v>
      </c>
      <c r="L111" t="str">
        <f t="shared" si="1"/>
        <v>#NUM!</v>
      </c>
      <c r="M111" s="7" t="s">
        <v>18</v>
      </c>
      <c r="N111" s="7" t="s">
        <v>19</v>
      </c>
      <c r="O111" s="7">
        <v>1.0</v>
      </c>
      <c r="Q111" t="str">
        <f t="shared" si="2"/>
        <v>#NUM!</v>
      </c>
    </row>
    <row r="112">
      <c r="A112" s="5" t="s">
        <v>302</v>
      </c>
      <c r="B112" s="6">
        <v>10000.0</v>
      </c>
      <c r="C112" s="7" t="s">
        <v>13</v>
      </c>
      <c r="D112" s="7">
        <v>7.89632254E8</v>
      </c>
      <c r="E112" s="7" t="s">
        <v>189</v>
      </c>
      <c r="F112" s="8">
        <v>43250.0</v>
      </c>
      <c r="G112" s="7" t="s">
        <v>172</v>
      </c>
      <c r="H112" s="7" t="s">
        <v>16</v>
      </c>
      <c r="I112" s="7" t="s">
        <v>303</v>
      </c>
      <c r="J112" s="8">
        <f>IFERROR(__xludf.DUMMYFUNCTION("SPLIT(I112,""_"")"),43250.0)</f>
        <v>43250</v>
      </c>
      <c r="K112" s="8">
        <f>IFERROR(__xludf.DUMMYFUNCTION("""COMPUTED_VALUE"""),43434.0)</f>
        <v>43434</v>
      </c>
      <c r="L112">
        <f t="shared" si="1"/>
        <v>184</v>
      </c>
      <c r="M112" s="7" t="s">
        <v>18</v>
      </c>
      <c r="N112" s="7" t="s">
        <v>19</v>
      </c>
      <c r="O112" s="7">
        <v>1.0</v>
      </c>
      <c r="Q112">
        <f t="shared" si="2"/>
        <v>27</v>
      </c>
    </row>
    <row r="113">
      <c r="A113" s="5" t="s">
        <v>304</v>
      </c>
      <c r="B113" s="6">
        <v>9900.0</v>
      </c>
      <c r="C113" s="7" t="s">
        <v>13</v>
      </c>
      <c r="D113" s="7">
        <v>8.246985E8</v>
      </c>
      <c r="E113" s="7" t="s">
        <v>189</v>
      </c>
      <c r="F113" s="8">
        <v>43266.0</v>
      </c>
      <c r="G113" s="7" t="s">
        <v>15</v>
      </c>
      <c r="H113" s="7" t="s">
        <v>16</v>
      </c>
      <c r="I113" s="7" t="s">
        <v>186</v>
      </c>
      <c r="J113" s="8">
        <f>IFERROR(__xludf.DUMMYFUNCTION("SPLIT(I113,""_"")"),43266.0)</f>
        <v>43266</v>
      </c>
      <c r="K113" s="8">
        <f>IFERROR(__xludf.DUMMYFUNCTION("""COMPUTED_VALUE"""),43449.0)</f>
        <v>43449</v>
      </c>
      <c r="L113">
        <f t="shared" si="1"/>
        <v>183</v>
      </c>
      <c r="M113" s="7" t="s">
        <v>18</v>
      </c>
      <c r="N113" s="7" t="s">
        <v>19</v>
      </c>
      <c r="O113" s="7">
        <v>1.0</v>
      </c>
      <c r="Q113">
        <f t="shared" si="2"/>
        <v>27</v>
      </c>
    </row>
    <row r="114">
      <c r="A114" s="5" t="s">
        <v>305</v>
      </c>
      <c r="B114" s="6">
        <v>9610.0</v>
      </c>
      <c r="C114" s="7" t="s">
        <v>13</v>
      </c>
      <c r="D114" s="7">
        <v>4.38794034E8</v>
      </c>
      <c r="E114" s="7" t="s">
        <v>189</v>
      </c>
      <c r="F114" s="8">
        <v>43244.0</v>
      </c>
      <c r="G114" s="7" t="s">
        <v>172</v>
      </c>
      <c r="H114" s="7" t="s">
        <v>16</v>
      </c>
      <c r="I114" s="7" t="s">
        <v>291</v>
      </c>
      <c r="J114" s="8">
        <f>IFERROR(__xludf.DUMMYFUNCTION("SPLIT(I114,""_"")"),43244.0)</f>
        <v>43244</v>
      </c>
      <c r="K114" s="8">
        <f>IFERROR(__xludf.DUMMYFUNCTION("""COMPUTED_VALUE"""),43428.0)</f>
        <v>43428</v>
      </c>
      <c r="L114">
        <f t="shared" si="1"/>
        <v>184</v>
      </c>
      <c r="M114" s="7" t="s">
        <v>18</v>
      </c>
      <c r="N114" s="7" t="s">
        <v>19</v>
      </c>
      <c r="O114" s="7">
        <v>1.0</v>
      </c>
      <c r="Q114">
        <f t="shared" si="2"/>
        <v>27</v>
      </c>
    </row>
    <row r="115">
      <c r="A115" s="5" t="s">
        <v>306</v>
      </c>
      <c r="B115" s="6">
        <v>9500.0</v>
      </c>
      <c r="C115" s="7" t="s">
        <v>13</v>
      </c>
      <c r="D115" s="7">
        <v>4.5227479800035E13</v>
      </c>
      <c r="E115" s="7" t="s">
        <v>307</v>
      </c>
      <c r="F115" s="8">
        <v>43406.0</v>
      </c>
      <c r="G115" s="7" t="s">
        <v>308</v>
      </c>
      <c r="H115" s="7" t="s">
        <v>16</v>
      </c>
      <c r="I115" s="7" t="s">
        <v>309</v>
      </c>
      <c r="J115" s="8">
        <f>IFERROR(__xludf.DUMMYFUNCTION("SPLIT(I115,""_"")"),43406.0)</f>
        <v>43406</v>
      </c>
      <c r="K115" s="8">
        <f>IFERROR(__xludf.DUMMYFUNCTION("""COMPUTED_VALUE"""),43587.0)</f>
        <v>43587</v>
      </c>
      <c r="L115">
        <f t="shared" si="1"/>
        <v>181</v>
      </c>
      <c r="M115" s="7" t="s">
        <v>18</v>
      </c>
      <c r="N115" s="7" t="s">
        <v>19</v>
      </c>
      <c r="O115" s="7">
        <v>1.0</v>
      </c>
      <c r="Q115">
        <f t="shared" si="2"/>
        <v>26</v>
      </c>
    </row>
    <row r="116">
      <c r="A116" s="5" t="s">
        <v>310</v>
      </c>
      <c r="B116" s="6">
        <v>9000.0</v>
      </c>
      <c r="C116" s="7" t="s">
        <v>13</v>
      </c>
      <c r="D116" s="7">
        <v>1.3002285800019E13</v>
      </c>
      <c r="E116" s="7" t="s">
        <v>311</v>
      </c>
      <c r="F116" s="8">
        <v>43342.0</v>
      </c>
      <c r="G116" s="7" t="s">
        <v>312</v>
      </c>
      <c r="H116" s="7" t="s">
        <v>16</v>
      </c>
      <c r="I116" s="7" t="s">
        <v>289</v>
      </c>
      <c r="J116" s="8">
        <f>IFERROR(__xludf.DUMMYFUNCTION("SPLIT(I116,""_"")"),43342.0)</f>
        <v>43342</v>
      </c>
      <c r="K116" s="8">
        <f>IFERROR(__xludf.DUMMYFUNCTION("""COMPUTED_VALUE"""),43524.0)</f>
        <v>43524</v>
      </c>
      <c r="L116">
        <f t="shared" si="1"/>
        <v>182</v>
      </c>
      <c r="M116" s="7" t="s">
        <v>18</v>
      </c>
      <c r="N116" s="7" t="s">
        <v>19</v>
      </c>
      <c r="O116" s="7">
        <v>1.0</v>
      </c>
      <c r="Q116">
        <f t="shared" si="2"/>
        <v>26</v>
      </c>
    </row>
    <row r="117">
      <c r="A117" s="5" t="s">
        <v>144</v>
      </c>
      <c r="B117" s="6">
        <v>9000.0</v>
      </c>
      <c r="C117" s="7" t="s">
        <v>13</v>
      </c>
      <c r="D117" s="7">
        <v>3.7809063300017E13</v>
      </c>
      <c r="E117" s="7" t="s">
        <v>313</v>
      </c>
      <c r="F117" s="8">
        <v>43306.0</v>
      </c>
      <c r="G117" s="7" t="s">
        <v>61</v>
      </c>
      <c r="H117" s="7" t="s">
        <v>16</v>
      </c>
      <c r="I117" s="7" t="s">
        <v>28</v>
      </c>
      <c r="J117" s="8">
        <f>IFERROR(__xludf.DUMMYFUNCTION("SPLIT(I117,""_"")"),43306.0)</f>
        <v>43306</v>
      </c>
      <c r="K117" s="8">
        <f>IFERROR(__xludf.DUMMYFUNCTION("""COMPUTED_VALUE"""),43490.0)</f>
        <v>43490</v>
      </c>
      <c r="L117">
        <f t="shared" si="1"/>
        <v>184</v>
      </c>
      <c r="M117" s="7" t="s">
        <v>18</v>
      </c>
      <c r="N117" s="7" t="s">
        <v>19</v>
      </c>
      <c r="O117" s="7">
        <v>1.0</v>
      </c>
      <c r="Q117">
        <f t="shared" si="2"/>
        <v>27</v>
      </c>
    </row>
    <row r="118">
      <c r="A118" s="5" t="s">
        <v>310</v>
      </c>
      <c r="B118" s="6">
        <v>8500.0</v>
      </c>
      <c r="C118" s="7" t="s">
        <v>13</v>
      </c>
      <c r="D118" s="7">
        <v>1.3002285800018E13</v>
      </c>
      <c r="E118" s="7" t="s">
        <v>311</v>
      </c>
      <c r="F118" s="8">
        <v>43342.0</v>
      </c>
      <c r="G118" s="7" t="s">
        <v>314</v>
      </c>
      <c r="H118" s="7" t="s">
        <v>16</v>
      </c>
      <c r="I118" s="7" t="s">
        <v>289</v>
      </c>
      <c r="J118" s="8">
        <f>IFERROR(__xludf.DUMMYFUNCTION("SPLIT(I118,""_"")"),43342.0)</f>
        <v>43342</v>
      </c>
      <c r="K118" s="9">
        <f>IFERROR(__xludf.DUMMYFUNCTION("""COMPUTED_VALUE"""),43524.0)</f>
        <v>43524</v>
      </c>
      <c r="L118">
        <f t="shared" si="1"/>
        <v>182</v>
      </c>
      <c r="M118" s="7" t="s">
        <v>18</v>
      </c>
      <c r="N118" s="7" t="s">
        <v>19</v>
      </c>
      <c r="O118" s="7">
        <v>1.0</v>
      </c>
      <c r="Q118">
        <f t="shared" si="2"/>
        <v>26</v>
      </c>
    </row>
    <row r="119">
      <c r="A119" s="5" t="s">
        <v>315</v>
      </c>
      <c r="B119" s="6">
        <v>8000.0</v>
      </c>
      <c r="C119" s="7" t="s">
        <v>13</v>
      </c>
      <c r="D119" s="7">
        <v>8.1141156E8</v>
      </c>
      <c r="E119" s="7" t="s">
        <v>189</v>
      </c>
      <c r="F119" s="8">
        <v>43263.0</v>
      </c>
      <c r="G119" s="7" t="s">
        <v>281</v>
      </c>
      <c r="H119" s="7" t="s">
        <v>16</v>
      </c>
      <c r="I119" s="7" t="s">
        <v>295</v>
      </c>
      <c r="J119" s="8">
        <f>IFERROR(__xludf.DUMMYFUNCTION("SPLIT(I119,""_"")"),43263.0)</f>
        <v>43263</v>
      </c>
      <c r="K119" s="8">
        <f>IFERROR(__xludf.DUMMYFUNCTION("""COMPUTED_VALUE"""),43446.0)</f>
        <v>43446</v>
      </c>
      <c r="L119">
        <f t="shared" si="1"/>
        <v>183</v>
      </c>
      <c r="M119" s="7" t="s">
        <v>18</v>
      </c>
      <c r="N119" s="7" t="s">
        <v>19</v>
      </c>
      <c r="O119" s="7">
        <v>1.0</v>
      </c>
      <c r="Q119">
        <f t="shared" si="2"/>
        <v>27</v>
      </c>
    </row>
    <row r="120">
      <c r="A120" s="5" t="s">
        <v>316</v>
      </c>
      <c r="B120" s="6">
        <v>8000.0</v>
      </c>
      <c r="C120" s="7" t="s">
        <v>13</v>
      </c>
      <c r="D120" s="7">
        <v>8.33920077E8</v>
      </c>
      <c r="E120" s="7" t="s">
        <v>189</v>
      </c>
      <c r="F120" s="8">
        <v>43257.0</v>
      </c>
      <c r="G120" s="7" t="s">
        <v>172</v>
      </c>
      <c r="H120" s="7" t="s">
        <v>16</v>
      </c>
      <c r="I120" s="7" t="s">
        <v>200</v>
      </c>
      <c r="J120" s="8">
        <f>IFERROR(__xludf.DUMMYFUNCTION("SPLIT(I120,""_"")"),43257.0)</f>
        <v>43257</v>
      </c>
      <c r="K120" s="8">
        <f>IFERROR(__xludf.DUMMYFUNCTION("""COMPUTED_VALUE"""),43440.0)</f>
        <v>43440</v>
      </c>
      <c r="L120">
        <f t="shared" si="1"/>
        <v>183</v>
      </c>
      <c r="M120" s="7" t="s">
        <v>18</v>
      </c>
      <c r="N120" s="7" t="s">
        <v>19</v>
      </c>
      <c r="O120" s="7">
        <v>1.0</v>
      </c>
      <c r="Q120">
        <f t="shared" si="2"/>
        <v>27</v>
      </c>
    </row>
    <row r="121">
      <c r="A121" s="5" t="s">
        <v>317</v>
      </c>
      <c r="B121" s="6">
        <v>8000.0</v>
      </c>
      <c r="C121" s="7" t="s">
        <v>13</v>
      </c>
      <c r="D121" s="7">
        <v>5.24259363E8</v>
      </c>
      <c r="E121" s="7" t="s">
        <v>50</v>
      </c>
      <c r="F121" s="8">
        <v>43283.0</v>
      </c>
      <c r="G121" s="7" t="s">
        <v>51</v>
      </c>
      <c r="H121" s="7" t="s">
        <v>16</v>
      </c>
      <c r="I121" s="7" t="s">
        <v>115</v>
      </c>
      <c r="J121" s="8">
        <f>IFERROR(__xludf.DUMMYFUNCTION("SPLIT(I121,""_"")"),43283.0)</f>
        <v>43283</v>
      </c>
      <c r="K121" s="8">
        <f>IFERROR(__xludf.DUMMYFUNCTION("""COMPUTED_VALUE"""),43467.0)</f>
        <v>43467</v>
      </c>
      <c r="L121">
        <f t="shared" si="1"/>
        <v>184</v>
      </c>
      <c r="M121" s="7" t="s">
        <v>18</v>
      </c>
      <c r="N121" s="7" t="s">
        <v>19</v>
      </c>
      <c r="O121" s="7">
        <v>1.0</v>
      </c>
      <c r="Q121">
        <f t="shared" si="2"/>
        <v>27</v>
      </c>
    </row>
    <row r="122">
      <c r="A122" s="5" t="s">
        <v>318</v>
      </c>
      <c r="B122" s="6">
        <v>8000.0</v>
      </c>
      <c r="C122" s="7" t="s">
        <v>13</v>
      </c>
      <c r="D122" s="7">
        <v>8.3176796700019E13</v>
      </c>
      <c r="E122" s="7" t="s">
        <v>301</v>
      </c>
      <c r="F122" s="8">
        <v>43353.0</v>
      </c>
      <c r="G122" s="7" t="s">
        <v>319</v>
      </c>
      <c r="H122" s="7" t="s">
        <v>16</v>
      </c>
      <c r="I122" s="7" t="s">
        <v>37</v>
      </c>
      <c r="J122" s="8">
        <f>IFERROR(__xludf.DUMMYFUNCTION("SPLIT(I122,""_"")"),43353.0)</f>
        <v>43353</v>
      </c>
      <c r="K122" s="8">
        <f>IFERROR(__xludf.DUMMYFUNCTION("""COMPUTED_VALUE"""),43534.0)</f>
        <v>43534</v>
      </c>
      <c r="L122">
        <f t="shared" si="1"/>
        <v>181</v>
      </c>
      <c r="M122" s="7" t="s">
        <v>18</v>
      </c>
      <c r="N122" s="7" t="s">
        <v>19</v>
      </c>
      <c r="O122" s="7">
        <v>1.0</v>
      </c>
      <c r="Q122">
        <f t="shared" si="2"/>
        <v>26</v>
      </c>
    </row>
    <row r="123">
      <c r="A123" s="5" t="s">
        <v>320</v>
      </c>
      <c r="B123" s="6">
        <v>7900.0</v>
      </c>
      <c r="C123" s="7" t="s">
        <v>13</v>
      </c>
      <c r="D123" s="7">
        <v>3.06040312E8</v>
      </c>
      <c r="E123" s="7" t="s">
        <v>321</v>
      </c>
      <c r="F123" s="8">
        <v>43130.0</v>
      </c>
      <c r="G123" s="7" t="s">
        <v>15</v>
      </c>
      <c r="H123" s="7" t="s">
        <v>16</v>
      </c>
      <c r="I123" s="7" t="s">
        <v>322</v>
      </c>
      <c r="J123" s="8">
        <f>IFERROR(__xludf.DUMMYFUNCTION("SPLIT(I123,""_"")"),43130.0)</f>
        <v>43130</v>
      </c>
      <c r="K123" s="8">
        <f>IFERROR(__xludf.DUMMYFUNCTION("""COMPUTED_VALUE"""),43311.0)</f>
        <v>43311</v>
      </c>
      <c r="L123">
        <f t="shared" si="1"/>
        <v>181</v>
      </c>
      <c r="M123" s="7" t="s">
        <v>18</v>
      </c>
      <c r="N123" s="7" t="s">
        <v>19</v>
      </c>
      <c r="O123" s="7">
        <v>1.0</v>
      </c>
      <c r="Q123">
        <f t="shared" si="2"/>
        <v>26</v>
      </c>
    </row>
    <row r="124">
      <c r="A124" s="5" t="s">
        <v>323</v>
      </c>
      <c r="B124" s="6">
        <v>7700.0</v>
      </c>
      <c r="C124" s="7" t="s">
        <v>13</v>
      </c>
      <c r="D124" s="7">
        <v>4.44932446E8</v>
      </c>
      <c r="E124" s="7" t="s">
        <v>324</v>
      </c>
      <c r="F124" s="8">
        <v>43257.0</v>
      </c>
      <c r="G124" s="7" t="s">
        <v>172</v>
      </c>
      <c r="H124" s="7" t="s">
        <v>16</v>
      </c>
      <c r="I124" s="7" t="s">
        <v>200</v>
      </c>
      <c r="J124" s="8">
        <f>IFERROR(__xludf.DUMMYFUNCTION("SPLIT(I124,""_"")"),43257.0)</f>
        <v>43257</v>
      </c>
      <c r="K124" s="8">
        <f>IFERROR(__xludf.DUMMYFUNCTION("""COMPUTED_VALUE"""),43440.0)</f>
        <v>43440</v>
      </c>
      <c r="L124">
        <f t="shared" si="1"/>
        <v>183</v>
      </c>
      <c r="M124" s="7" t="s">
        <v>18</v>
      </c>
      <c r="N124" s="7" t="s">
        <v>19</v>
      </c>
      <c r="O124" s="7">
        <v>1.0</v>
      </c>
      <c r="Q124">
        <f t="shared" si="2"/>
        <v>27</v>
      </c>
    </row>
    <row r="125">
      <c r="A125" s="5" t="s">
        <v>325</v>
      </c>
      <c r="B125" s="6">
        <v>7500.0</v>
      </c>
      <c r="C125" s="7" t="s">
        <v>13</v>
      </c>
      <c r="D125" s="7">
        <v>4.9322382000017E13</v>
      </c>
      <c r="E125" s="7" t="s">
        <v>326</v>
      </c>
      <c r="F125" s="8">
        <v>43364.0</v>
      </c>
      <c r="G125" s="7" t="s">
        <v>68</v>
      </c>
      <c r="H125" s="7" t="s">
        <v>16</v>
      </c>
      <c r="I125" s="7" t="s">
        <v>327</v>
      </c>
      <c r="J125" s="8">
        <f>IFERROR(__xludf.DUMMYFUNCTION("SPLIT(I125,""_"")"),43364.0)</f>
        <v>43364</v>
      </c>
      <c r="K125" s="8">
        <f>IFERROR(__xludf.DUMMYFUNCTION("""COMPUTED_VALUE"""),43545.0)</f>
        <v>43545</v>
      </c>
      <c r="L125">
        <f t="shared" si="1"/>
        <v>181</v>
      </c>
      <c r="M125" s="7" t="s">
        <v>18</v>
      </c>
      <c r="N125" s="7" t="s">
        <v>19</v>
      </c>
      <c r="O125" s="7">
        <v>1.0</v>
      </c>
      <c r="Q125">
        <f t="shared" si="2"/>
        <v>26</v>
      </c>
    </row>
    <row r="126">
      <c r="A126" s="5" t="s">
        <v>328</v>
      </c>
      <c r="B126" s="6">
        <v>7190.0</v>
      </c>
      <c r="C126" s="7" t="s">
        <v>13</v>
      </c>
      <c r="D126" s="7">
        <v>8.28195339E8</v>
      </c>
      <c r="E126" s="7" t="s">
        <v>33</v>
      </c>
      <c r="F126" s="8">
        <v>43264.0</v>
      </c>
      <c r="G126" s="7" t="s">
        <v>172</v>
      </c>
      <c r="H126" s="7" t="s">
        <v>16</v>
      </c>
      <c r="I126" s="7" t="s">
        <v>129</v>
      </c>
      <c r="J126" s="8">
        <f>IFERROR(__xludf.DUMMYFUNCTION("SPLIT(I126,""_"")"),43264.0)</f>
        <v>43264</v>
      </c>
      <c r="K126" s="8">
        <f>IFERROR(__xludf.DUMMYFUNCTION("""COMPUTED_VALUE"""),43447.0)</f>
        <v>43447</v>
      </c>
      <c r="L126">
        <f t="shared" si="1"/>
        <v>183</v>
      </c>
      <c r="M126" s="7" t="s">
        <v>18</v>
      </c>
      <c r="N126" s="7" t="s">
        <v>19</v>
      </c>
      <c r="O126" s="7">
        <v>1.0</v>
      </c>
      <c r="Q126">
        <f t="shared" si="2"/>
        <v>27</v>
      </c>
    </row>
    <row r="127">
      <c r="A127" s="5" t="s">
        <v>329</v>
      </c>
      <c r="B127" s="6">
        <v>7000.0</v>
      </c>
      <c r="C127" s="7" t="s">
        <v>13</v>
      </c>
      <c r="D127" s="7">
        <v>4.1087071100083E13</v>
      </c>
      <c r="E127" s="7" t="s">
        <v>330</v>
      </c>
      <c r="F127" s="8">
        <v>43312.0</v>
      </c>
      <c r="G127" s="7" t="s">
        <v>195</v>
      </c>
      <c r="H127" s="7" t="s">
        <v>16</v>
      </c>
      <c r="I127" s="7" t="s">
        <v>331</v>
      </c>
      <c r="J127" s="8">
        <f>IFERROR(__xludf.DUMMYFUNCTION("SPLIT(I127,""_"")"),43312.0)</f>
        <v>43312</v>
      </c>
      <c r="K127" s="8">
        <f>IFERROR(__xludf.DUMMYFUNCTION("""COMPUTED_VALUE"""),43496.0)</f>
        <v>43496</v>
      </c>
      <c r="L127">
        <f t="shared" si="1"/>
        <v>184</v>
      </c>
      <c r="M127" s="7" t="s">
        <v>18</v>
      </c>
      <c r="N127" s="7" t="s">
        <v>19</v>
      </c>
      <c r="O127" s="7">
        <v>1.0</v>
      </c>
      <c r="Q127">
        <f t="shared" si="2"/>
        <v>27</v>
      </c>
    </row>
    <row r="128">
      <c r="A128" s="5" t="s">
        <v>332</v>
      </c>
      <c r="B128" s="6">
        <v>6500.0</v>
      </c>
      <c r="C128" s="7" t="s">
        <v>13</v>
      </c>
      <c r="D128" s="7">
        <v>4.22839365E8</v>
      </c>
      <c r="E128" s="7" t="s">
        <v>50</v>
      </c>
      <c r="F128" s="8">
        <v>43269.0</v>
      </c>
      <c r="G128" s="7" t="s">
        <v>333</v>
      </c>
      <c r="H128" s="7" t="s">
        <v>16</v>
      </c>
      <c r="I128" s="7" t="s">
        <v>52</v>
      </c>
      <c r="J128" s="8">
        <f>IFERROR(__xludf.DUMMYFUNCTION("SPLIT(I128,""_"")"),43269.0)</f>
        <v>43269</v>
      </c>
      <c r="K128" s="8">
        <f>IFERROR(__xludf.DUMMYFUNCTION("""COMPUTED_VALUE"""),43452.0)</f>
        <v>43452</v>
      </c>
      <c r="L128">
        <f t="shared" si="1"/>
        <v>183</v>
      </c>
      <c r="M128" s="7" t="s">
        <v>18</v>
      </c>
      <c r="N128" s="7" t="s">
        <v>19</v>
      </c>
      <c r="O128" s="7">
        <v>1.0</v>
      </c>
      <c r="Q128">
        <f t="shared" si="2"/>
        <v>27</v>
      </c>
    </row>
    <row r="129">
      <c r="A129" s="5" t="s">
        <v>334</v>
      </c>
      <c r="B129" s="6">
        <v>5800.0</v>
      </c>
      <c r="C129" s="7" t="s">
        <v>13</v>
      </c>
      <c r="D129" s="7">
        <v>4.38269631E8</v>
      </c>
      <c r="E129" s="7" t="s">
        <v>33</v>
      </c>
      <c r="F129" s="8">
        <v>43270.0</v>
      </c>
      <c r="G129" s="7" t="s">
        <v>172</v>
      </c>
      <c r="H129" s="7" t="s">
        <v>16</v>
      </c>
      <c r="I129" s="7" t="s">
        <v>335</v>
      </c>
      <c r="J129" s="8">
        <f>IFERROR(__xludf.DUMMYFUNCTION("SPLIT(I129,""_"")"),43270.0)</f>
        <v>43270</v>
      </c>
      <c r="K129" s="8">
        <f>IFERROR(__xludf.DUMMYFUNCTION("""COMPUTED_VALUE"""),43453.0)</f>
        <v>43453</v>
      </c>
      <c r="L129">
        <f t="shared" si="1"/>
        <v>183</v>
      </c>
      <c r="M129" s="7" t="s">
        <v>18</v>
      </c>
      <c r="N129" s="7" t="s">
        <v>19</v>
      </c>
      <c r="O129" s="7">
        <v>1.0</v>
      </c>
      <c r="Q129">
        <f t="shared" si="2"/>
        <v>27</v>
      </c>
    </row>
    <row r="130">
      <c r="A130" s="5" t="s">
        <v>336</v>
      </c>
      <c r="B130" s="6">
        <v>5000.0</v>
      </c>
      <c r="C130" s="7" t="s">
        <v>13</v>
      </c>
      <c r="D130" s="7">
        <v>4.80293711E8</v>
      </c>
      <c r="E130" s="7" t="s">
        <v>337</v>
      </c>
      <c r="F130" s="8">
        <v>43252.0</v>
      </c>
      <c r="G130" s="7" t="s">
        <v>338</v>
      </c>
      <c r="H130" s="7" t="s">
        <v>16</v>
      </c>
      <c r="I130" s="7" t="s">
        <v>133</v>
      </c>
      <c r="J130" s="8">
        <f>IFERROR(__xludf.DUMMYFUNCTION("SPLIT(I130,""_"")"),43252.0)</f>
        <v>43252</v>
      </c>
      <c r="K130" s="8">
        <f>IFERROR(__xludf.DUMMYFUNCTION("""COMPUTED_VALUE"""),43435.0)</f>
        <v>43435</v>
      </c>
      <c r="L130">
        <f t="shared" si="1"/>
        <v>183</v>
      </c>
      <c r="M130" s="7" t="s">
        <v>18</v>
      </c>
      <c r="N130" s="7" t="s">
        <v>19</v>
      </c>
      <c r="O130" s="7">
        <v>1.0</v>
      </c>
      <c r="Q130">
        <f t="shared" si="2"/>
        <v>27</v>
      </c>
    </row>
    <row r="131">
      <c r="A131" s="5" t="s">
        <v>149</v>
      </c>
      <c r="B131" s="6">
        <v>5000.0</v>
      </c>
      <c r="C131" s="7" t="s">
        <v>66</v>
      </c>
      <c r="D131" s="7">
        <v>3.5221687300211E13</v>
      </c>
      <c r="E131" s="7" t="s">
        <v>330</v>
      </c>
      <c r="F131" s="8">
        <v>43312.0</v>
      </c>
      <c r="G131" s="7" t="s">
        <v>195</v>
      </c>
      <c r="H131" s="7" t="s">
        <v>16</v>
      </c>
      <c r="I131" s="7" t="s">
        <v>331</v>
      </c>
      <c r="J131" s="8">
        <f>IFERROR(__xludf.DUMMYFUNCTION("SPLIT(I131,""_"")"),43312.0)</f>
        <v>43312</v>
      </c>
      <c r="K131" s="8">
        <f>IFERROR(__xludf.DUMMYFUNCTION("""COMPUTED_VALUE"""),43496.0)</f>
        <v>43496</v>
      </c>
      <c r="L131">
        <f t="shared" si="1"/>
        <v>184</v>
      </c>
      <c r="M131" s="7" t="s">
        <v>18</v>
      </c>
      <c r="N131" s="7" t="s">
        <v>19</v>
      </c>
      <c r="O131" s="7">
        <v>1.0</v>
      </c>
      <c r="Q131">
        <f t="shared" si="2"/>
        <v>27</v>
      </c>
    </row>
    <row r="132">
      <c r="A132" s="5" t="s">
        <v>339</v>
      </c>
      <c r="B132" s="6">
        <v>5000.0</v>
      </c>
      <c r="C132" s="7" t="s">
        <v>13</v>
      </c>
      <c r="D132" s="7">
        <v>8.2138441900015E13</v>
      </c>
      <c r="E132" s="7" t="s">
        <v>276</v>
      </c>
      <c r="F132" s="8">
        <v>43298.0</v>
      </c>
      <c r="G132" s="7" t="s">
        <v>61</v>
      </c>
      <c r="H132" s="7" t="s">
        <v>16</v>
      </c>
      <c r="I132" s="7" t="s">
        <v>278</v>
      </c>
      <c r="J132" s="8">
        <f>IFERROR(__xludf.DUMMYFUNCTION("SPLIT(I132,""_"")"),43298.0)</f>
        <v>43298</v>
      </c>
      <c r="K132" s="8">
        <f>IFERROR(__xludf.DUMMYFUNCTION("""COMPUTED_VALUE"""),43482.0)</f>
        <v>43482</v>
      </c>
      <c r="L132">
        <f t="shared" si="1"/>
        <v>184</v>
      </c>
      <c r="M132" s="7" t="s">
        <v>18</v>
      </c>
      <c r="N132" s="7" t="s">
        <v>19</v>
      </c>
      <c r="O132" s="7">
        <v>1.0</v>
      </c>
      <c r="Q132">
        <f t="shared" si="2"/>
        <v>27</v>
      </c>
    </row>
    <row r="133">
      <c r="A133" s="5" t="s">
        <v>340</v>
      </c>
      <c r="B133" s="6">
        <v>5000.0</v>
      </c>
      <c r="C133" s="7" t="s">
        <v>13</v>
      </c>
      <c r="D133" s="7">
        <v>8.10971283E8</v>
      </c>
      <c r="E133" s="7" t="s">
        <v>189</v>
      </c>
      <c r="F133" s="8">
        <v>43269.0</v>
      </c>
      <c r="G133" s="7" t="s">
        <v>172</v>
      </c>
      <c r="H133" s="7" t="s">
        <v>16</v>
      </c>
      <c r="I133" s="7" t="s">
        <v>52</v>
      </c>
      <c r="J133" s="8">
        <f>IFERROR(__xludf.DUMMYFUNCTION("SPLIT(I133,""_"")"),43269.0)</f>
        <v>43269</v>
      </c>
      <c r="K133" s="8">
        <f>IFERROR(__xludf.DUMMYFUNCTION("""COMPUTED_VALUE"""),43452.0)</f>
        <v>43452</v>
      </c>
      <c r="L133">
        <f t="shared" si="1"/>
        <v>183</v>
      </c>
      <c r="M133" s="7" t="s">
        <v>18</v>
      </c>
      <c r="N133" s="7" t="s">
        <v>19</v>
      </c>
      <c r="O133" s="7">
        <v>1.0</v>
      </c>
      <c r="Q133">
        <f t="shared" si="2"/>
        <v>27</v>
      </c>
    </row>
    <row r="134">
      <c r="A134" s="5" t="s">
        <v>306</v>
      </c>
      <c r="B134" s="6">
        <v>5000.0</v>
      </c>
      <c r="C134" s="7" t="s">
        <v>13</v>
      </c>
      <c r="D134" s="7">
        <v>4.52274798E8</v>
      </c>
      <c r="E134" s="7" t="s">
        <v>189</v>
      </c>
      <c r="F134" s="8">
        <v>43250.0</v>
      </c>
      <c r="G134" s="7" t="s">
        <v>172</v>
      </c>
      <c r="H134" s="7" t="s">
        <v>16</v>
      </c>
      <c r="I134" s="7" t="s">
        <v>303</v>
      </c>
      <c r="J134" s="8">
        <f>IFERROR(__xludf.DUMMYFUNCTION("SPLIT(I134,""_"")"),43250.0)</f>
        <v>43250</v>
      </c>
      <c r="K134" s="8">
        <f>IFERROR(__xludf.DUMMYFUNCTION("""COMPUTED_VALUE"""),43434.0)</f>
        <v>43434</v>
      </c>
      <c r="L134">
        <f t="shared" si="1"/>
        <v>184</v>
      </c>
      <c r="M134" s="7" t="s">
        <v>18</v>
      </c>
      <c r="N134" s="7" t="s">
        <v>19</v>
      </c>
      <c r="O134" s="7">
        <v>1.0</v>
      </c>
      <c r="Q134">
        <f t="shared" si="2"/>
        <v>27</v>
      </c>
    </row>
    <row r="135">
      <c r="A135" s="5" t="s">
        <v>341</v>
      </c>
      <c r="B135" s="6">
        <v>5000.0</v>
      </c>
      <c r="C135" s="7" t="s">
        <v>13</v>
      </c>
      <c r="D135" s="7">
        <v>4.34066577E8</v>
      </c>
      <c r="E135" s="7" t="s">
        <v>342</v>
      </c>
      <c r="F135" s="8">
        <v>43077.0</v>
      </c>
      <c r="G135" s="7" t="s">
        <v>15</v>
      </c>
      <c r="H135" s="7" t="s">
        <v>16</v>
      </c>
      <c r="I135" s="7" t="s">
        <v>343</v>
      </c>
      <c r="J135" s="8">
        <f>IFERROR(__xludf.DUMMYFUNCTION("SPLIT(I135,""_"")"),43077.0)</f>
        <v>43077</v>
      </c>
      <c r="K135" s="8">
        <f>IFERROR(__xludf.DUMMYFUNCTION("""COMPUTED_VALUE"""),43259.0)</f>
        <v>43259</v>
      </c>
      <c r="L135">
        <f t="shared" si="1"/>
        <v>182</v>
      </c>
      <c r="M135" s="7" t="s">
        <v>18</v>
      </c>
      <c r="N135" s="7" t="s">
        <v>19</v>
      </c>
      <c r="O135" s="7">
        <v>1.0</v>
      </c>
      <c r="Q135">
        <f t="shared" si="2"/>
        <v>26</v>
      </c>
    </row>
    <row r="136">
      <c r="A136" s="5" t="s">
        <v>123</v>
      </c>
      <c r="B136" s="6">
        <v>5000.0</v>
      </c>
      <c r="C136" s="7" t="s">
        <v>13</v>
      </c>
      <c r="D136" s="7">
        <v>4.32883825E8</v>
      </c>
      <c r="E136" s="7" t="s">
        <v>344</v>
      </c>
      <c r="F136" s="8">
        <v>43251.0</v>
      </c>
      <c r="G136" s="7" t="s">
        <v>15</v>
      </c>
      <c r="H136" s="7" t="s">
        <v>16</v>
      </c>
      <c r="I136" s="7" t="s">
        <v>345</v>
      </c>
      <c r="J136" s="8">
        <f>IFERROR(__xludf.DUMMYFUNCTION("SPLIT(I136,""_"")"),43251.0)</f>
        <v>43251</v>
      </c>
      <c r="K136" s="8">
        <f>IFERROR(__xludf.DUMMYFUNCTION("""COMPUTED_VALUE"""),43434.0)</f>
        <v>43434</v>
      </c>
      <c r="L136">
        <f t="shared" si="1"/>
        <v>183</v>
      </c>
      <c r="M136" s="7" t="s">
        <v>18</v>
      </c>
      <c r="N136" s="7" t="s">
        <v>19</v>
      </c>
      <c r="O136" s="7">
        <v>1.0</v>
      </c>
      <c r="Q136">
        <f t="shared" si="2"/>
        <v>27</v>
      </c>
    </row>
    <row r="137">
      <c r="A137" s="5" t="s">
        <v>126</v>
      </c>
      <c r="B137" s="6">
        <v>4000.0</v>
      </c>
      <c r="C137" s="7" t="s">
        <v>66</v>
      </c>
      <c r="D137" s="7">
        <v>4.8237148100029E13</v>
      </c>
      <c r="E137" s="7" t="s">
        <v>283</v>
      </c>
      <c r="F137" s="8">
        <v>43368.0</v>
      </c>
      <c r="G137" s="7" t="s">
        <v>195</v>
      </c>
      <c r="H137" s="7" t="s">
        <v>16</v>
      </c>
      <c r="I137" s="7" t="s">
        <v>346</v>
      </c>
      <c r="J137" s="8">
        <f>IFERROR(__xludf.DUMMYFUNCTION("SPLIT(I137,""_"")"),43368.0)</f>
        <v>43368</v>
      </c>
      <c r="K137" s="8">
        <f>IFERROR(__xludf.DUMMYFUNCTION("""COMPUTED_VALUE"""),43549.0)</f>
        <v>43549</v>
      </c>
      <c r="L137">
        <f t="shared" si="1"/>
        <v>181</v>
      </c>
      <c r="M137" s="7" t="s">
        <v>18</v>
      </c>
      <c r="N137" s="7" t="s">
        <v>19</v>
      </c>
      <c r="O137" s="7">
        <v>1.0</v>
      </c>
      <c r="Q137">
        <f t="shared" si="2"/>
        <v>26</v>
      </c>
    </row>
    <row r="138">
      <c r="A138" s="5" t="s">
        <v>235</v>
      </c>
      <c r="B138" s="6">
        <v>4000.0</v>
      </c>
      <c r="C138" s="7" t="s">
        <v>66</v>
      </c>
      <c r="D138" s="7">
        <v>5.3454877100037E13</v>
      </c>
      <c r="E138" s="7" t="s">
        <v>330</v>
      </c>
      <c r="F138" s="8">
        <v>43311.0</v>
      </c>
      <c r="G138" s="7" t="s">
        <v>195</v>
      </c>
      <c r="H138" s="7" t="s">
        <v>16</v>
      </c>
      <c r="I138" s="7" t="s">
        <v>347</v>
      </c>
      <c r="J138" s="8">
        <f>IFERROR(__xludf.DUMMYFUNCTION("SPLIT(I138,""_"")"),43311.0)</f>
        <v>43311</v>
      </c>
      <c r="K138" s="8">
        <f>IFERROR(__xludf.DUMMYFUNCTION("""COMPUTED_VALUE"""),43495.0)</f>
        <v>43495</v>
      </c>
      <c r="L138">
        <f t="shared" si="1"/>
        <v>184</v>
      </c>
      <c r="M138" s="7" t="s">
        <v>18</v>
      </c>
      <c r="N138" s="7" t="s">
        <v>19</v>
      </c>
      <c r="O138" s="7">
        <v>1.0</v>
      </c>
      <c r="Q138">
        <f t="shared" si="2"/>
        <v>27</v>
      </c>
    </row>
    <row r="139">
      <c r="A139" s="5" t="s">
        <v>348</v>
      </c>
      <c r="B139" s="6">
        <v>3500.0</v>
      </c>
      <c r="C139" s="7" t="s">
        <v>66</v>
      </c>
      <c r="D139" s="7">
        <v>4.1900910500018E13</v>
      </c>
      <c r="E139" s="7" t="s">
        <v>330</v>
      </c>
      <c r="F139" s="8">
        <v>43335.0</v>
      </c>
      <c r="G139" s="7" t="s">
        <v>195</v>
      </c>
      <c r="H139" s="7" t="s">
        <v>16</v>
      </c>
      <c r="I139" s="7" t="s">
        <v>196</v>
      </c>
      <c r="J139" s="8">
        <f>IFERROR(__xludf.DUMMYFUNCTION("SPLIT(I139,""_"")"),43335.0)</f>
        <v>43335</v>
      </c>
      <c r="K139" s="8">
        <f>IFERROR(__xludf.DUMMYFUNCTION("""COMPUTED_VALUE"""),43519.0)</f>
        <v>43519</v>
      </c>
      <c r="L139">
        <f t="shared" si="1"/>
        <v>184</v>
      </c>
      <c r="M139" s="7" t="s">
        <v>18</v>
      </c>
      <c r="N139" s="7" t="s">
        <v>19</v>
      </c>
      <c r="O139" s="7">
        <v>1.0</v>
      </c>
      <c r="Q139">
        <f t="shared" si="2"/>
        <v>27</v>
      </c>
    </row>
    <row r="140">
      <c r="A140" s="5" t="s">
        <v>120</v>
      </c>
      <c r="B140" s="6">
        <v>3000.0</v>
      </c>
      <c r="C140" s="7" t="s">
        <v>13</v>
      </c>
      <c r="D140" s="7">
        <v>8.0127165100011E13</v>
      </c>
      <c r="E140" s="7" t="s">
        <v>251</v>
      </c>
      <c r="F140" s="8">
        <v>43301.0</v>
      </c>
      <c r="G140" s="7" t="s">
        <v>349</v>
      </c>
      <c r="H140" s="7" t="s">
        <v>16</v>
      </c>
      <c r="I140" s="7" t="s">
        <v>350</v>
      </c>
      <c r="J140" s="8">
        <f>IFERROR(__xludf.DUMMYFUNCTION("SPLIT(I140,""_"")"),43120.0)</f>
        <v>43120</v>
      </c>
      <c r="K140" s="8">
        <f>IFERROR(__xludf.DUMMYFUNCTION("""COMPUTED_VALUE"""),43301.0)</f>
        <v>43301</v>
      </c>
      <c r="L140">
        <f t="shared" si="1"/>
        <v>181</v>
      </c>
      <c r="M140" s="7" t="s">
        <v>18</v>
      </c>
      <c r="N140" s="7" t="s">
        <v>19</v>
      </c>
      <c r="O140" s="7">
        <v>1.0</v>
      </c>
      <c r="Q140">
        <f t="shared" si="2"/>
        <v>26</v>
      </c>
    </row>
    <row r="141">
      <c r="A141" s="5" t="s">
        <v>351</v>
      </c>
      <c r="B141" s="6">
        <v>3000.0</v>
      </c>
      <c r="C141" s="7" t="s">
        <v>352</v>
      </c>
      <c r="D141" s="7">
        <v>4.1993219900013E13</v>
      </c>
      <c r="E141" s="7" t="s">
        <v>276</v>
      </c>
      <c r="F141" s="8">
        <v>43298.0</v>
      </c>
      <c r="G141" s="7" t="s">
        <v>353</v>
      </c>
      <c r="H141" s="7" t="s">
        <v>354</v>
      </c>
      <c r="I141" s="7" t="s">
        <v>278</v>
      </c>
      <c r="J141" s="8">
        <f>IFERROR(__xludf.DUMMYFUNCTION("SPLIT(I141,""_"")"),43298.0)</f>
        <v>43298</v>
      </c>
      <c r="K141" s="8">
        <f>IFERROR(__xludf.DUMMYFUNCTION("""COMPUTED_VALUE"""),43482.0)</f>
        <v>43482</v>
      </c>
      <c r="L141">
        <f t="shared" si="1"/>
        <v>184</v>
      </c>
      <c r="M141" s="7" t="s">
        <v>18</v>
      </c>
      <c r="N141" s="7" t="s">
        <v>19</v>
      </c>
      <c r="O141" s="7">
        <v>1.0</v>
      </c>
      <c r="Q141">
        <f t="shared" si="2"/>
        <v>27</v>
      </c>
    </row>
    <row r="142">
      <c r="A142" s="5" t="s">
        <v>355</v>
      </c>
      <c r="B142" s="6">
        <v>2100.0</v>
      </c>
      <c r="C142" s="7" t="s">
        <v>13</v>
      </c>
      <c r="D142" s="7">
        <v>7.50447567E8</v>
      </c>
      <c r="E142" s="7" t="s">
        <v>33</v>
      </c>
      <c r="F142" s="8">
        <v>43279.0</v>
      </c>
      <c r="G142" s="7" t="s">
        <v>172</v>
      </c>
      <c r="H142" s="7" t="s">
        <v>16</v>
      </c>
      <c r="I142" s="7" t="s">
        <v>153</v>
      </c>
      <c r="J142" s="8">
        <f>IFERROR(__xludf.DUMMYFUNCTION("SPLIT(I142,""_"")"),43279.0)</f>
        <v>43279</v>
      </c>
      <c r="K142" s="8">
        <f>IFERROR(__xludf.DUMMYFUNCTION("""COMPUTED_VALUE"""),43462.0)</f>
        <v>43462</v>
      </c>
      <c r="L142">
        <f t="shared" si="1"/>
        <v>183</v>
      </c>
      <c r="M142" s="7" t="s">
        <v>18</v>
      </c>
      <c r="N142" s="7" t="s">
        <v>19</v>
      </c>
      <c r="O142" s="7">
        <v>1.0</v>
      </c>
      <c r="Q142">
        <f t="shared" si="2"/>
        <v>27</v>
      </c>
    </row>
    <row r="143">
      <c r="A143" s="5" t="s">
        <v>356</v>
      </c>
      <c r="B143" s="6">
        <v>2000.0</v>
      </c>
      <c r="C143" s="7" t="s">
        <v>66</v>
      </c>
      <c r="D143" s="7">
        <v>8.1028483600014E13</v>
      </c>
      <c r="E143" s="7" t="s">
        <v>276</v>
      </c>
      <c r="F143" s="8">
        <v>43342.0</v>
      </c>
      <c r="G143" s="7" t="s">
        <v>357</v>
      </c>
      <c r="H143" s="7" t="s">
        <v>16</v>
      </c>
      <c r="I143" s="7" t="s">
        <v>289</v>
      </c>
      <c r="J143" s="8">
        <f>IFERROR(__xludf.DUMMYFUNCTION("SPLIT(I143,""_"")"),43342.0)</f>
        <v>43342</v>
      </c>
      <c r="K143" s="8">
        <f>IFERROR(__xludf.DUMMYFUNCTION("""COMPUTED_VALUE"""),43524.0)</f>
        <v>43524</v>
      </c>
      <c r="L143">
        <f t="shared" si="1"/>
        <v>182</v>
      </c>
      <c r="M143" s="7" t="s">
        <v>18</v>
      </c>
      <c r="N143" s="7" t="s">
        <v>19</v>
      </c>
      <c r="O143" s="7">
        <v>1.0</v>
      </c>
      <c r="Q143">
        <f t="shared" si="2"/>
        <v>26</v>
      </c>
    </row>
    <row r="144">
      <c r="A144" s="5" t="s">
        <v>126</v>
      </c>
      <c r="B144" s="6">
        <v>1500.0</v>
      </c>
      <c r="C144" s="7" t="s">
        <v>66</v>
      </c>
      <c r="D144" s="7">
        <v>4.8237148100029E13</v>
      </c>
      <c r="E144" s="7" t="s">
        <v>276</v>
      </c>
      <c r="F144" s="8">
        <v>43368.0</v>
      </c>
      <c r="G144" s="7" t="s">
        <v>357</v>
      </c>
      <c r="H144" s="7" t="s">
        <v>16</v>
      </c>
      <c r="I144" s="7" t="s">
        <v>346</v>
      </c>
      <c r="J144" s="8">
        <f>IFERROR(__xludf.DUMMYFUNCTION("SPLIT(I144,""_"")"),43368.0)</f>
        <v>43368</v>
      </c>
      <c r="K144" s="8">
        <f>IFERROR(__xludf.DUMMYFUNCTION("""COMPUTED_VALUE"""),43549.0)</f>
        <v>43549</v>
      </c>
      <c r="L144">
        <f t="shared" si="1"/>
        <v>181</v>
      </c>
      <c r="M144" s="7" t="s">
        <v>18</v>
      </c>
      <c r="N144" s="7" t="s">
        <v>19</v>
      </c>
      <c r="O144" s="7">
        <v>1.0</v>
      </c>
      <c r="Q144">
        <f t="shared" si="2"/>
        <v>26</v>
      </c>
    </row>
    <row r="145" hidden="1">
      <c r="A145" s="5"/>
      <c r="B145" s="6"/>
      <c r="C145" s="7"/>
      <c r="D145" s="7"/>
      <c r="E145" s="7"/>
      <c r="F145" s="8"/>
      <c r="G145" s="7"/>
      <c r="H145" s="7"/>
      <c r="I145" s="7"/>
      <c r="J145" s="7"/>
      <c r="K145" s="7"/>
      <c r="L145" s="7"/>
      <c r="M145" s="7"/>
      <c r="N145" s="7"/>
      <c r="O145" s="7"/>
    </row>
  </sheetData>
  <autoFilter ref="$C$1:$C$145">
    <filterColumn colId="0">
      <filters>
        <filter val="en 1 fois"/>
        <filter val="1 versement"/>
        <filter val="échelonné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5" max="5" width="22.88"/>
    <col customWidth="1" min="11" max="11" width="17.63"/>
  </cols>
  <sheetData>
    <row r="1" ht="29.25" customHeight="1">
      <c r="A1" s="3" t="s">
        <v>361</v>
      </c>
      <c r="B1" s="3" t="s">
        <v>362</v>
      </c>
      <c r="C1" s="3" t="s">
        <v>363</v>
      </c>
      <c r="D1" s="3" t="s">
        <v>364</v>
      </c>
      <c r="E1" s="3" t="s">
        <v>365</v>
      </c>
      <c r="F1" s="3" t="s">
        <v>5</v>
      </c>
      <c r="G1" s="3" t="s">
        <v>4</v>
      </c>
      <c r="H1" s="3" t="s">
        <v>366</v>
      </c>
      <c r="I1" s="3" t="s">
        <v>6</v>
      </c>
      <c r="J1" s="3" t="s">
        <v>7</v>
      </c>
      <c r="K1" s="3" t="s">
        <v>367</v>
      </c>
      <c r="L1" s="3" t="s">
        <v>8</v>
      </c>
      <c r="M1" s="3"/>
      <c r="N1" s="3"/>
      <c r="O1" s="3" t="s">
        <v>9</v>
      </c>
      <c r="P1" s="3" t="s">
        <v>368</v>
      </c>
      <c r="Q1" s="3" t="s">
        <v>369</v>
      </c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7" t="s">
        <v>370</v>
      </c>
      <c r="B2" s="7">
        <v>12500.0</v>
      </c>
      <c r="C2" s="8">
        <v>43724.0</v>
      </c>
      <c r="D2" s="7" t="s">
        <v>371</v>
      </c>
      <c r="E2" s="7">
        <v>2.4330031600011E13</v>
      </c>
      <c r="F2" s="8">
        <v>43651.0</v>
      </c>
      <c r="G2" s="7" t="s">
        <v>372</v>
      </c>
      <c r="H2" s="7">
        <v>4.3383594000027E13</v>
      </c>
      <c r="I2" s="7" t="s">
        <v>373</v>
      </c>
      <c r="J2" s="7" t="s">
        <v>16</v>
      </c>
      <c r="K2" s="7" t="s">
        <v>13</v>
      </c>
      <c r="L2" s="7" t="s">
        <v>374</v>
      </c>
      <c r="M2" s="8">
        <f>IFERROR(__xludf.DUMMYFUNCTION("SPLIT(L2,""/"")"),43651.0)</f>
        <v>43651</v>
      </c>
      <c r="N2" s="8">
        <f>IFERROR(__xludf.DUMMYFUNCTION("""COMPUTED_VALUE"""),43835.0)</f>
        <v>43835</v>
      </c>
      <c r="O2" s="7" t="s">
        <v>18</v>
      </c>
      <c r="P2" s="7" t="s">
        <v>19</v>
      </c>
      <c r="Q2" s="7">
        <v>1.0</v>
      </c>
    </row>
    <row r="3">
      <c r="A3" s="7" t="s">
        <v>109</v>
      </c>
      <c r="B3" s="7">
        <v>58000.0</v>
      </c>
      <c r="C3" s="8">
        <v>43636.0</v>
      </c>
      <c r="D3" s="7" t="s">
        <v>371</v>
      </c>
      <c r="E3" s="7">
        <v>2.4330031600011E13</v>
      </c>
      <c r="F3" s="8">
        <v>43556.0</v>
      </c>
      <c r="G3" s="7" t="s">
        <v>375</v>
      </c>
      <c r="H3" s="7">
        <v>3.9811228400011E13</v>
      </c>
      <c r="I3" s="7" t="s">
        <v>376</v>
      </c>
      <c r="J3" s="7" t="s">
        <v>16</v>
      </c>
      <c r="K3" s="7" t="s">
        <v>13</v>
      </c>
      <c r="L3" s="7" t="s">
        <v>377</v>
      </c>
      <c r="M3" s="8">
        <f>IFERROR(__xludf.DUMMYFUNCTION("SPLIT(L3,""/"")"),43556.0)</f>
        <v>43556</v>
      </c>
      <c r="N3" s="8">
        <f>IFERROR(__xludf.DUMMYFUNCTION("""COMPUTED_VALUE"""),43739.0)</f>
        <v>43739</v>
      </c>
      <c r="O3" s="7" t="s">
        <v>18</v>
      </c>
      <c r="P3" s="7" t="s">
        <v>19</v>
      </c>
      <c r="Q3" s="7">
        <v>1.0</v>
      </c>
    </row>
    <row r="4">
      <c r="A4" s="7" t="s">
        <v>149</v>
      </c>
      <c r="B4" s="7">
        <v>15000.0</v>
      </c>
      <c r="C4" s="8">
        <v>43636.0</v>
      </c>
      <c r="D4" s="7" t="s">
        <v>371</v>
      </c>
      <c r="E4" s="7">
        <v>2.4330031600011E13</v>
      </c>
      <c r="F4" s="8">
        <v>43627.0</v>
      </c>
      <c r="G4" s="7" t="s">
        <v>378</v>
      </c>
      <c r="H4" s="7">
        <v>3.5221687300211E13</v>
      </c>
      <c r="I4" s="7" t="s">
        <v>379</v>
      </c>
      <c r="J4" s="7" t="s">
        <v>16</v>
      </c>
      <c r="K4" s="7" t="s">
        <v>380</v>
      </c>
      <c r="L4" s="7" t="s">
        <v>381</v>
      </c>
      <c r="M4" s="8">
        <f>IFERROR(__xludf.DUMMYFUNCTION("SPLIT(L4,""/"")"),43627.0)</f>
        <v>43627</v>
      </c>
      <c r="N4" s="8">
        <f>IFERROR(__xludf.DUMMYFUNCTION("""COMPUTED_VALUE"""),43810.0)</f>
        <v>43810</v>
      </c>
      <c r="O4" s="7" t="s">
        <v>18</v>
      </c>
      <c r="P4" s="7" t="s">
        <v>19</v>
      </c>
      <c r="Q4" s="7">
        <v>1.0</v>
      </c>
    </row>
    <row r="5">
      <c r="A5" s="7" t="s">
        <v>149</v>
      </c>
      <c r="B5" s="7">
        <v>5000.0</v>
      </c>
      <c r="C5" s="8">
        <v>43724.0</v>
      </c>
      <c r="D5" s="7" t="s">
        <v>371</v>
      </c>
      <c r="E5" s="7">
        <v>2.4330031600011E13</v>
      </c>
      <c r="F5" s="8">
        <v>43677.0</v>
      </c>
      <c r="G5" s="7" t="s">
        <v>382</v>
      </c>
      <c r="H5" s="7">
        <v>3.5221687300015E13</v>
      </c>
      <c r="I5" s="7" t="s">
        <v>68</v>
      </c>
      <c r="J5" s="7" t="s">
        <v>16</v>
      </c>
      <c r="K5" s="7" t="s">
        <v>380</v>
      </c>
      <c r="L5" s="7" t="s">
        <v>383</v>
      </c>
      <c r="M5" s="8">
        <f>IFERROR(__xludf.DUMMYFUNCTION("SPLIT(L5,""/"")"),43677.0)</f>
        <v>43677</v>
      </c>
      <c r="N5" s="8">
        <f>IFERROR(__xludf.DUMMYFUNCTION("""COMPUTED_VALUE"""),43861.0)</f>
        <v>43861</v>
      </c>
      <c r="O5" s="7" t="s">
        <v>18</v>
      </c>
      <c r="P5" s="7" t="s">
        <v>19</v>
      </c>
      <c r="Q5" s="7">
        <v>1.0</v>
      </c>
    </row>
    <row r="6">
      <c r="A6" s="7" t="s">
        <v>384</v>
      </c>
      <c r="B6" s="7">
        <v>97740.0</v>
      </c>
      <c r="C6" s="8">
        <v>43502.0</v>
      </c>
      <c r="D6" s="7" t="s">
        <v>371</v>
      </c>
      <c r="E6" s="7">
        <v>2.4330031600011E13</v>
      </c>
      <c r="F6" s="8">
        <v>43413.0</v>
      </c>
      <c r="G6" s="7" t="s">
        <v>385</v>
      </c>
      <c r="H6" s="7">
        <v>3.0537823400036E13</v>
      </c>
      <c r="I6" s="7" t="s">
        <v>68</v>
      </c>
      <c r="J6" s="7" t="s">
        <v>16</v>
      </c>
      <c r="K6" s="7" t="s">
        <v>13</v>
      </c>
      <c r="L6" s="7" t="s">
        <v>386</v>
      </c>
      <c r="M6" s="8">
        <f>IFERROR(__xludf.DUMMYFUNCTION("SPLIT(L6,""/"")"),43413.0)</f>
        <v>43413</v>
      </c>
      <c r="N6" s="8">
        <f>IFERROR(__xludf.DUMMYFUNCTION("""COMPUTED_VALUE"""),43594.0)</f>
        <v>43594</v>
      </c>
      <c r="O6" s="7" t="s">
        <v>18</v>
      </c>
      <c r="P6" s="7" t="s">
        <v>19</v>
      </c>
      <c r="Q6" s="7">
        <v>1.0</v>
      </c>
    </row>
    <row r="7">
      <c r="A7" s="7" t="s">
        <v>387</v>
      </c>
      <c r="B7" s="7">
        <v>20000.0</v>
      </c>
      <c r="C7" s="8">
        <v>43636.0</v>
      </c>
      <c r="D7" s="7" t="s">
        <v>371</v>
      </c>
      <c r="E7" s="7">
        <v>2.4330031600011E13</v>
      </c>
      <c r="F7" s="8">
        <v>43612.0</v>
      </c>
      <c r="G7" s="7" t="s">
        <v>388</v>
      </c>
      <c r="H7" s="7">
        <v>4.8956307200029E13</v>
      </c>
      <c r="I7" s="7" t="s">
        <v>389</v>
      </c>
      <c r="J7" s="7" t="s">
        <v>16</v>
      </c>
      <c r="K7" s="7" t="s">
        <v>13</v>
      </c>
      <c r="L7" s="7" t="s">
        <v>390</v>
      </c>
      <c r="M7" s="8">
        <f>IFERROR(__xludf.DUMMYFUNCTION("SPLIT(L7,""/"")"),43612.0)</f>
        <v>43612</v>
      </c>
      <c r="N7" s="8">
        <f>IFERROR(__xludf.DUMMYFUNCTION("""COMPUTED_VALUE"""),43796.0)</f>
        <v>43796</v>
      </c>
      <c r="O7" s="7" t="s">
        <v>18</v>
      </c>
      <c r="P7" s="7" t="s">
        <v>19</v>
      </c>
      <c r="Q7" s="7">
        <v>1.0</v>
      </c>
    </row>
    <row r="8">
      <c r="A8" s="7" t="s">
        <v>387</v>
      </c>
      <c r="B8" s="7">
        <v>15000.0</v>
      </c>
      <c r="C8" s="8">
        <v>43724.0</v>
      </c>
      <c r="D8" s="7" t="s">
        <v>371</v>
      </c>
      <c r="E8" s="7">
        <v>2.4330031600011E13</v>
      </c>
      <c r="F8" s="8">
        <v>43703.0</v>
      </c>
      <c r="G8" s="7" t="s">
        <v>391</v>
      </c>
      <c r="H8" s="7">
        <v>4.8956307200029E13</v>
      </c>
      <c r="I8" s="7" t="s">
        <v>392</v>
      </c>
      <c r="J8" s="7" t="s">
        <v>16</v>
      </c>
      <c r="K8" s="7" t="s">
        <v>13</v>
      </c>
      <c r="L8" s="7" t="s">
        <v>393</v>
      </c>
      <c r="M8" s="8">
        <f>IFERROR(__xludf.DUMMYFUNCTION("SPLIT(L8,""/"")"),43703.0)</f>
        <v>43703</v>
      </c>
      <c r="N8" s="8">
        <f>IFERROR(__xludf.DUMMYFUNCTION("""COMPUTED_VALUE"""),43887.0)</f>
        <v>43887</v>
      </c>
      <c r="O8" s="7" t="s">
        <v>18</v>
      </c>
      <c r="P8" s="7" t="s">
        <v>19</v>
      </c>
      <c r="Q8" s="7">
        <v>1.0</v>
      </c>
    </row>
    <row r="9">
      <c r="A9" s="7" t="s">
        <v>205</v>
      </c>
      <c r="B9" s="7">
        <v>14500.0</v>
      </c>
      <c r="C9" s="8">
        <v>43636.0</v>
      </c>
      <c r="D9" s="7" t="s">
        <v>371</v>
      </c>
      <c r="E9" s="7">
        <v>2.4330031600011E13</v>
      </c>
      <c r="F9" s="8">
        <v>43619.0</v>
      </c>
      <c r="G9" s="7" t="s">
        <v>372</v>
      </c>
      <c r="H9" s="7">
        <v>4.3403882400042E13</v>
      </c>
      <c r="I9" s="7" t="s">
        <v>273</v>
      </c>
      <c r="J9" s="7" t="s">
        <v>16</v>
      </c>
      <c r="K9" s="7" t="s">
        <v>13</v>
      </c>
      <c r="L9" s="7" t="s">
        <v>394</v>
      </c>
      <c r="M9" s="8">
        <f>IFERROR(__xludf.DUMMYFUNCTION("SPLIT(L9,""/"")"),43619.0)</f>
        <v>43619</v>
      </c>
      <c r="N9" s="8">
        <f>IFERROR(__xludf.DUMMYFUNCTION("""COMPUTED_VALUE"""),43802.0)</f>
        <v>43802</v>
      </c>
      <c r="O9" s="7" t="s">
        <v>18</v>
      </c>
      <c r="P9" s="7" t="s">
        <v>19</v>
      </c>
      <c r="Q9" s="7">
        <v>1.0</v>
      </c>
    </row>
    <row r="10">
      <c r="A10" s="7" t="s">
        <v>205</v>
      </c>
      <c r="B10" s="7">
        <v>25000.0</v>
      </c>
      <c r="C10" s="8">
        <v>43724.0</v>
      </c>
      <c r="D10" s="7" t="s">
        <v>371</v>
      </c>
      <c r="E10" s="7">
        <v>2.4330031600011E13</v>
      </c>
      <c r="F10" s="8">
        <v>43658.0</v>
      </c>
      <c r="G10" s="7" t="s">
        <v>395</v>
      </c>
      <c r="H10" s="7">
        <v>4.3403882400042E13</v>
      </c>
      <c r="I10" s="7" t="s">
        <v>396</v>
      </c>
      <c r="J10" s="7" t="s">
        <v>16</v>
      </c>
      <c r="K10" s="7" t="s">
        <v>13</v>
      </c>
      <c r="L10" s="7" t="s">
        <v>397</v>
      </c>
      <c r="M10" s="8">
        <f>IFERROR(__xludf.DUMMYFUNCTION("SPLIT(L10,""/"")"),43658.0)</f>
        <v>43658</v>
      </c>
      <c r="N10" s="8">
        <f>IFERROR(__xludf.DUMMYFUNCTION("""COMPUTED_VALUE"""),43842.0)</f>
        <v>43842</v>
      </c>
      <c r="O10" s="7" t="s">
        <v>18</v>
      </c>
      <c r="P10" s="7" t="s">
        <v>19</v>
      </c>
      <c r="Q10" s="7">
        <v>1.0</v>
      </c>
    </row>
    <row r="11">
      <c r="A11" s="7" t="s">
        <v>86</v>
      </c>
      <c r="B11" s="7">
        <v>90000.0</v>
      </c>
      <c r="C11" s="8">
        <v>43784.0</v>
      </c>
      <c r="D11" s="7" t="s">
        <v>371</v>
      </c>
      <c r="E11" s="7">
        <v>2.4330031600011E13</v>
      </c>
      <c r="F11" s="8">
        <v>43769.0</v>
      </c>
      <c r="G11" s="7" t="s">
        <v>398</v>
      </c>
      <c r="H11" s="7">
        <v>4.8428452600072E13</v>
      </c>
      <c r="I11" s="7" t="s">
        <v>68</v>
      </c>
      <c r="J11" s="7" t="s">
        <v>16</v>
      </c>
      <c r="K11" s="7" t="s">
        <v>13</v>
      </c>
      <c r="L11" s="7" t="s">
        <v>399</v>
      </c>
      <c r="M11" s="8">
        <f>IFERROR(__xludf.DUMMYFUNCTION("SPLIT(L11,""/"")"),43769.0)</f>
        <v>43769</v>
      </c>
      <c r="N11" s="8">
        <f>IFERROR(__xludf.DUMMYFUNCTION("""COMPUTED_VALUE"""),43951.0)</f>
        <v>43951</v>
      </c>
      <c r="O11" s="7" t="s">
        <v>18</v>
      </c>
      <c r="P11" s="7" t="s">
        <v>19</v>
      </c>
      <c r="Q11" s="7">
        <v>1.0</v>
      </c>
    </row>
    <row r="12">
      <c r="A12" s="7" t="s">
        <v>101</v>
      </c>
      <c r="B12" s="7">
        <v>58000.0</v>
      </c>
      <c r="C12" s="8">
        <v>43557.0</v>
      </c>
      <c r="D12" s="7" t="s">
        <v>371</v>
      </c>
      <c r="E12" s="7">
        <v>2.4330031600011E13</v>
      </c>
      <c r="F12" s="8">
        <v>43532.0</v>
      </c>
      <c r="G12" s="7" t="s">
        <v>400</v>
      </c>
      <c r="H12" s="7">
        <v>3.0016423300029E13</v>
      </c>
      <c r="I12" s="7" t="s">
        <v>68</v>
      </c>
      <c r="J12" s="7" t="s">
        <v>16</v>
      </c>
      <c r="K12" s="7" t="s">
        <v>13</v>
      </c>
      <c r="L12" s="7" t="s">
        <v>401</v>
      </c>
      <c r="M12" s="8">
        <f>IFERROR(__xludf.DUMMYFUNCTION("SPLIT(L12,""/"")"),43532.0)</f>
        <v>43532</v>
      </c>
      <c r="N12" s="8">
        <f>IFERROR(__xludf.DUMMYFUNCTION("""COMPUTED_VALUE"""),43716.0)</f>
        <v>43716</v>
      </c>
      <c r="O12" s="7" t="s">
        <v>18</v>
      </c>
      <c r="P12" s="7" t="s">
        <v>19</v>
      </c>
      <c r="Q12" s="7">
        <v>1.0</v>
      </c>
    </row>
    <row r="13">
      <c r="A13" s="7" t="s">
        <v>402</v>
      </c>
      <c r="B13" s="7">
        <v>14250.0</v>
      </c>
      <c r="C13" s="8">
        <v>43636.0</v>
      </c>
      <c r="D13" s="7" t="s">
        <v>371</v>
      </c>
      <c r="E13" s="7">
        <v>2.4330031600011E13</v>
      </c>
      <c r="F13" s="8">
        <v>43614.0</v>
      </c>
      <c r="G13" s="7" t="s">
        <v>403</v>
      </c>
      <c r="H13" s="7">
        <v>4.9848483100033E13</v>
      </c>
      <c r="I13" s="7" t="s">
        <v>404</v>
      </c>
      <c r="J13" s="7" t="s">
        <v>16</v>
      </c>
      <c r="K13" s="7" t="s">
        <v>13</v>
      </c>
      <c r="L13" s="7" t="s">
        <v>405</v>
      </c>
      <c r="M13" s="8">
        <f>IFERROR(__xludf.DUMMYFUNCTION("SPLIT(L13,""/"")"),43614.0)</f>
        <v>43614</v>
      </c>
      <c r="N13" s="8">
        <f>IFERROR(__xludf.DUMMYFUNCTION("""COMPUTED_VALUE"""),43798.0)</f>
        <v>43798</v>
      </c>
      <c r="O13" s="7" t="s">
        <v>18</v>
      </c>
      <c r="P13" s="7" t="s">
        <v>19</v>
      </c>
      <c r="Q13" s="7">
        <v>1.0</v>
      </c>
    </row>
    <row r="14">
      <c r="A14" s="7" t="s">
        <v>406</v>
      </c>
      <c r="B14" s="7">
        <v>180000.0</v>
      </c>
      <c r="C14" s="8">
        <v>43557.0</v>
      </c>
      <c r="D14" s="7" t="s">
        <v>371</v>
      </c>
      <c r="E14" s="7">
        <v>2.4330031600011E13</v>
      </c>
      <c r="F14" s="8">
        <v>43514.0</v>
      </c>
      <c r="G14" s="7" t="s">
        <v>407</v>
      </c>
      <c r="H14" s="7">
        <v>7.8184375000048E13</v>
      </c>
      <c r="I14" s="7" t="s">
        <v>68</v>
      </c>
      <c r="J14" s="7" t="s">
        <v>16</v>
      </c>
      <c r="K14" s="7" t="s">
        <v>13</v>
      </c>
      <c r="L14" s="7" t="s">
        <v>408</v>
      </c>
      <c r="M14" s="8">
        <f>IFERROR(__xludf.DUMMYFUNCTION("SPLIT(L14,""/"")"),43514.0)</f>
        <v>43514</v>
      </c>
      <c r="N14" s="8">
        <f>IFERROR(__xludf.DUMMYFUNCTION("""COMPUTED_VALUE"""),43695.0)</f>
        <v>43695</v>
      </c>
      <c r="O14" s="7" t="s">
        <v>18</v>
      </c>
      <c r="P14" s="7" t="s">
        <v>19</v>
      </c>
      <c r="Q14" s="7">
        <v>1.0</v>
      </c>
    </row>
    <row r="15">
      <c r="A15" s="7" t="s">
        <v>409</v>
      </c>
      <c r="B15" s="7">
        <v>49000.0</v>
      </c>
      <c r="C15" s="8">
        <v>43502.0</v>
      </c>
      <c r="D15" s="7" t="s">
        <v>371</v>
      </c>
      <c r="E15" s="7">
        <v>2.4330031600011E13</v>
      </c>
      <c r="F15" s="8">
        <v>43480.0</v>
      </c>
      <c r="G15" s="7" t="s">
        <v>410</v>
      </c>
      <c r="H15" s="7">
        <v>3.2721569500047E13</v>
      </c>
      <c r="I15" s="7" t="s">
        <v>411</v>
      </c>
      <c r="J15" s="7" t="s">
        <v>16</v>
      </c>
      <c r="K15" s="7" t="s">
        <v>13</v>
      </c>
      <c r="L15" s="7" t="s">
        <v>412</v>
      </c>
      <c r="M15" s="8">
        <f>IFERROR(__xludf.DUMMYFUNCTION("SPLIT(L15,""/"")"),43480.0)</f>
        <v>43480</v>
      </c>
      <c r="N15" s="8">
        <f>IFERROR(__xludf.DUMMYFUNCTION("""COMPUTED_VALUE"""),43661.0)</f>
        <v>43661</v>
      </c>
      <c r="O15" s="7" t="s">
        <v>18</v>
      </c>
      <c r="P15" s="7" t="s">
        <v>19</v>
      </c>
      <c r="Q15" s="7">
        <v>1.0</v>
      </c>
    </row>
    <row r="16">
      <c r="A16" s="7" t="s">
        <v>413</v>
      </c>
      <c r="B16" s="7">
        <v>82800.0</v>
      </c>
      <c r="C16" s="8">
        <v>43557.0</v>
      </c>
      <c r="D16" s="7" t="s">
        <v>371</v>
      </c>
      <c r="E16" s="7">
        <v>2.4330031600011E13</v>
      </c>
      <c r="F16" s="8">
        <v>43532.0</v>
      </c>
      <c r="G16" s="7" t="s">
        <v>414</v>
      </c>
      <c r="H16" s="7">
        <v>4.9500944100033E13</v>
      </c>
      <c r="I16" s="7" t="s">
        <v>415</v>
      </c>
      <c r="J16" s="7" t="s">
        <v>16</v>
      </c>
      <c r="K16" s="7" t="s">
        <v>13</v>
      </c>
      <c r="L16" s="7" t="s">
        <v>401</v>
      </c>
      <c r="M16" s="8">
        <f>IFERROR(__xludf.DUMMYFUNCTION("SPLIT(L16,""/"")"),43532.0)</f>
        <v>43532</v>
      </c>
      <c r="N16" s="8">
        <f>IFERROR(__xludf.DUMMYFUNCTION("""COMPUTED_VALUE"""),43716.0)</f>
        <v>43716</v>
      </c>
      <c r="O16" s="7" t="s">
        <v>18</v>
      </c>
      <c r="P16" s="7" t="s">
        <v>19</v>
      </c>
      <c r="Q16" s="7">
        <v>1.0</v>
      </c>
    </row>
    <row r="17">
      <c r="A17" s="7" t="s">
        <v>413</v>
      </c>
      <c r="B17" s="7">
        <v>137000.0</v>
      </c>
      <c r="C17" s="8">
        <v>43724.0</v>
      </c>
      <c r="D17" s="7" t="s">
        <v>371</v>
      </c>
      <c r="E17" s="7">
        <v>2.4330031600011E13</v>
      </c>
      <c r="F17" s="8">
        <v>43628.0</v>
      </c>
      <c r="G17" s="7" t="s">
        <v>416</v>
      </c>
      <c r="H17" s="7">
        <v>4.9500944100033E13</v>
      </c>
      <c r="I17" s="7" t="s">
        <v>68</v>
      </c>
      <c r="J17" s="7" t="s">
        <v>16</v>
      </c>
      <c r="K17" s="7" t="s">
        <v>13</v>
      </c>
      <c r="L17" s="7" t="s">
        <v>417</v>
      </c>
      <c r="M17" s="8">
        <f>IFERROR(__xludf.DUMMYFUNCTION("SPLIT(L17,""/"")"),43628.0)</f>
        <v>43628</v>
      </c>
      <c r="N17" s="8">
        <f>IFERROR(__xludf.DUMMYFUNCTION("""COMPUTED_VALUE"""),43811.0)</f>
        <v>43811</v>
      </c>
      <c r="O17" s="7" t="s">
        <v>18</v>
      </c>
      <c r="P17" s="7" t="s">
        <v>19</v>
      </c>
      <c r="Q17" s="7">
        <v>1.0</v>
      </c>
    </row>
    <row r="18">
      <c r="A18" s="7" t="s">
        <v>113</v>
      </c>
      <c r="B18" s="7">
        <v>57000.0</v>
      </c>
      <c r="C18" s="8">
        <v>43724.0</v>
      </c>
      <c r="D18" s="7" t="s">
        <v>371</v>
      </c>
      <c r="E18" s="7">
        <v>2.4330031600011E13</v>
      </c>
      <c r="F18" s="8">
        <v>43635.0</v>
      </c>
      <c r="G18" s="7" t="s">
        <v>418</v>
      </c>
      <c r="H18" s="7">
        <v>4.7941474000049E13</v>
      </c>
      <c r="I18" s="7" t="s">
        <v>68</v>
      </c>
      <c r="J18" s="7" t="s">
        <v>16</v>
      </c>
      <c r="K18" s="7" t="s">
        <v>13</v>
      </c>
      <c r="L18" s="7" t="s">
        <v>419</v>
      </c>
      <c r="M18" s="8">
        <f>IFERROR(__xludf.DUMMYFUNCTION("SPLIT(L18,""/"")"),43635.0)</f>
        <v>43635</v>
      </c>
      <c r="N18" s="8">
        <f>IFERROR(__xludf.DUMMYFUNCTION("""COMPUTED_VALUE"""),43818.0)</f>
        <v>43818</v>
      </c>
      <c r="O18" s="7" t="s">
        <v>18</v>
      </c>
      <c r="P18" s="7" t="s">
        <v>19</v>
      </c>
      <c r="Q18" s="7">
        <v>1.0</v>
      </c>
    </row>
    <row r="19">
      <c r="A19" s="7" t="s">
        <v>332</v>
      </c>
      <c r="B19" s="7">
        <v>6500.0</v>
      </c>
      <c r="C19" s="8">
        <v>43724.0</v>
      </c>
      <c r="D19" s="7" t="s">
        <v>371</v>
      </c>
      <c r="E19" s="7">
        <v>2.4330031600011E13</v>
      </c>
      <c r="F19" s="8">
        <v>43703.0</v>
      </c>
      <c r="G19" s="7" t="s">
        <v>420</v>
      </c>
      <c r="H19" s="7">
        <v>4.2283936500018E13</v>
      </c>
      <c r="I19" s="7" t="s">
        <v>421</v>
      </c>
      <c r="J19" s="7" t="s">
        <v>16</v>
      </c>
      <c r="K19" s="7" t="s">
        <v>13</v>
      </c>
      <c r="L19" s="7" t="s">
        <v>393</v>
      </c>
      <c r="M19" s="8">
        <f>IFERROR(__xludf.DUMMYFUNCTION("SPLIT(L19,""/"")"),43703.0)</f>
        <v>43703</v>
      </c>
      <c r="N19" s="8">
        <f>IFERROR(__xludf.DUMMYFUNCTION("""COMPUTED_VALUE"""),43887.0)</f>
        <v>43887</v>
      </c>
      <c r="O19" s="7" t="s">
        <v>18</v>
      </c>
      <c r="P19" s="7" t="s">
        <v>19</v>
      </c>
      <c r="Q19" s="7">
        <v>1.0</v>
      </c>
    </row>
    <row r="20">
      <c r="A20" s="7" t="s">
        <v>422</v>
      </c>
      <c r="B20" s="7">
        <v>20000.0</v>
      </c>
      <c r="C20" s="8">
        <v>43557.0</v>
      </c>
      <c r="D20" s="7" t="s">
        <v>371</v>
      </c>
      <c r="E20" s="7">
        <v>2.4330031600011E13</v>
      </c>
      <c r="F20" s="8">
        <v>43432.0</v>
      </c>
      <c r="G20" s="7" t="s">
        <v>423</v>
      </c>
      <c r="H20" s="7">
        <v>5.1482209700028E13</v>
      </c>
      <c r="I20" s="7" t="s">
        <v>424</v>
      </c>
      <c r="J20" s="7" t="s">
        <v>16</v>
      </c>
      <c r="K20" s="7" t="s">
        <v>13</v>
      </c>
      <c r="L20" s="7" t="s">
        <v>425</v>
      </c>
      <c r="M20" s="8">
        <f>IFERROR(__xludf.DUMMYFUNCTION("SPLIT(L20,""/"")"),43432.0)</f>
        <v>43432</v>
      </c>
      <c r="N20" s="8">
        <f>IFERROR(__xludf.DUMMYFUNCTION("""COMPUTED_VALUE"""),43613.0)</f>
        <v>43613</v>
      </c>
      <c r="O20" s="7" t="s">
        <v>18</v>
      </c>
      <c r="P20" s="7" t="s">
        <v>19</v>
      </c>
      <c r="Q20" s="7">
        <v>1.0</v>
      </c>
    </row>
    <row r="21">
      <c r="A21" s="7" t="s">
        <v>426</v>
      </c>
      <c r="B21" s="7">
        <v>26000.0</v>
      </c>
      <c r="C21" s="8">
        <v>43502.0</v>
      </c>
      <c r="D21" s="7" t="s">
        <v>371</v>
      </c>
      <c r="E21" s="7">
        <v>2.4330031600011E13</v>
      </c>
      <c r="F21" s="8">
        <v>43496.0</v>
      </c>
      <c r="G21" s="7" t="s">
        <v>427</v>
      </c>
      <c r="H21" s="7">
        <v>3.9061052500029E13</v>
      </c>
      <c r="I21" s="7" t="s">
        <v>68</v>
      </c>
      <c r="J21" s="7" t="s">
        <v>16</v>
      </c>
      <c r="K21" s="7" t="s">
        <v>13</v>
      </c>
      <c r="L21" s="7" t="s">
        <v>428</v>
      </c>
      <c r="M21" s="8">
        <f>IFERROR(__xludf.DUMMYFUNCTION("SPLIT(L21,""/"")"),43496.0)</f>
        <v>43496</v>
      </c>
      <c r="N21" s="8">
        <f>IFERROR(__xludf.DUMMYFUNCTION("""COMPUTED_VALUE"""),43677.0)</f>
        <v>43677</v>
      </c>
      <c r="O21" s="7" t="s">
        <v>18</v>
      </c>
      <c r="P21" s="7" t="s">
        <v>19</v>
      </c>
      <c r="Q21" s="7">
        <v>1.0</v>
      </c>
    </row>
    <row r="22">
      <c r="A22" s="7" t="s">
        <v>29</v>
      </c>
      <c r="B22" s="7">
        <v>407253.0</v>
      </c>
      <c r="C22" s="8">
        <v>43724.0</v>
      </c>
      <c r="D22" s="7" t="s">
        <v>371</v>
      </c>
      <c r="E22" s="7">
        <v>2.4330031600011E13</v>
      </c>
      <c r="F22" s="8">
        <v>43651.0</v>
      </c>
      <c r="G22" s="7" t="s">
        <v>429</v>
      </c>
      <c r="H22" s="7">
        <v>3.2123703400012E13</v>
      </c>
      <c r="I22" s="7" t="s">
        <v>61</v>
      </c>
      <c r="J22" s="7" t="s">
        <v>16</v>
      </c>
      <c r="K22" s="7" t="s">
        <v>13</v>
      </c>
      <c r="L22" s="7" t="s">
        <v>374</v>
      </c>
      <c r="M22" s="8">
        <f>IFERROR(__xludf.DUMMYFUNCTION("SPLIT(L22,""/"")"),43651.0)</f>
        <v>43651</v>
      </c>
      <c r="N22" s="8">
        <f>IFERROR(__xludf.DUMMYFUNCTION("""COMPUTED_VALUE"""),43835.0)</f>
        <v>43835</v>
      </c>
      <c r="O22" s="7" t="s">
        <v>18</v>
      </c>
      <c r="P22" s="7" t="s">
        <v>19</v>
      </c>
      <c r="Q22" s="7">
        <v>1.0</v>
      </c>
    </row>
    <row r="23">
      <c r="A23" s="7" t="s">
        <v>430</v>
      </c>
      <c r="B23" s="7">
        <v>47500.0</v>
      </c>
      <c r="C23" s="8">
        <v>43724.0</v>
      </c>
      <c r="D23" s="7" t="s">
        <v>371</v>
      </c>
      <c r="E23" s="7">
        <v>2.4330031600011E13</v>
      </c>
      <c r="F23" s="8">
        <v>43642.0</v>
      </c>
      <c r="G23" s="7" t="s">
        <v>431</v>
      </c>
      <c r="H23" s="7">
        <v>4.2198523500017E13</v>
      </c>
      <c r="I23" s="7" t="s">
        <v>68</v>
      </c>
      <c r="J23" s="7" t="s">
        <v>16</v>
      </c>
      <c r="K23" s="7" t="s">
        <v>13</v>
      </c>
      <c r="L23" s="7" t="s">
        <v>432</v>
      </c>
      <c r="M23" s="8">
        <f>IFERROR(__xludf.DUMMYFUNCTION("SPLIT(L23,""/"")"),43642.0)</f>
        <v>43642</v>
      </c>
      <c r="N23" s="8">
        <f>IFERROR(__xludf.DUMMYFUNCTION("""COMPUTED_VALUE"""),43825.0)</f>
        <v>43825</v>
      </c>
      <c r="O23" s="7" t="s">
        <v>18</v>
      </c>
      <c r="P23" s="7" t="s">
        <v>19</v>
      </c>
      <c r="Q23" s="7">
        <v>1.0</v>
      </c>
    </row>
    <row r="24">
      <c r="A24" s="7" t="s">
        <v>433</v>
      </c>
      <c r="B24" s="7">
        <v>30000.0</v>
      </c>
      <c r="C24" s="8">
        <v>43724.0</v>
      </c>
      <c r="D24" s="7" t="s">
        <v>371</v>
      </c>
      <c r="E24" s="7">
        <v>2.4330031600011E13</v>
      </c>
      <c r="F24" s="8">
        <v>43635.0</v>
      </c>
      <c r="G24" s="7" t="s">
        <v>434</v>
      </c>
      <c r="H24" s="7">
        <v>3.3230399900079E13</v>
      </c>
      <c r="I24" s="7" t="s">
        <v>435</v>
      </c>
      <c r="J24" s="7" t="s">
        <v>16</v>
      </c>
      <c r="K24" s="7" t="s">
        <v>13</v>
      </c>
      <c r="L24" s="7" t="s">
        <v>419</v>
      </c>
      <c r="M24" s="8">
        <f>IFERROR(__xludf.DUMMYFUNCTION("SPLIT(L24,""/"")"),43635.0)</f>
        <v>43635</v>
      </c>
      <c r="N24" s="8">
        <f>IFERROR(__xludf.DUMMYFUNCTION("""COMPUTED_VALUE"""),43818.0)</f>
        <v>43818</v>
      </c>
      <c r="O24" s="7" t="s">
        <v>18</v>
      </c>
      <c r="P24" s="7" t="s">
        <v>19</v>
      </c>
      <c r="Q24" s="7">
        <v>1.0</v>
      </c>
    </row>
    <row r="25">
      <c r="A25" s="7" t="s">
        <v>436</v>
      </c>
      <c r="B25" s="7">
        <v>40000.0</v>
      </c>
      <c r="C25" s="8">
        <v>43557.0</v>
      </c>
      <c r="D25" s="7" t="s">
        <v>371</v>
      </c>
      <c r="E25" s="7">
        <v>2.4330031600011E13</v>
      </c>
      <c r="F25" s="8">
        <v>43530.0</v>
      </c>
      <c r="G25" s="7" t="s">
        <v>437</v>
      </c>
      <c r="H25" s="7">
        <v>8.2343035000012E13</v>
      </c>
      <c r="I25" s="7" t="s">
        <v>438</v>
      </c>
      <c r="J25" s="7" t="s">
        <v>16</v>
      </c>
      <c r="K25" s="7" t="s">
        <v>13</v>
      </c>
      <c r="L25" s="7" t="s">
        <v>439</v>
      </c>
      <c r="M25" s="8">
        <f>IFERROR(__xludf.DUMMYFUNCTION("SPLIT(L25,""/"")"),43530.0)</f>
        <v>43530</v>
      </c>
      <c r="N25" s="8">
        <f>IFERROR(__xludf.DUMMYFUNCTION("""COMPUTED_VALUE"""),43714.0)</f>
        <v>43714</v>
      </c>
      <c r="O25" s="7" t="s">
        <v>18</v>
      </c>
      <c r="P25" s="7" t="s">
        <v>19</v>
      </c>
      <c r="Q25" s="7">
        <v>1.0</v>
      </c>
    </row>
    <row r="26">
      <c r="A26" s="7" t="s">
        <v>440</v>
      </c>
      <c r="B26" s="7">
        <v>25000.0</v>
      </c>
      <c r="C26" s="8">
        <v>43502.0</v>
      </c>
      <c r="D26" s="7" t="s">
        <v>371</v>
      </c>
      <c r="E26" s="7">
        <v>2.4330031600011E13</v>
      </c>
      <c r="F26" s="8">
        <v>43298.0</v>
      </c>
      <c r="G26" s="7" t="s">
        <v>441</v>
      </c>
      <c r="H26" s="7">
        <v>4.0285022600018E13</v>
      </c>
      <c r="I26" s="7" t="s">
        <v>442</v>
      </c>
      <c r="J26" s="7" t="s">
        <v>16</v>
      </c>
      <c r="K26" s="7" t="s">
        <v>13</v>
      </c>
      <c r="L26" s="7" t="s">
        <v>443</v>
      </c>
      <c r="M26" s="8">
        <f>IFERROR(__xludf.DUMMYFUNCTION("SPLIT(L26,""/"")"),43298.0)</f>
        <v>43298</v>
      </c>
      <c r="N26" s="8">
        <f>IFERROR(__xludf.DUMMYFUNCTION("""COMPUTED_VALUE"""),43482.0)</f>
        <v>43482</v>
      </c>
      <c r="O26" s="7" t="s">
        <v>18</v>
      </c>
      <c r="P26" s="7" t="s">
        <v>19</v>
      </c>
      <c r="Q26" s="7">
        <v>1.0</v>
      </c>
    </row>
    <row r="27">
      <c r="A27" s="7" t="s">
        <v>444</v>
      </c>
      <c r="B27" s="7">
        <v>150000.0</v>
      </c>
      <c r="C27" s="8">
        <v>43557.0</v>
      </c>
      <c r="D27" s="7" t="s">
        <v>371</v>
      </c>
      <c r="E27" s="7">
        <v>2.4330031600011E13</v>
      </c>
      <c r="F27" s="8">
        <v>43514.0</v>
      </c>
      <c r="G27" s="7" t="s">
        <v>445</v>
      </c>
      <c r="H27" s="7">
        <v>5.0907979400012E13</v>
      </c>
      <c r="I27" s="7" t="s">
        <v>446</v>
      </c>
      <c r="J27" s="7" t="s">
        <v>16</v>
      </c>
      <c r="K27" s="7" t="s">
        <v>13</v>
      </c>
      <c r="L27" s="7" t="s">
        <v>408</v>
      </c>
      <c r="M27" s="8">
        <f>IFERROR(__xludf.DUMMYFUNCTION("SPLIT(L27,""/"")"),43514.0)</f>
        <v>43514</v>
      </c>
      <c r="N27" s="8">
        <f>IFERROR(__xludf.DUMMYFUNCTION("""COMPUTED_VALUE"""),43695.0)</f>
        <v>43695</v>
      </c>
      <c r="O27" s="7" t="s">
        <v>18</v>
      </c>
      <c r="P27" s="7" t="s">
        <v>19</v>
      </c>
      <c r="Q27" s="7">
        <v>1.0</v>
      </c>
    </row>
    <row r="28">
      <c r="A28" s="7" t="s">
        <v>154</v>
      </c>
      <c r="B28" s="7">
        <v>42750.0</v>
      </c>
      <c r="C28" s="8">
        <v>43636.0</v>
      </c>
      <c r="D28" s="7" t="s">
        <v>371</v>
      </c>
      <c r="E28" s="7">
        <v>2.4330031600011E13</v>
      </c>
      <c r="F28" s="8">
        <v>43619.0</v>
      </c>
      <c r="G28" s="7" t="s">
        <v>378</v>
      </c>
      <c r="H28" s="7">
        <v>5.2289609100033E13</v>
      </c>
      <c r="I28" s="7" t="s">
        <v>447</v>
      </c>
      <c r="J28" s="7" t="s">
        <v>16</v>
      </c>
      <c r="K28" s="7" t="s">
        <v>13</v>
      </c>
      <c r="L28" s="7" t="s">
        <v>394</v>
      </c>
      <c r="M28" s="8">
        <f>IFERROR(__xludf.DUMMYFUNCTION("SPLIT(L28,""/"")"),43619.0)</f>
        <v>43619</v>
      </c>
      <c r="N28" s="8">
        <f>IFERROR(__xludf.DUMMYFUNCTION("""COMPUTED_VALUE"""),43802.0)</f>
        <v>43802</v>
      </c>
      <c r="O28" s="7" t="s">
        <v>18</v>
      </c>
      <c r="P28" s="7" t="s">
        <v>19</v>
      </c>
      <c r="Q28" s="7">
        <v>1.0</v>
      </c>
    </row>
    <row r="29">
      <c r="A29" s="7" t="s">
        <v>154</v>
      </c>
      <c r="B29" s="7">
        <v>20000.0</v>
      </c>
      <c r="C29" s="8">
        <v>43724.0</v>
      </c>
      <c r="D29" s="7" t="s">
        <v>371</v>
      </c>
      <c r="E29" s="7">
        <v>2.4330031600011E13</v>
      </c>
      <c r="F29" s="8">
        <v>43642.0</v>
      </c>
      <c r="G29" s="7" t="s">
        <v>448</v>
      </c>
      <c r="H29" s="7">
        <v>5.2289609100033E13</v>
      </c>
      <c r="I29" s="7" t="s">
        <v>449</v>
      </c>
      <c r="J29" s="7" t="s">
        <v>16</v>
      </c>
      <c r="K29" s="7" t="s">
        <v>13</v>
      </c>
      <c r="L29" s="7" t="s">
        <v>432</v>
      </c>
      <c r="M29" s="8">
        <f>IFERROR(__xludf.DUMMYFUNCTION("SPLIT(L29,""/"")"),43642.0)</f>
        <v>43642</v>
      </c>
      <c r="N29" s="8">
        <f>IFERROR(__xludf.DUMMYFUNCTION("""COMPUTED_VALUE"""),43825.0)</f>
        <v>43825</v>
      </c>
      <c r="O29" s="7" t="s">
        <v>18</v>
      </c>
      <c r="P29" s="7" t="s">
        <v>19</v>
      </c>
      <c r="Q29" s="7">
        <v>1.0</v>
      </c>
    </row>
    <row r="30">
      <c r="A30" s="7" t="s">
        <v>12</v>
      </c>
      <c r="B30" s="7">
        <v>4372000.0</v>
      </c>
      <c r="C30" s="8">
        <v>43557.0</v>
      </c>
      <c r="D30" s="7" t="s">
        <v>371</v>
      </c>
      <c r="E30" s="7">
        <v>2.4330031600011E13</v>
      </c>
      <c r="F30" s="8">
        <v>43530.0</v>
      </c>
      <c r="G30" s="7" t="s">
        <v>450</v>
      </c>
      <c r="H30" s="7">
        <v>7.818144880004E13</v>
      </c>
      <c r="I30" s="7" t="s">
        <v>68</v>
      </c>
      <c r="J30" s="7" t="s">
        <v>16</v>
      </c>
      <c r="K30" s="7" t="s">
        <v>13</v>
      </c>
      <c r="L30" s="7" t="s">
        <v>439</v>
      </c>
      <c r="M30" s="8">
        <f>IFERROR(__xludf.DUMMYFUNCTION("SPLIT(L30,""/"")"),43530.0)</f>
        <v>43530</v>
      </c>
      <c r="N30" s="8">
        <f>IFERROR(__xludf.DUMMYFUNCTION("""COMPUTED_VALUE"""),43714.0)</f>
        <v>43714</v>
      </c>
      <c r="O30" s="7" t="s">
        <v>18</v>
      </c>
      <c r="P30" s="7" t="s">
        <v>19</v>
      </c>
      <c r="Q30" s="7">
        <v>1.0</v>
      </c>
    </row>
    <row r="31">
      <c r="A31" s="7" t="s">
        <v>451</v>
      </c>
      <c r="B31" s="7">
        <v>25000.0</v>
      </c>
      <c r="C31" s="8">
        <v>43784.0</v>
      </c>
      <c r="D31" s="7" t="s">
        <v>371</v>
      </c>
      <c r="E31" s="7">
        <v>2.4330031600011E13</v>
      </c>
      <c r="F31" s="8">
        <v>43774.0</v>
      </c>
      <c r="G31" s="7" t="s">
        <v>452</v>
      </c>
      <c r="H31" s="7">
        <v>3.4063725500027E13</v>
      </c>
      <c r="I31" s="7" t="s">
        <v>68</v>
      </c>
      <c r="J31" s="7" t="s">
        <v>16</v>
      </c>
      <c r="K31" s="7" t="s">
        <v>13</v>
      </c>
      <c r="L31" s="7" t="s">
        <v>453</v>
      </c>
      <c r="M31" s="8">
        <f>IFERROR(__xludf.DUMMYFUNCTION("SPLIT(L31,""/"")"),43774.0)</f>
        <v>43774</v>
      </c>
      <c r="N31" s="8">
        <f>IFERROR(__xludf.DUMMYFUNCTION("""COMPUTED_VALUE"""),43956.0)</f>
        <v>43956</v>
      </c>
      <c r="O31" s="7" t="s">
        <v>18</v>
      </c>
      <c r="P31" s="7" t="s">
        <v>19</v>
      </c>
      <c r="Q31" s="7">
        <v>1.0</v>
      </c>
    </row>
    <row r="32">
      <c r="A32" s="7" t="s">
        <v>454</v>
      </c>
      <c r="B32" s="7">
        <v>88000.0</v>
      </c>
      <c r="C32" s="8">
        <v>43502.0</v>
      </c>
      <c r="D32" s="7" t="s">
        <v>371</v>
      </c>
      <c r="E32" s="7">
        <v>2.4330031600011E13</v>
      </c>
      <c r="F32" s="8">
        <v>43171.0</v>
      </c>
      <c r="G32" s="7" t="s">
        <v>455</v>
      </c>
      <c r="H32" s="7">
        <v>3.9484466600013E13</v>
      </c>
      <c r="I32" s="7" t="s">
        <v>68</v>
      </c>
      <c r="J32" s="7" t="s">
        <v>16</v>
      </c>
      <c r="K32" s="7" t="s">
        <v>13</v>
      </c>
      <c r="L32" s="7" t="s">
        <v>456</v>
      </c>
      <c r="M32" s="8">
        <f>IFERROR(__xludf.DUMMYFUNCTION("SPLIT(L32,""/"")"),43171.0)</f>
        <v>43171</v>
      </c>
      <c r="N32" s="8">
        <f>IFERROR(__xludf.DUMMYFUNCTION("""COMPUTED_VALUE"""),43355.0)</f>
        <v>43355</v>
      </c>
      <c r="O32" s="7" t="s">
        <v>18</v>
      </c>
      <c r="P32" s="7" t="s">
        <v>19</v>
      </c>
      <c r="Q32" s="7">
        <v>1.0</v>
      </c>
    </row>
    <row r="33">
      <c r="A33" s="7" t="s">
        <v>457</v>
      </c>
      <c r="B33" s="7">
        <v>8000.0</v>
      </c>
      <c r="C33" s="8">
        <v>43636.0</v>
      </c>
      <c r="D33" s="7" t="s">
        <v>371</v>
      </c>
      <c r="E33" s="7">
        <v>2.4330031600011E13</v>
      </c>
      <c r="F33" s="8">
        <v>43614.0</v>
      </c>
      <c r="G33" s="7" t="s">
        <v>388</v>
      </c>
      <c r="H33" s="7">
        <v>8.2831200900016E13</v>
      </c>
      <c r="I33" s="7" t="s">
        <v>389</v>
      </c>
      <c r="J33" s="7" t="s">
        <v>16</v>
      </c>
      <c r="K33" s="7" t="s">
        <v>13</v>
      </c>
      <c r="L33" s="7" t="s">
        <v>405</v>
      </c>
      <c r="M33" s="8">
        <f>IFERROR(__xludf.DUMMYFUNCTION("SPLIT(L33,""/"")"),43614.0)</f>
        <v>43614</v>
      </c>
      <c r="N33" s="8">
        <f>IFERROR(__xludf.DUMMYFUNCTION("""COMPUTED_VALUE"""),43798.0)</f>
        <v>43798</v>
      </c>
      <c r="O33" s="7" t="s">
        <v>18</v>
      </c>
      <c r="P33" s="7" t="s">
        <v>19</v>
      </c>
      <c r="Q33" s="7">
        <v>1.0</v>
      </c>
    </row>
    <row r="34">
      <c r="A34" s="7" t="s">
        <v>290</v>
      </c>
      <c r="B34" s="7">
        <v>10000.0</v>
      </c>
      <c r="C34" s="8">
        <v>43636.0</v>
      </c>
      <c r="D34" s="7" t="s">
        <v>371</v>
      </c>
      <c r="E34" s="7">
        <v>2.4330031600011E13</v>
      </c>
      <c r="F34" s="8">
        <v>43608.0</v>
      </c>
      <c r="G34" s="7" t="s">
        <v>388</v>
      </c>
      <c r="H34" s="7">
        <v>8.2135493300011E13</v>
      </c>
      <c r="I34" s="7" t="s">
        <v>389</v>
      </c>
      <c r="J34" s="7" t="s">
        <v>16</v>
      </c>
      <c r="K34" s="7" t="s">
        <v>13</v>
      </c>
      <c r="L34" s="7" t="s">
        <v>458</v>
      </c>
      <c r="M34" s="8">
        <f>IFERROR(__xludf.DUMMYFUNCTION("SPLIT(L34,""/"")"),43608.0)</f>
        <v>43608</v>
      </c>
      <c r="N34" s="8">
        <f>IFERROR(__xludf.DUMMYFUNCTION("""COMPUTED_VALUE"""),43792.0)</f>
        <v>43792</v>
      </c>
      <c r="O34" s="7" t="s">
        <v>18</v>
      </c>
      <c r="P34" s="7" t="s">
        <v>19</v>
      </c>
      <c r="Q34" s="7">
        <v>1.0</v>
      </c>
    </row>
    <row r="35">
      <c r="A35" s="7" t="s">
        <v>336</v>
      </c>
      <c r="B35" s="7">
        <v>8000.0</v>
      </c>
      <c r="C35" s="8">
        <v>43636.0</v>
      </c>
      <c r="D35" s="7" t="s">
        <v>371</v>
      </c>
      <c r="E35" s="7">
        <v>2.4330031600011E13</v>
      </c>
      <c r="F35" s="8">
        <v>43612.0</v>
      </c>
      <c r="G35" s="7" t="s">
        <v>388</v>
      </c>
      <c r="H35" s="7">
        <v>4.8029371100028E13</v>
      </c>
      <c r="I35" s="7" t="s">
        <v>389</v>
      </c>
      <c r="J35" s="7" t="s">
        <v>16</v>
      </c>
      <c r="K35" s="7" t="s">
        <v>13</v>
      </c>
      <c r="L35" s="7" t="s">
        <v>390</v>
      </c>
      <c r="M35" s="8">
        <f>IFERROR(__xludf.DUMMYFUNCTION("SPLIT(L35,""/"")"),43612.0)</f>
        <v>43612</v>
      </c>
      <c r="N35" s="8">
        <f>IFERROR(__xludf.DUMMYFUNCTION("""COMPUTED_VALUE"""),43796.0)</f>
        <v>43796</v>
      </c>
      <c r="O35" s="7" t="s">
        <v>18</v>
      </c>
      <c r="P35" s="7" t="s">
        <v>19</v>
      </c>
      <c r="Q35" s="7">
        <v>1.0</v>
      </c>
    </row>
    <row r="36">
      <c r="A36" s="7" t="s">
        <v>26</v>
      </c>
      <c r="B36" s="7">
        <v>440000.0</v>
      </c>
      <c r="C36" s="8">
        <v>43636.0</v>
      </c>
      <c r="D36" s="7" t="s">
        <v>371</v>
      </c>
      <c r="E36" s="7">
        <v>2.4330031600011E13</v>
      </c>
      <c r="F36" s="8">
        <v>43600.0</v>
      </c>
      <c r="G36" s="7" t="s">
        <v>459</v>
      </c>
      <c r="H36" s="7">
        <v>3.7781852100025E13</v>
      </c>
      <c r="I36" s="7" t="s">
        <v>460</v>
      </c>
      <c r="J36" s="7" t="s">
        <v>16</v>
      </c>
      <c r="K36" s="7" t="s">
        <v>13</v>
      </c>
      <c r="L36" s="7" t="s">
        <v>461</v>
      </c>
      <c r="M36" s="8">
        <f>IFERROR(__xludf.DUMMYFUNCTION("SPLIT(L36,""/"")"),43600.0)</f>
        <v>43600</v>
      </c>
      <c r="N36" s="8">
        <f>IFERROR(__xludf.DUMMYFUNCTION("""COMPUTED_VALUE"""),43784.0)</f>
        <v>43784</v>
      </c>
      <c r="O36" s="7" t="s">
        <v>18</v>
      </c>
      <c r="P36" s="7" t="s">
        <v>19</v>
      </c>
      <c r="Q36" s="7">
        <v>1.0</v>
      </c>
    </row>
    <row r="37">
      <c r="A37" s="7" t="s">
        <v>59</v>
      </c>
      <c r="B37" s="7">
        <v>125000.0</v>
      </c>
      <c r="C37" s="8">
        <v>43636.0</v>
      </c>
      <c r="D37" s="7" t="s">
        <v>371</v>
      </c>
      <c r="E37" s="7">
        <v>2.4330031600011E13</v>
      </c>
      <c r="F37" s="8">
        <v>43609.0</v>
      </c>
      <c r="G37" s="7" t="s">
        <v>462</v>
      </c>
      <c r="H37" s="7">
        <v>3.7796404400038E13</v>
      </c>
      <c r="I37" s="7" t="s">
        <v>68</v>
      </c>
      <c r="J37" s="7" t="s">
        <v>16</v>
      </c>
      <c r="K37" s="7" t="s">
        <v>13</v>
      </c>
      <c r="L37" s="7" t="s">
        <v>463</v>
      </c>
      <c r="M37" s="8">
        <f>IFERROR(__xludf.DUMMYFUNCTION("SPLIT(L37,""/"")"),43609.0)</f>
        <v>43609</v>
      </c>
      <c r="N37" s="8">
        <f>IFERROR(__xludf.DUMMYFUNCTION("""COMPUTED_VALUE"""),43793.0)</f>
        <v>43793</v>
      </c>
      <c r="O37" s="7" t="s">
        <v>18</v>
      </c>
      <c r="P37" s="7" t="s">
        <v>19</v>
      </c>
      <c r="Q37" s="7">
        <v>1.0</v>
      </c>
    </row>
    <row r="38">
      <c r="A38" s="7" t="s">
        <v>59</v>
      </c>
      <c r="B38" s="7">
        <v>15000.0</v>
      </c>
      <c r="C38" s="8">
        <v>43636.0</v>
      </c>
      <c r="D38" s="7" t="s">
        <v>371</v>
      </c>
      <c r="E38" s="7">
        <v>2.4330031600011E13</v>
      </c>
      <c r="F38" s="8">
        <v>43629.0</v>
      </c>
      <c r="G38" s="7" t="s">
        <v>462</v>
      </c>
      <c r="H38" s="7">
        <v>3.7796404400038E13</v>
      </c>
      <c r="I38" s="7" t="s">
        <v>464</v>
      </c>
      <c r="J38" s="7" t="s">
        <v>16</v>
      </c>
      <c r="K38" s="7" t="s">
        <v>13</v>
      </c>
      <c r="L38" s="7" t="s">
        <v>465</v>
      </c>
      <c r="M38" s="8">
        <f>IFERROR(__xludf.DUMMYFUNCTION("SPLIT(L38,""/"")"),43629.0)</f>
        <v>43629</v>
      </c>
      <c r="N38" s="8">
        <f>IFERROR(__xludf.DUMMYFUNCTION("""COMPUTED_VALUE"""),43812.0)</f>
        <v>43812</v>
      </c>
      <c r="O38" s="7" t="s">
        <v>18</v>
      </c>
      <c r="P38" s="7" t="s">
        <v>19</v>
      </c>
      <c r="Q38" s="7">
        <v>1.0</v>
      </c>
    </row>
    <row r="39">
      <c r="A39" s="7" t="s">
        <v>35</v>
      </c>
      <c r="B39" s="7">
        <v>120000.0</v>
      </c>
      <c r="C39" s="8">
        <v>43557.0</v>
      </c>
      <c r="D39" s="7" t="s">
        <v>371</v>
      </c>
      <c r="E39" s="7">
        <v>2.4330031600011E13</v>
      </c>
      <c r="F39" s="8">
        <v>43353.0</v>
      </c>
      <c r="G39" s="7" t="s">
        <v>466</v>
      </c>
      <c r="H39" s="7">
        <v>3.9988425300036E13</v>
      </c>
      <c r="I39" s="7" t="s">
        <v>467</v>
      </c>
      <c r="J39" s="7" t="s">
        <v>16</v>
      </c>
      <c r="K39" s="7" t="s">
        <v>13</v>
      </c>
      <c r="L39" s="7" t="s">
        <v>468</v>
      </c>
      <c r="M39" s="8">
        <f>IFERROR(__xludf.DUMMYFUNCTION("SPLIT(L39,""/"")"),43353.0)</f>
        <v>43353</v>
      </c>
      <c r="N39" s="8">
        <f>IFERROR(__xludf.DUMMYFUNCTION("""COMPUTED_VALUE"""),43534.0)</f>
        <v>43534</v>
      </c>
      <c r="O39" s="7" t="s">
        <v>18</v>
      </c>
      <c r="P39" s="7" t="s">
        <v>19</v>
      </c>
      <c r="Q39" s="7">
        <v>1.0</v>
      </c>
    </row>
    <row r="40">
      <c r="A40" s="7" t="s">
        <v>35</v>
      </c>
      <c r="B40" s="7">
        <v>5000.0</v>
      </c>
      <c r="C40" s="8">
        <v>43557.0</v>
      </c>
      <c r="D40" s="7" t="s">
        <v>371</v>
      </c>
      <c r="E40" s="7">
        <v>2.4330031600011E13</v>
      </c>
      <c r="F40" s="8">
        <v>43510.0</v>
      </c>
      <c r="G40" s="7" t="s">
        <v>469</v>
      </c>
      <c r="H40" s="7">
        <v>3.9988425300036E13</v>
      </c>
      <c r="I40" s="7" t="s">
        <v>470</v>
      </c>
      <c r="J40" s="7" t="s">
        <v>16</v>
      </c>
      <c r="K40" s="7" t="s">
        <v>13</v>
      </c>
      <c r="L40" s="7" t="s">
        <v>471</v>
      </c>
      <c r="M40" s="8">
        <f>IFERROR(__xludf.DUMMYFUNCTION("SPLIT(L40,""/"")"),43510.0)</f>
        <v>43510</v>
      </c>
      <c r="N40" s="8">
        <f>IFERROR(__xludf.DUMMYFUNCTION("""COMPUTED_VALUE"""),43691.0)</f>
        <v>43691</v>
      </c>
      <c r="O40" s="7" t="s">
        <v>18</v>
      </c>
      <c r="P40" s="7" t="s">
        <v>19</v>
      </c>
      <c r="Q40" s="7">
        <v>1.0</v>
      </c>
    </row>
    <row r="41">
      <c r="A41" s="7" t="s">
        <v>35</v>
      </c>
      <c r="B41" s="7">
        <v>120000.0</v>
      </c>
      <c r="C41" s="8">
        <v>43724.0</v>
      </c>
      <c r="D41" s="7" t="s">
        <v>371</v>
      </c>
      <c r="E41" s="7">
        <v>2.4330031600011E13</v>
      </c>
      <c r="F41" s="8">
        <v>43641.0</v>
      </c>
      <c r="G41" s="7" t="s">
        <v>472</v>
      </c>
      <c r="H41" s="7">
        <v>3.9988425300036E13</v>
      </c>
      <c r="I41" s="7" t="s">
        <v>70</v>
      </c>
      <c r="J41" s="7" t="s">
        <v>16</v>
      </c>
      <c r="K41" s="7" t="s">
        <v>13</v>
      </c>
      <c r="L41" s="7" t="s">
        <v>473</v>
      </c>
      <c r="M41" s="8">
        <f>IFERROR(__xludf.DUMMYFUNCTION("SPLIT(L41,""/"")"),43641.0)</f>
        <v>43641</v>
      </c>
      <c r="N41" s="8">
        <f>IFERROR(__xludf.DUMMYFUNCTION("""COMPUTED_VALUE"""),43824.0)</f>
        <v>43824</v>
      </c>
      <c r="O41" s="7" t="s">
        <v>18</v>
      </c>
      <c r="P41" s="7" t="s">
        <v>19</v>
      </c>
      <c r="Q41" s="7">
        <v>1.0</v>
      </c>
    </row>
    <row r="42">
      <c r="A42" s="7" t="s">
        <v>474</v>
      </c>
      <c r="B42" s="7">
        <v>18000.0</v>
      </c>
      <c r="C42" s="8">
        <v>43502.0</v>
      </c>
      <c r="D42" s="7" t="s">
        <v>371</v>
      </c>
      <c r="E42" s="7">
        <v>2.4330031600011E13</v>
      </c>
      <c r="F42" s="8">
        <v>43482.0</v>
      </c>
      <c r="G42" s="7" t="s">
        <v>475</v>
      </c>
      <c r="H42" s="7">
        <v>4.3294548300035E13</v>
      </c>
      <c r="I42" s="7" t="s">
        <v>68</v>
      </c>
      <c r="J42" s="7" t="s">
        <v>16</v>
      </c>
      <c r="K42" s="7" t="s">
        <v>13</v>
      </c>
      <c r="L42" s="7" t="s">
        <v>476</v>
      </c>
      <c r="M42" s="8">
        <f>IFERROR(__xludf.DUMMYFUNCTION("SPLIT(L42,""/"")"),43482.0)</f>
        <v>43482</v>
      </c>
      <c r="N42" s="8">
        <f>IFERROR(__xludf.DUMMYFUNCTION("""COMPUTED_VALUE"""),43663.0)</f>
        <v>43663</v>
      </c>
      <c r="O42" s="7" t="s">
        <v>18</v>
      </c>
      <c r="P42" s="7" t="s">
        <v>19</v>
      </c>
      <c r="Q42" s="7">
        <v>1.0</v>
      </c>
    </row>
    <row r="43">
      <c r="A43" s="7" t="s">
        <v>477</v>
      </c>
      <c r="B43" s="7">
        <v>500000.0</v>
      </c>
      <c r="C43" s="8">
        <v>43636.0</v>
      </c>
      <c r="D43" s="7" t="s">
        <v>371</v>
      </c>
      <c r="E43" s="7">
        <v>2.4330031600011E13</v>
      </c>
      <c r="F43" s="8">
        <v>43574.0</v>
      </c>
      <c r="G43" s="7" t="s">
        <v>478</v>
      </c>
      <c r="H43" s="7">
        <v>1.3002285800018E13</v>
      </c>
      <c r="I43" s="7" t="s">
        <v>479</v>
      </c>
      <c r="J43" s="7" t="s">
        <v>16</v>
      </c>
      <c r="K43" s="7" t="s">
        <v>13</v>
      </c>
      <c r="L43" s="7" t="s">
        <v>480</v>
      </c>
      <c r="M43" s="8">
        <f>IFERROR(__xludf.DUMMYFUNCTION("SPLIT(L43,""/"")"),43574.0)</f>
        <v>43574</v>
      </c>
      <c r="N43" s="8">
        <f>IFERROR(__xludf.DUMMYFUNCTION("""COMPUTED_VALUE"""),43757.0)</f>
        <v>43757</v>
      </c>
      <c r="O43" s="7" t="s">
        <v>18</v>
      </c>
      <c r="P43" s="7" t="s">
        <v>19</v>
      </c>
      <c r="Q43" s="7">
        <v>1.0</v>
      </c>
    </row>
    <row r="44">
      <c r="A44" s="7" t="s">
        <v>176</v>
      </c>
      <c r="B44" s="7">
        <v>35000.0</v>
      </c>
      <c r="C44" s="8">
        <v>43557.0</v>
      </c>
      <c r="D44" s="7" t="s">
        <v>371</v>
      </c>
      <c r="E44" s="7">
        <v>2.4330031600011E13</v>
      </c>
      <c r="F44" s="8">
        <v>43518.0</v>
      </c>
      <c r="G44" s="7" t="s">
        <v>437</v>
      </c>
      <c r="H44" s="7">
        <v>4.0265285300069E13</v>
      </c>
      <c r="I44" s="7" t="s">
        <v>481</v>
      </c>
      <c r="J44" s="7" t="s">
        <v>16</v>
      </c>
      <c r="K44" s="7" t="s">
        <v>13</v>
      </c>
      <c r="L44" s="7" t="s">
        <v>482</v>
      </c>
      <c r="M44" s="8">
        <f>IFERROR(__xludf.DUMMYFUNCTION("SPLIT(L44,""/"")"),43518.0)</f>
        <v>43518</v>
      </c>
      <c r="N44" s="8">
        <f>IFERROR(__xludf.DUMMYFUNCTION("""COMPUTED_VALUE"""),43699.0)</f>
        <v>43699</v>
      </c>
      <c r="O44" s="7" t="s">
        <v>18</v>
      </c>
      <c r="P44" s="7" t="s">
        <v>19</v>
      </c>
      <c r="Q44" s="7">
        <v>1.0</v>
      </c>
    </row>
    <row r="45">
      <c r="A45" s="7" t="s">
        <v>176</v>
      </c>
      <c r="B45" s="7">
        <v>25000.0</v>
      </c>
      <c r="C45" s="8">
        <v>43636.0</v>
      </c>
      <c r="D45" s="7" t="s">
        <v>371</v>
      </c>
      <c r="E45" s="7">
        <v>2.4330031600011E13</v>
      </c>
      <c r="F45" s="8">
        <v>43612.0</v>
      </c>
      <c r="G45" s="7" t="s">
        <v>388</v>
      </c>
      <c r="H45" s="7">
        <v>4.0265285300019E13</v>
      </c>
      <c r="I45" s="7" t="s">
        <v>389</v>
      </c>
      <c r="J45" s="7" t="s">
        <v>16</v>
      </c>
      <c r="K45" s="7" t="s">
        <v>13</v>
      </c>
      <c r="L45" s="7" t="s">
        <v>390</v>
      </c>
      <c r="M45" s="8">
        <f>IFERROR(__xludf.DUMMYFUNCTION("SPLIT(L45,""/"")"),43612.0)</f>
        <v>43612</v>
      </c>
      <c r="N45" s="8">
        <f>IFERROR(__xludf.DUMMYFUNCTION("""COMPUTED_VALUE"""),43796.0)</f>
        <v>43796</v>
      </c>
      <c r="O45" s="7" t="s">
        <v>18</v>
      </c>
      <c r="P45" s="7" t="s">
        <v>19</v>
      </c>
      <c r="Q45" s="7">
        <v>1.0</v>
      </c>
    </row>
    <row r="46">
      <c r="A46" s="7" t="s">
        <v>288</v>
      </c>
      <c r="B46" s="7">
        <v>8500.0</v>
      </c>
      <c r="C46" s="8">
        <v>43724.0</v>
      </c>
      <c r="D46" s="7" t="s">
        <v>371</v>
      </c>
      <c r="E46" s="7">
        <v>2.4330031600011E13</v>
      </c>
      <c r="F46" s="8">
        <v>43669.0</v>
      </c>
      <c r="G46" s="7" t="s">
        <v>382</v>
      </c>
      <c r="H46" s="7">
        <v>3.3348540700017E13</v>
      </c>
      <c r="I46" s="7" t="s">
        <v>483</v>
      </c>
      <c r="J46" s="7" t="s">
        <v>16</v>
      </c>
      <c r="K46" s="7" t="s">
        <v>380</v>
      </c>
      <c r="L46" s="7" t="s">
        <v>484</v>
      </c>
      <c r="M46" s="8">
        <f>IFERROR(__xludf.DUMMYFUNCTION("SPLIT(L46,""/"")"),43669.0)</f>
        <v>43669</v>
      </c>
      <c r="N46" s="8">
        <f>IFERROR(__xludf.DUMMYFUNCTION("""COMPUTED_VALUE"""),43853.0)</f>
        <v>43853</v>
      </c>
      <c r="O46" s="7" t="s">
        <v>18</v>
      </c>
      <c r="P46" s="7" t="s">
        <v>19</v>
      </c>
      <c r="Q46" s="7">
        <v>1.0</v>
      </c>
    </row>
    <row r="47">
      <c r="A47" s="7" t="s">
        <v>193</v>
      </c>
      <c r="B47" s="7">
        <v>33000.0</v>
      </c>
      <c r="C47" s="8">
        <v>43724.0</v>
      </c>
      <c r="D47" s="7" t="s">
        <v>371</v>
      </c>
      <c r="E47" s="7">
        <v>2.4330031600011E13</v>
      </c>
      <c r="F47" s="8">
        <v>43677.0</v>
      </c>
      <c r="G47" s="7" t="s">
        <v>382</v>
      </c>
      <c r="H47" s="7">
        <v>4.022835430007E13</v>
      </c>
      <c r="I47" s="7" t="s">
        <v>483</v>
      </c>
      <c r="J47" s="7" t="s">
        <v>16</v>
      </c>
      <c r="K47" s="7" t="s">
        <v>380</v>
      </c>
      <c r="L47" s="7" t="s">
        <v>383</v>
      </c>
      <c r="M47" s="8">
        <f>IFERROR(__xludf.DUMMYFUNCTION("SPLIT(L47,""/"")"),43677.0)</f>
        <v>43677</v>
      </c>
      <c r="N47" s="8">
        <f>IFERROR(__xludf.DUMMYFUNCTION("""COMPUTED_VALUE"""),43861.0)</f>
        <v>43861</v>
      </c>
      <c r="O47" s="7" t="s">
        <v>18</v>
      </c>
      <c r="P47" s="7" t="s">
        <v>19</v>
      </c>
      <c r="Q47" s="7">
        <v>1.0</v>
      </c>
    </row>
    <row r="48">
      <c r="A48" s="7" t="s">
        <v>193</v>
      </c>
      <c r="B48" s="7">
        <v>24000.0</v>
      </c>
      <c r="C48" s="8">
        <v>43784.0</v>
      </c>
      <c r="D48" s="7" t="s">
        <v>371</v>
      </c>
      <c r="E48" s="7">
        <v>2.4330031600011E13</v>
      </c>
      <c r="F48" s="8">
        <v>43677.0</v>
      </c>
      <c r="G48" s="7" t="s">
        <v>382</v>
      </c>
      <c r="H48" s="7">
        <v>4.022835430007E13</v>
      </c>
      <c r="I48" s="7" t="s">
        <v>485</v>
      </c>
      <c r="J48" s="7" t="s">
        <v>16</v>
      </c>
      <c r="K48" s="7" t="s">
        <v>380</v>
      </c>
      <c r="L48" s="7" t="s">
        <v>383</v>
      </c>
      <c r="M48" s="8">
        <f>IFERROR(__xludf.DUMMYFUNCTION("SPLIT(L48,""/"")"),43677.0)</f>
        <v>43677</v>
      </c>
      <c r="N48" s="8">
        <f>IFERROR(__xludf.DUMMYFUNCTION("""COMPUTED_VALUE"""),43861.0)</f>
        <v>43861</v>
      </c>
      <c r="O48" s="7" t="s">
        <v>18</v>
      </c>
      <c r="P48" s="7" t="s">
        <v>19</v>
      </c>
      <c r="Q48" s="7">
        <v>1.0</v>
      </c>
    </row>
    <row r="49">
      <c r="A49" s="7" t="s">
        <v>193</v>
      </c>
      <c r="B49" s="7">
        <v>5000.0</v>
      </c>
      <c r="C49" s="8">
        <v>43784.0</v>
      </c>
      <c r="D49" s="7" t="s">
        <v>371</v>
      </c>
      <c r="E49" s="7">
        <v>2.4330031600011E13</v>
      </c>
      <c r="F49" s="8">
        <v>43677.0</v>
      </c>
      <c r="G49" s="7" t="s">
        <v>382</v>
      </c>
      <c r="H49" s="7">
        <v>4.022835430007E13</v>
      </c>
      <c r="I49" s="7" t="s">
        <v>486</v>
      </c>
      <c r="J49" s="7" t="s">
        <v>16</v>
      </c>
      <c r="K49" s="7" t="s">
        <v>380</v>
      </c>
      <c r="L49" s="7" t="s">
        <v>383</v>
      </c>
      <c r="M49" s="8">
        <f>IFERROR(__xludf.DUMMYFUNCTION("SPLIT(L49,""/"")"),43677.0)</f>
        <v>43677</v>
      </c>
      <c r="N49" s="8">
        <f>IFERROR(__xludf.DUMMYFUNCTION("""COMPUTED_VALUE"""),43861.0)</f>
        <v>43861</v>
      </c>
      <c r="O49" s="7" t="s">
        <v>18</v>
      </c>
      <c r="P49" s="7" t="s">
        <v>19</v>
      </c>
      <c r="Q49" s="7">
        <v>1.0</v>
      </c>
    </row>
    <row r="50">
      <c r="A50" s="7" t="s">
        <v>487</v>
      </c>
      <c r="B50" s="7">
        <v>30000.0</v>
      </c>
      <c r="C50" s="8">
        <v>43636.0</v>
      </c>
      <c r="D50" s="7" t="s">
        <v>371</v>
      </c>
      <c r="E50" s="7">
        <v>2.4330031600011E13</v>
      </c>
      <c r="F50" s="8">
        <v>43546.0</v>
      </c>
      <c r="G50" s="7" t="s">
        <v>488</v>
      </c>
      <c r="H50" s="7">
        <v>7.8886877600022E13</v>
      </c>
      <c r="I50" s="7" t="s">
        <v>489</v>
      </c>
      <c r="J50" s="7" t="s">
        <v>16</v>
      </c>
      <c r="K50" s="7" t="s">
        <v>13</v>
      </c>
      <c r="L50" s="7" t="s">
        <v>490</v>
      </c>
      <c r="M50" s="8">
        <f>IFERROR(__xludf.DUMMYFUNCTION("SPLIT(L50,""/"")"),43546.0)</f>
        <v>43546</v>
      </c>
      <c r="N50" s="8">
        <f>IFERROR(__xludf.DUMMYFUNCTION("""COMPUTED_VALUE"""),43730.0)</f>
        <v>43730</v>
      </c>
      <c r="O50" s="7" t="s">
        <v>18</v>
      </c>
      <c r="P50" s="7" t="s">
        <v>19</v>
      </c>
      <c r="Q50" s="7">
        <v>1.0</v>
      </c>
    </row>
    <row r="51">
      <c r="A51" s="7" t="s">
        <v>491</v>
      </c>
      <c r="B51" s="7">
        <v>25000.0</v>
      </c>
      <c r="C51" s="8">
        <v>43636.0</v>
      </c>
      <c r="D51" s="7" t="s">
        <v>371</v>
      </c>
      <c r="E51" s="7">
        <v>2.4330031600011E13</v>
      </c>
      <c r="F51" s="8">
        <v>43608.0</v>
      </c>
      <c r="G51" s="7" t="s">
        <v>492</v>
      </c>
      <c r="H51" s="7">
        <v>8.2071933400014E13</v>
      </c>
      <c r="I51" s="7" t="s">
        <v>68</v>
      </c>
      <c r="J51" s="7" t="s">
        <v>16</v>
      </c>
      <c r="K51" s="7" t="s">
        <v>13</v>
      </c>
      <c r="L51" s="7" t="s">
        <v>458</v>
      </c>
      <c r="M51" s="8">
        <f>IFERROR(__xludf.DUMMYFUNCTION("SPLIT(L51,""/"")"),43608.0)</f>
        <v>43608</v>
      </c>
      <c r="N51" s="8">
        <f>IFERROR(__xludf.DUMMYFUNCTION("""COMPUTED_VALUE"""),43792.0)</f>
        <v>43792</v>
      </c>
      <c r="O51" s="7" t="s">
        <v>18</v>
      </c>
      <c r="P51" s="7" t="s">
        <v>19</v>
      </c>
      <c r="Q51" s="7">
        <v>1.0</v>
      </c>
    </row>
    <row r="52">
      <c r="A52" s="7" t="s">
        <v>268</v>
      </c>
      <c r="B52" s="7">
        <v>14250.0</v>
      </c>
      <c r="C52" s="8">
        <v>43636.0</v>
      </c>
      <c r="D52" s="7" t="s">
        <v>371</v>
      </c>
      <c r="E52" s="7">
        <v>2.4330031600011E13</v>
      </c>
      <c r="F52" s="8">
        <v>43623.0</v>
      </c>
      <c r="G52" s="7" t="s">
        <v>403</v>
      </c>
      <c r="H52" s="7">
        <v>8.312204960001E13</v>
      </c>
      <c r="I52" s="7" t="s">
        <v>493</v>
      </c>
      <c r="J52" s="7" t="s">
        <v>16</v>
      </c>
      <c r="K52" s="7" t="s">
        <v>13</v>
      </c>
      <c r="L52" s="7" t="s">
        <v>494</v>
      </c>
      <c r="M52" s="8">
        <f>IFERROR(__xludf.DUMMYFUNCTION("SPLIT(L52,""/"")"),43623.0)</f>
        <v>43623</v>
      </c>
      <c r="N52" s="8">
        <f>IFERROR(__xludf.DUMMYFUNCTION("""COMPUTED_VALUE"""),43806.0)</f>
        <v>43806</v>
      </c>
      <c r="O52" s="7" t="s">
        <v>18</v>
      </c>
      <c r="P52" s="7" t="s">
        <v>19</v>
      </c>
      <c r="Q52" s="7">
        <v>1.0</v>
      </c>
    </row>
    <row r="53">
      <c r="A53" s="7" t="s">
        <v>495</v>
      </c>
      <c r="B53" s="7">
        <v>29000.0</v>
      </c>
      <c r="C53" s="8">
        <v>43724.0</v>
      </c>
      <c r="D53" s="7" t="s">
        <v>371</v>
      </c>
      <c r="E53" s="7">
        <v>2.4330031600011E13</v>
      </c>
      <c r="F53" s="8">
        <v>43671.0</v>
      </c>
      <c r="G53" s="7" t="s">
        <v>431</v>
      </c>
      <c r="H53" s="7">
        <v>8.4515945800023E13</v>
      </c>
      <c r="I53" s="7" t="s">
        <v>483</v>
      </c>
      <c r="J53" s="7" t="s">
        <v>16</v>
      </c>
      <c r="K53" s="7" t="s">
        <v>13</v>
      </c>
      <c r="L53" s="7" t="s">
        <v>496</v>
      </c>
      <c r="M53" s="8">
        <f>IFERROR(__xludf.DUMMYFUNCTION("SPLIT(L53,""/"")"),43671.0)</f>
        <v>43671</v>
      </c>
      <c r="N53" s="8">
        <f>IFERROR(__xludf.DUMMYFUNCTION("""COMPUTED_VALUE"""),43855.0)</f>
        <v>43855</v>
      </c>
      <c r="O53" s="7" t="s">
        <v>18</v>
      </c>
      <c r="P53" s="7" t="s">
        <v>19</v>
      </c>
      <c r="Q53" s="7">
        <v>1.0</v>
      </c>
    </row>
    <row r="54">
      <c r="A54" s="7" t="s">
        <v>497</v>
      </c>
      <c r="B54" s="7">
        <v>15000.0</v>
      </c>
      <c r="C54" s="8">
        <v>43557.0</v>
      </c>
      <c r="D54" s="7" t="s">
        <v>371</v>
      </c>
      <c r="E54" s="7">
        <v>2.4330031600011E13</v>
      </c>
      <c r="F54" s="8">
        <v>43515.0</v>
      </c>
      <c r="G54" s="7" t="s">
        <v>437</v>
      </c>
      <c r="H54" s="7">
        <v>3.2848008200069E13</v>
      </c>
      <c r="I54" s="7" t="s">
        <v>498</v>
      </c>
      <c r="J54" s="7" t="s">
        <v>16</v>
      </c>
      <c r="K54" s="7" t="s">
        <v>13</v>
      </c>
      <c r="L54" s="7" t="s">
        <v>499</v>
      </c>
      <c r="M54" s="8">
        <f>IFERROR(__xludf.DUMMYFUNCTION("SPLIT(L54,""_"")"),43515.0)</f>
        <v>43515</v>
      </c>
      <c r="N54" s="8">
        <f>IFERROR(__xludf.DUMMYFUNCTION("""COMPUTED_VALUE"""),43696.0)</f>
        <v>43696</v>
      </c>
      <c r="O54" s="7" t="s">
        <v>18</v>
      </c>
      <c r="P54" s="7" t="s">
        <v>19</v>
      </c>
      <c r="Q54" s="7">
        <v>1.0</v>
      </c>
    </row>
    <row r="55">
      <c r="A55" s="7" t="s">
        <v>500</v>
      </c>
      <c r="B55" s="7">
        <v>23500.0</v>
      </c>
      <c r="C55" s="8">
        <v>43636.0</v>
      </c>
      <c r="D55" s="7" t="s">
        <v>371</v>
      </c>
      <c r="E55" s="7">
        <v>2.4330031600011E13</v>
      </c>
      <c r="F55" s="8">
        <v>43606.0</v>
      </c>
      <c r="G55" s="7" t="s">
        <v>388</v>
      </c>
      <c r="H55" s="7">
        <v>4.1827063300021E13</v>
      </c>
      <c r="I55" s="7" t="s">
        <v>389</v>
      </c>
      <c r="J55" s="7" t="s">
        <v>16</v>
      </c>
      <c r="K55" s="7" t="s">
        <v>13</v>
      </c>
      <c r="L55" s="7" t="s">
        <v>501</v>
      </c>
      <c r="M55" s="8">
        <f>IFERROR(__xludf.DUMMYFUNCTION("SPLIT(L55,""/"")"),43606.0)</f>
        <v>43606</v>
      </c>
      <c r="N55" s="8">
        <f>IFERROR(__xludf.DUMMYFUNCTION("""COMPUTED_VALUE"""),43790.0)</f>
        <v>43790</v>
      </c>
      <c r="O55" s="7" t="s">
        <v>18</v>
      </c>
      <c r="P55" s="7" t="s">
        <v>19</v>
      </c>
      <c r="Q55" s="7">
        <v>1.0</v>
      </c>
    </row>
    <row r="56">
      <c r="A56" s="7" t="s">
        <v>126</v>
      </c>
      <c r="B56" s="7">
        <v>52000.0</v>
      </c>
      <c r="C56" s="8">
        <v>43636.0</v>
      </c>
      <c r="D56" s="7" t="s">
        <v>371</v>
      </c>
      <c r="E56" s="7">
        <v>2.4330031600011E13</v>
      </c>
      <c r="F56" s="8">
        <v>43622.0</v>
      </c>
      <c r="G56" s="7" t="s">
        <v>378</v>
      </c>
      <c r="H56" s="7">
        <v>4.8237148100029E13</v>
      </c>
      <c r="I56" s="7" t="s">
        <v>379</v>
      </c>
      <c r="J56" s="7" t="s">
        <v>16</v>
      </c>
      <c r="K56" s="7" t="s">
        <v>13</v>
      </c>
      <c r="L56" s="7" t="s">
        <v>502</v>
      </c>
      <c r="M56" s="8">
        <f>IFERROR(__xludf.DUMMYFUNCTION("SPLIT(L56,""/"")"),43622.0)</f>
        <v>43622</v>
      </c>
      <c r="N56" s="8">
        <f>IFERROR(__xludf.DUMMYFUNCTION("""COMPUTED_VALUE"""),43805.0)</f>
        <v>43805</v>
      </c>
      <c r="O56" s="7" t="s">
        <v>18</v>
      </c>
      <c r="P56" s="7" t="s">
        <v>19</v>
      </c>
      <c r="Q56" s="7">
        <v>1.0</v>
      </c>
    </row>
    <row r="57">
      <c r="A57" s="7" t="s">
        <v>126</v>
      </c>
      <c r="B57" s="7">
        <v>9000.0</v>
      </c>
      <c r="C57" s="8">
        <v>43724.0</v>
      </c>
      <c r="D57" s="7" t="s">
        <v>371</v>
      </c>
      <c r="E57" s="7">
        <v>2.4330031600011E13</v>
      </c>
      <c r="F57" s="8">
        <v>43655.0</v>
      </c>
      <c r="G57" s="7" t="s">
        <v>382</v>
      </c>
      <c r="H57" s="7">
        <v>4.8237148100029E13</v>
      </c>
      <c r="I57" s="7" t="s">
        <v>483</v>
      </c>
      <c r="J57" s="7" t="s">
        <v>16</v>
      </c>
      <c r="K57" s="7" t="s">
        <v>380</v>
      </c>
      <c r="L57" s="7" t="s">
        <v>503</v>
      </c>
      <c r="M57" s="8">
        <f>IFERROR(__xludf.DUMMYFUNCTION("SPLIT(L57,""/"")"),43655.0)</f>
        <v>43655</v>
      </c>
      <c r="N57" s="8">
        <f>IFERROR(__xludf.DUMMYFUNCTION("""COMPUTED_VALUE"""),43839.0)</f>
        <v>43839</v>
      </c>
      <c r="O57" s="7" t="s">
        <v>18</v>
      </c>
      <c r="P57" s="7" t="s">
        <v>19</v>
      </c>
      <c r="Q57" s="7">
        <v>1.0</v>
      </c>
    </row>
    <row r="58">
      <c r="A58" s="7" t="s">
        <v>504</v>
      </c>
      <c r="B58" s="7">
        <v>1680000.0</v>
      </c>
      <c r="C58" s="8">
        <v>43557.0</v>
      </c>
      <c r="D58" s="7" t="s">
        <v>371</v>
      </c>
      <c r="E58" s="7">
        <v>2.4330031600011E13</v>
      </c>
      <c r="F58" s="8">
        <v>43510.0</v>
      </c>
      <c r="G58" s="7" t="s">
        <v>505</v>
      </c>
      <c r="H58" s="7">
        <v>4.8301340500012E13</v>
      </c>
      <c r="I58" s="7" t="s">
        <v>68</v>
      </c>
      <c r="J58" s="7" t="s">
        <v>16</v>
      </c>
      <c r="K58" s="7" t="s">
        <v>13</v>
      </c>
      <c r="L58" s="7" t="s">
        <v>471</v>
      </c>
      <c r="M58" s="8">
        <f>IFERROR(__xludf.DUMMYFUNCTION("SPLIT(L58,""/"")"),43510.0)</f>
        <v>43510</v>
      </c>
      <c r="N58" s="8">
        <f>IFERROR(__xludf.DUMMYFUNCTION("""COMPUTED_VALUE"""),43691.0)</f>
        <v>43691</v>
      </c>
      <c r="O58" s="7" t="s">
        <v>18</v>
      </c>
      <c r="P58" s="7" t="s">
        <v>19</v>
      </c>
      <c r="Q58" s="7">
        <v>1.0</v>
      </c>
    </row>
    <row r="59">
      <c r="A59" s="7" t="s">
        <v>144</v>
      </c>
      <c r="B59" s="7">
        <v>47500.0</v>
      </c>
      <c r="C59" s="8">
        <v>43557.0</v>
      </c>
      <c r="D59" s="7" t="s">
        <v>371</v>
      </c>
      <c r="E59" s="7">
        <v>2.4330031600011E13</v>
      </c>
      <c r="F59" s="8">
        <v>43516.0</v>
      </c>
      <c r="G59" s="7" t="s">
        <v>437</v>
      </c>
      <c r="H59" s="7">
        <v>3.7809063300017E13</v>
      </c>
      <c r="I59" s="7" t="s">
        <v>506</v>
      </c>
      <c r="J59" s="7" t="s">
        <v>16</v>
      </c>
      <c r="K59" s="7" t="s">
        <v>13</v>
      </c>
      <c r="L59" s="7" t="s">
        <v>507</v>
      </c>
      <c r="M59" s="8">
        <f>IFERROR(__xludf.DUMMYFUNCTION("SPLIT(L59,""/"")"),43516.0)</f>
        <v>43516</v>
      </c>
      <c r="N59" s="8">
        <f>IFERROR(__xludf.DUMMYFUNCTION("""COMPUTED_VALUE"""),43697.0)</f>
        <v>43697</v>
      </c>
      <c r="O59" s="7" t="s">
        <v>18</v>
      </c>
      <c r="P59" s="7" t="s">
        <v>19</v>
      </c>
      <c r="Q59" s="7">
        <v>1.0</v>
      </c>
    </row>
    <row r="60">
      <c r="A60" s="7" t="s">
        <v>351</v>
      </c>
      <c r="B60" s="7">
        <v>10000.0</v>
      </c>
      <c r="C60" s="8">
        <v>43636.0</v>
      </c>
      <c r="D60" s="7" t="s">
        <v>371</v>
      </c>
      <c r="E60" s="7">
        <v>2.4330031600011E13</v>
      </c>
      <c r="F60" s="8">
        <v>43587.0</v>
      </c>
      <c r="G60" s="7" t="s">
        <v>508</v>
      </c>
      <c r="H60" s="7">
        <v>4.1993219900021E13</v>
      </c>
      <c r="I60" s="7" t="s">
        <v>509</v>
      </c>
      <c r="J60" s="7" t="s">
        <v>16</v>
      </c>
      <c r="K60" s="7" t="s">
        <v>380</v>
      </c>
      <c r="L60" s="7" t="s">
        <v>510</v>
      </c>
      <c r="M60" s="8">
        <f>IFERROR(__xludf.DUMMYFUNCTION("SPLIT(L60,""/"")"),43587.0)</f>
        <v>43587</v>
      </c>
      <c r="N60" s="8">
        <f>IFERROR(__xludf.DUMMYFUNCTION("""COMPUTED_VALUE"""),43771.0)</f>
        <v>43771</v>
      </c>
      <c r="O60" s="7" t="s">
        <v>18</v>
      </c>
      <c r="P60" s="7" t="s">
        <v>19</v>
      </c>
      <c r="Q60" s="7">
        <v>1.0</v>
      </c>
    </row>
    <row r="61">
      <c r="A61" s="7" t="s">
        <v>511</v>
      </c>
      <c r="B61" s="7">
        <v>4350.0</v>
      </c>
      <c r="C61" s="8">
        <v>43724.0</v>
      </c>
      <c r="D61" s="7" t="s">
        <v>371</v>
      </c>
      <c r="E61" s="7">
        <v>2.4330031600011E13</v>
      </c>
      <c r="F61" s="8">
        <v>43620.0</v>
      </c>
      <c r="G61" s="7" t="s">
        <v>512</v>
      </c>
      <c r="H61" s="7">
        <v>4.099689630001E13</v>
      </c>
      <c r="I61" s="7" t="s">
        <v>68</v>
      </c>
      <c r="J61" s="7" t="s">
        <v>16</v>
      </c>
      <c r="K61" s="7" t="s">
        <v>13</v>
      </c>
      <c r="L61" s="7" t="s">
        <v>513</v>
      </c>
      <c r="M61" s="8">
        <f>IFERROR(__xludf.DUMMYFUNCTION("SPLIT(L61,""/"")"),43620.0)</f>
        <v>43620</v>
      </c>
      <c r="N61" s="8">
        <f>IFERROR(__xludf.DUMMYFUNCTION("""COMPUTED_VALUE"""),43803.0)</f>
        <v>43803</v>
      </c>
      <c r="O61" s="7" t="s">
        <v>18</v>
      </c>
      <c r="P61" s="7" t="s">
        <v>19</v>
      </c>
      <c r="Q61" s="7">
        <v>1.0</v>
      </c>
    </row>
    <row r="62">
      <c r="A62" s="7" t="s">
        <v>514</v>
      </c>
      <c r="B62" s="7">
        <v>3500.0</v>
      </c>
      <c r="C62" s="8">
        <v>43724.0</v>
      </c>
      <c r="D62" s="7" t="s">
        <v>371</v>
      </c>
      <c r="E62" s="7">
        <v>2.4330031600011E13</v>
      </c>
      <c r="F62" s="8">
        <v>43636.0</v>
      </c>
      <c r="G62" s="7" t="s">
        <v>515</v>
      </c>
      <c r="H62" s="7">
        <v>7.8184921100029E13</v>
      </c>
      <c r="I62" s="7" t="s">
        <v>68</v>
      </c>
      <c r="J62" s="7" t="s">
        <v>16</v>
      </c>
      <c r="K62" s="7" t="s">
        <v>13</v>
      </c>
      <c r="L62" s="7" t="s">
        <v>516</v>
      </c>
      <c r="M62" s="8">
        <f>IFERROR(__xludf.DUMMYFUNCTION("SPLIT(L62,""/"")"),43636.0)</f>
        <v>43636</v>
      </c>
      <c r="N62" s="8">
        <f>IFERROR(__xludf.DUMMYFUNCTION("""COMPUTED_VALUE"""),43819.0)</f>
        <v>43819</v>
      </c>
      <c r="O62" s="7" t="s">
        <v>18</v>
      </c>
      <c r="P62" s="7" t="s">
        <v>19</v>
      </c>
      <c r="Q62" s="7">
        <v>1.0</v>
      </c>
    </row>
    <row r="63">
      <c r="A63" s="7" t="s">
        <v>517</v>
      </c>
      <c r="B63" s="7">
        <v>38000.0</v>
      </c>
      <c r="C63" s="8">
        <v>43636.0</v>
      </c>
      <c r="D63" s="7" t="s">
        <v>371</v>
      </c>
      <c r="E63" s="7">
        <v>2.4330031600011E13</v>
      </c>
      <c r="F63" s="8">
        <v>43622.0</v>
      </c>
      <c r="G63" s="7" t="s">
        <v>378</v>
      </c>
      <c r="H63" s="7">
        <v>4.1900910500018E13</v>
      </c>
      <c r="I63" s="7" t="s">
        <v>379</v>
      </c>
      <c r="J63" s="7" t="s">
        <v>16</v>
      </c>
      <c r="K63" s="7" t="s">
        <v>13</v>
      </c>
      <c r="L63" s="7" t="s">
        <v>502</v>
      </c>
      <c r="M63" s="8">
        <f>IFERROR(__xludf.DUMMYFUNCTION("SPLIT(L63,""/"")"),43622.0)</f>
        <v>43622</v>
      </c>
      <c r="N63" s="8">
        <f>IFERROR(__xludf.DUMMYFUNCTION("""COMPUTED_VALUE"""),43805.0)</f>
        <v>43805</v>
      </c>
      <c r="O63" s="7" t="s">
        <v>18</v>
      </c>
      <c r="P63" s="7" t="s">
        <v>19</v>
      </c>
      <c r="Q63" s="7">
        <v>1.0</v>
      </c>
    </row>
    <row r="64">
      <c r="A64" s="7" t="s">
        <v>213</v>
      </c>
      <c r="B64" s="7">
        <v>25000.0</v>
      </c>
      <c r="C64" s="8">
        <v>43724.0</v>
      </c>
      <c r="D64" s="7" t="s">
        <v>371</v>
      </c>
      <c r="E64" s="7">
        <v>2.4330031600011E13</v>
      </c>
      <c r="F64" s="8">
        <v>43648.0</v>
      </c>
      <c r="G64" s="7" t="s">
        <v>518</v>
      </c>
      <c r="H64" s="7">
        <v>8.0961975200011E13</v>
      </c>
      <c r="I64" s="7" t="s">
        <v>68</v>
      </c>
      <c r="J64" s="7" t="s">
        <v>16</v>
      </c>
      <c r="K64" s="7" t="s">
        <v>13</v>
      </c>
      <c r="L64" s="7" t="s">
        <v>519</v>
      </c>
      <c r="M64" s="8">
        <f>IFERROR(__xludf.DUMMYFUNCTION("SPLIT(L64,""/"")"),43648.0)</f>
        <v>43648</v>
      </c>
      <c r="N64" s="8">
        <f>IFERROR(__xludf.DUMMYFUNCTION("""COMPUTED_VALUE"""),43832.0)</f>
        <v>43832</v>
      </c>
      <c r="O64" s="7" t="s">
        <v>18</v>
      </c>
      <c r="P64" s="7" t="s">
        <v>19</v>
      </c>
      <c r="Q64" s="7">
        <v>1.0</v>
      </c>
    </row>
    <row r="65">
      <c r="A65" s="7" t="s">
        <v>520</v>
      </c>
      <c r="B65" s="7">
        <v>20000.0</v>
      </c>
      <c r="C65" s="8">
        <v>43724.0</v>
      </c>
      <c r="D65" s="7" t="s">
        <v>371</v>
      </c>
      <c r="E65" s="7">
        <v>2.4330031600011E13</v>
      </c>
      <c r="F65" s="8">
        <v>43658.0</v>
      </c>
      <c r="G65" s="7" t="s">
        <v>521</v>
      </c>
      <c r="H65" s="7">
        <v>8.0041897200017E13</v>
      </c>
      <c r="I65" s="7" t="s">
        <v>522</v>
      </c>
      <c r="J65" s="7" t="s">
        <v>16</v>
      </c>
      <c r="K65" s="7" t="s">
        <v>13</v>
      </c>
      <c r="L65" s="7" t="s">
        <v>397</v>
      </c>
      <c r="M65" s="8">
        <f>IFERROR(__xludf.DUMMYFUNCTION("SPLIT(L65,""/"")"),43658.0)</f>
        <v>43658</v>
      </c>
      <c r="N65" s="8">
        <f>IFERROR(__xludf.DUMMYFUNCTION("""COMPUTED_VALUE"""),43842.0)</f>
        <v>43842</v>
      </c>
      <c r="O65" s="7" t="s">
        <v>18</v>
      </c>
      <c r="P65" s="7" t="s">
        <v>19</v>
      </c>
      <c r="Q65" s="7">
        <v>1.0</v>
      </c>
    </row>
    <row r="66">
      <c r="A66" s="7" t="s">
        <v>523</v>
      </c>
      <c r="B66" s="7">
        <v>150000.0</v>
      </c>
      <c r="C66" s="8">
        <v>43557.0</v>
      </c>
      <c r="D66" s="7" t="s">
        <v>371</v>
      </c>
      <c r="E66" s="7">
        <v>2.4330031600011E13</v>
      </c>
      <c r="F66" s="8">
        <v>43507.0</v>
      </c>
      <c r="G66" s="7" t="s">
        <v>437</v>
      </c>
      <c r="H66" s="7">
        <v>3.4426475900046E13</v>
      </c>
      <c r="I66" s="7" t="s">
        <v>524</v>
      </c>
      <c r="J66" s="7" t="s">
        <v>16</v>
      </c>
      <c r="K66" s="7" t="s">
        <v>13</v>
      </c>
      <c r="L66" s="7" t="s">
        <v>525</v>
      </c>
      <c r="M66" s="8">
        <f>IFERROR(__xludf.DUMMYFUNCTION("SPLIT(L66,""/"")"),43507.0)</f>
        <v>43507</v>
      </c>
      <c r="N66" s="8">
        <f>IFERROR(__xludf.DUMMYFUNCTION("""COMPUTED_VALUE"""),43688.0)</f>
        <v>43688</v>
      </c>
      <c r="O66" s="7" t="s">
        <v>18</v>
      </c>
      <c r="P66" s="7" t="s">
        <v>19</v>
      </c>
      <c r="Q66" s="7">
        <v>1.0</v>
      </c>
    </row>
    <row r="67">
      <c r="A67" s="7" t="s">
        <v>229</v>
      </c>
      <c r="B67" s="7">
        <v>20000.0</v>
      </c>
      <c r="C67" s="8">
        <v>43557.0</v>
      </c>
      <c r="D67" s="7" t="s">
        <v>371</v>
      </c>
      <c r="E67" s="7">
        <v>2.4330031600011E13</v>
      </c>
      <c r="F67" s="8">
        <v>43535.0</v>
      </c>
      <c r="G67" s="7" t="s">
        <v>437</v>
      </c>
      <c r="H67" s="7">
        <v>4.2008956700036E13</v>
      </c>
      <c r="I67" s="7" t="s">
        <v>526</v>
      </c>
      <c r="J67" s="7" t="s">
        <v>16</v>
      </c>
      <c r="K67" s="7" t="s">
        <v>13</v>
      </c>
      <c r="L67" s="7" t="s">
        <v>527</v>
      </c>
      <c r="M67" s="8">
        <f>IFERROR(__xludf.DUMMYFUNCTION("SPLIT(L67,""/"")"),43535.0)</f>
        <v>43535</v>
      </c>
      <c r="N67" s="8">
        <f>IFERROR(__xludf.DUMMYFUNCTION("""COMPUTED_VALUE"""),43719.0)</f>
        <v>43719</v>
      </c>
      <c r="O67" s="7" t="s">
        <v>18</v>
      </c>
      <c r="P67" s="7" t="s">
        <v>19</v>
      </c>
      <c r="Q67" s="7">
        <v>1.0</v>
      </c>
    </row>
    <row r="68">
      <c r="A68" s="7" t="s">
        <v>250</v>
      </c>
      <c r="B68" s="7">
        <v>14250.0</v>
      </c>
      <c r="C68" s="8">
        <v>43724.0</v>
      </c>
      <c r="D68" s="7" t="s">
        <v>371</v>
      </c>
      <c r="E68" s="7">
        <v>2.4330031600011E13</v>
      </c>
      <c r="F68" s="8">
        <v>43643.0</v>
      </c>
      <c r="G68" s="7" t="s">
        <v>515</v>
      </c>
      <c r="H68" s="7">
        <v>3.9856806300059E13</v>
      </c>
      <c r="I68" s="7" t="s">
        <v>68</v>
      </c>
      <c r="J68" s="7" t="s">
        <v>16</v>
      </c>
      <c r="K68" s="7" t="s">
        <v>13</v>
      </c>
      <c r="L68" s="7" t="s">
        <v>528</v>
      </c>
      <c r="M68" s="8">
        <f>IFERROR(__xludf.DUMMYFUNCTION("SPLIT(L68,""/"")"),43643.0)</f>
        <v>43643</v>
      </c>
      <c r="N68" s="8">
        <f>IFERROR(__xludf.DUMMYFUNCTION("""COMPUTED_VALUE"""),43826.0)</f>
        <v>43826</v>
      </c>
      <c r="O68" s="7" t="s">
        <v>18</v>
      </c>
      <c r="P68" s="7" t="s">
        <v>19</v>
      </c>
      <c r="Q68" s="7">
        <v>1.0</v>
      </c>
    </row>
    <row r="69">
      <c r="A69" s="7" t="s">
        <v>529</v>
      </c>
      <c r="B69" s="7">
        <v>160000.0</v>
      </c>
      <c r="C69" s="8">
        <v>43724.0</v>
      </c>
      <c r="D69" s="7" t="s">
        <v>371</v>
      </c>
      <c r="E69" s="7">
        <v>2.4330031600011E13</v>
      </c>
      <c r="F69" s="8">
        <v>43703.0</v>
      </c>
      <c r="G69" s="7" t="s">
        <v>391</v>
      </c>
      <c r="H69" s="7">
        <v>4.4336259500037E13</v>
      </c>
      <c r="I69" s="7" t="s">
        <v>530</v>
      </c>
      <c r="J69" s="7" t="s">
        <v>16</v>
      </c>
      <c r="K69" s="7" t="s">
        <v>13</v>
      </c>
      <c r="L69" s="7" t="s">
        <v>393</v>
      </c>
      <c r="M69" s="8">
        <f>IFERROR(__xludf.DUMMYFUNCTION("SPLIT(L69,""/"")"),43703.0)</f>
        <v>43703</v>
      </c>
      <c r="N69" s="8">
        <f>IFERROR(__xludf.DUMMYFUNCTION("""COMPUTED_VALUE"""),43887.0)</f>
        <v>43887</v>
      </c>
      <c r="O69" s="7" t="s">
        <v>18</v>
      </c>
      <c r="P69" s="7" t="s">
        <v>19</v>
      </c>
      <c r="Q69" s="7">
        <v>1.0</v>
      </c>
    </row>
    <row r="70">
      <c r="A70" s="7" t="s">
        <v>137</v>
      </c>
      <c r="B70" s="7">
        <v>50000.0</v>
      </c>
      <c r="C70" s="8">
        <v>43784.0</v>
      </c>
      <c r="D70" s="7" t="s">
        <v>371</v>
      </c>
      <c r="E70" s="7">
        <v>2.4330031600011E13</v>
      </c>
      <c r="F70" s="8">
        <v>43781.0</v>
      </c>
      <c r="G70" s="7" t="s">
        <v>531</v>
      </c>
      <c r="H70" s="7">
        <v>3.7914022100019E13</v>
      </c>
      <c r="I70" s="7" t="s">
        <v>532</v>
      </c>
      <c r="J70" s="7" t="s">
        <v>16</v>
      </c>
      <c r="K70" s="7" t="s">
        <v>13</v>
      </c>
      <c r="L70" s="7" t="s">
        <v>533</v>
      </c>
      <c r="M70" s="8">
        <f>IFERROR(__xludf.DUMMYFUNCTION("SPLIT(L70,""/"")"),43781.0)</f>
        <v>43781</v>
      </c>
      <c r="N70" s="8">
        <f>IFERROR(__xludf.DUMMYFUNCTION("""COMPUTED_VALUE"""),43963.0)</f>
        <v>43963</v>
      </c>
      <c r="O70" s="7" t="s">
        <v>18</v>
      </c>
      <c r="P70" s="7" t="s">
        <v>19</v>
      </c>
      <c r="Q70" s="7">
        <v>1.0</v>
      </c>
    </row>
    <row r="71">
      <c r="A71" s="7" t="s">
        <v>534</v>
      </c>
      <c r="B71" s="7">
        <v>41250.0</v>
      </c>
      <c r="C71" s="8">
        <v>43636.0</v>
      </c>
      <c r="D71" s="7" t="s">
        <v>371</v>
      </c>
      <c r="E71" s="7">
        <v>2.4330031600011E13</v>
      </c>
      <c r="F71" s="8">
        <v>43628.0</v>
      </c>
      <c r="G71" s="7" t="s">
        <v>378</v>
      </c>
      <c r="H71" s="7">
        <v>4.5154609700028E13</v>
      </c>
      <c r="I71" s="7" t="s">
        <v>379</v>
      </c>
      <c r="J71" s="7" t="s">
        <v>16</v>
      </c>
      <c r="K71" s="7" t="s">
        <v>13</v>
      </c>
      <c r="L71" s="7" t="s">
        <v>417</v>
      </c>
      <c r="M71" s="8">
        <f>IFERROR(__xludf.DUMMYFUNCTION("SPLIT(L71,""/"")"),43628.0)</f>
        <v>43628</v>
      </c>
      <c r="N71" s="8">
        <f>IFERROR(__xludf.DUMMYFUNCTION("""COMPUTED_VALUE"""),43811.0)</f>
        <v>43811</v>
      </c>
      <c r="O71" s="7" t="s">
        <v>18</v>
      </c>
      <c r="P71" s="7" t="s">
        <v>19</v>
      </c>
      <c r="Q71" s="7">
        <v>1.0</v>
      </c>
    </row>
    <row r="72">
      <c r="A72" s="7" t="s">
        <v>534</v>
      </c>
      <c r="B72" s="7">
        <v>30000.0</v>
      </c>
      <c r="C72" s="8">
        <v>43724.0</v>
      </c>
      <c r="D72" s="7" t="s">
        <v>371</v>
      </c>
      <c r="E72" s="7">
        <v>2.4330031600011E13</v>
      </c>
      <c r="F72" s="8">
        <v>43643.0</v>
      </c>
      <c r="G72" s="7" t="s">
        <v>378</v>
      </c>
      <c r="H72" s="7">
        <v>4.5154609700028E13</v>
      </c>
      <c r="I72" s="7" t="s">
        <v>535</v>
      </c>
      <c r="J72" s="7" t="s">
        <v>16</v>
      </c>
      <c r="K72" s="7" t="s">
        <v>380</v>
      </c>
      <c r="L72" s="7" t="s">
        <v>528</v>
      </c>
      <c r="M72" s="8">
        <f>IFERROR(__xludf.DUMMYFUNCTION("SPLIT(L72,""/"")"),43643.0)</f>
        <v>43643</v>
      </c>
      <c r="N72" s="8">
        <f>IFERROR(__xludf.DUMMYFUNCTION("""COMPUTED_VALUE"""),43826.0)</f>
        <v>43826</v>
      </c>
      <c r="O72" s="7" t="s">
        <v>18</v>
      </c>
      <c r="P72" s="7" t="s">
        <v>19</v>
      </c>
      <c r="Q72" s="7">
        <v>1.0</v>
      </c>
    </row>
    <row r="73">
      <c r="A73" s="7" t="s">
        <v>536</v>
      </c>
      <c r="B73" s="7">
        <v>204000.0</v>
      </c>
      <c r="C73" s="8">
        <v>43636.0</v>
      </c>
      <c r="D73" s="7" t="s">
        <v>371</v>
      </c>
      <c r="E73" s="7">
        <v>2.4330031600011E13</v>
      </c>
      <c r="F73" s="8">
        <v>43628.0</v>
      </c>
      <c r="G73" s="7" t="s">
        <v>537</v>
      </c>
      <c r="H73" s="7">
        <v>8.1831326400025E13</v>
      </c>
      <c r="I73" s="7" t="s">
        <v>68</v>
      </c>
      <c r="J73" s="7" t="s">
        <v>16</v>
      </c>
      <c r="K73" s="7" t="s">
        <v>13</v>
      </c>
      <c r="L73" s="7" t="s">
        <v>417</v>
      </c>
      <c r="M73" s="8">
        <f>IFERROR(__xludf.DUMMYFUNCTION("SPLIT(L73,""/"")"),43628.0)</f>
        <v>43628</v>
      </c>
      <c r="N73" s="8">
        <f>IFERROR(__xludf.DUMMYFUNCTION("""COMPUTED_VALUE"""),43811.0)</f>
        <v>43811</v>
      </c>
      <c r="O73" s="7" t="s">
        <v>18</v>
      </c>
      <c r="P73" s="7" t="s">
        <v>19</v>
      </c>
      <c r="Q73" s="7">
        <v>1.0</v>
      </c>
    </row>
    <row r="74">
      <c r="A74" s="7" t="s">
        <v>536</v>
      </c>
      <c r="B74" s="7">
        <v>15000.0</v>
      </c>
      <c r="C74" s="8">
        <v>43636.0</v>
      </c>
      <c r="D74" s="7" t="s">
        <v>371</v>
      </c>
      <c r="E74" s="7">
        <v>2.4330031600011E13</v>
      </c>
      <c r="F74" s="8">
        <v>43628.0</v>
      </c>
      <c r="G74" s="7" t="s">
        <v>537</v>
      </c>
      <c r="H74" s="7">
        <v>8.1831326400025E13</v>
      </c>
      <c r="I74" s="7" t="s">
        <v>61</v>
      </c>
      <c r="J74" s="7" t="s">
        <v>16</v>
      </c>
      <c r="K74" s="7" t="s">
        <v>13</v>
      </c>
      <c r="L74" s="7" t="s">
        <v>417</v>
      </c>
      <c r="M74" s="8">
        <f>IFERROR(__xludf.DUMMYFUNCTION("SPLIT(L74,""/"")"),43628.0)</f>
        <v>43628</v>
      </c>
      <c r="N74" s="8">
        <f>IFERROR(__xludf.DUMMYFUNCTION("""COMPUTED_VALUE"""),43811.0)</f>
        <v>43811</v>
      </c>
      <c r="O74" s="7" t="s">
        <v>18</v>
      </c>
      <c r="P74" s="7" t="s">
        <v>19</v>
      </c>
      <c r="Q74" s="7">
        <v>1.0</v>
      </c>
    </row>
    <row r="75">
      <c r="A75" s="7" t="s">
        <v>538</v>
      </c>
      <c r="B75" s="7">
        <v>22310.0</v>
      </c>
      <c r="C75" s="8">
        <v>43636.0</v>
      </c>
      <c r="D75" s="7" t="s">
        <v>371</v>
      </c>
      <c r="E75" s="7">
        <v>2.4330031600011E13</v>
      </c>
      <c r="F75" s="8">
        <v>43607.0</v>
      </c>
      <c r="G75" s="7" t="s">
        <v>388</v>
      </c>
      <c r="H75" s="7">
        <v>8.3273861100017E13</v>
      </c>
      <c r="I75" s="7" t="s">
        <v>539</v>
      </c>
      <c r="J75" s="7" t="s">
        <v>16</v>
      </c>
      <c r="K75" s="7" t="s">
        <v>13</v>
      </c>
      <c r="L75" s="7" t="s">
        <v>540</v>
      </c>
      <c r="M75" s="8">
        <f>IFERROR(__xludf.DUMMYFUNCTION("SPLIT(L75,""/"")"),43607.0)</f>
        <v>43607</v>
      </c>
      <c r="N75" s="8">
        <f>IFERROR(__xludf.DUMMYFUNCTION("""COMPUTED_VALUE"""),43791.0)</f>
        <v>43791</v>
      </c>
      <c r="O75" s="7" t="s">
        <v>18</v>
      </c>
      <c r="P75" s="7" t="s">
        <v>19</v>
      </c>
      <c r="Q75" s="7">
        <v>1.0</v>
      </c>
    </row>
    <row r="76">
      <c r="A76" s="7" t="s">
        <v>541</v>
      </c>
      <c r="B76" s="7">
        <v>5000.0</v>
      </c>
      <c r="C76" s="8">
        <v>43502.0</v>
      </c>
      <c r="D76" s="7" t="s">
        <v>371</v>
      </c>
      <c r="E76" s="7">
        <v>2.4330031600011E13</v>
      </c>
      <c r="F76" s="8">
        <v>43382.0</v>
      </c>
      <c r="G76" s="7" t="s">
        <v>542</v>
      </c>
      <c r="H76" s="7">
        <v>3.1231100400039E13</v>
      </c>
      <c r="I76" s="7" t="s">
        <v>543</v>
      </c>
      <c r="J76" s="7" t="s">
        <v>16</v>
      </c>
      <c r="K76" s="7" t="s">
        <v>380</v>
      </c>
      <c r="L76" s="7" t="s">
        <v>544</v>
      </c>
      <c r="M76" s="8">
        <f>IFERROR(__xludf.DUMMYFUNCTION("SPLIT(L76,""/"")"),43382.0)</f>
        <v>43382</v>
      </c>
      <c r="N76" s="8">
        <f>IFERROR(__xludf.DUMMYFUNCTION("""COMPUTED_VALUE"""),43564.0)</f>
        <v>43564</v>
      </c>
      <c r="O76" s="7" t="s">
        <v>18</v>
      </c>
      <c r="P76" s="7" t="s">
        <v>19</v>
      </c>
      <c r="Q76" s="7">
        <v>1.0</v>
      </c>
    </row>
    <row r="77">
      <c r="A77" s="7" t="s">
        <v>545</v>
      </c>
      <c r="B77" s="7">
        <v>3000.0</v>
      </c>
      <c r="C77" s="8">
        <v>43636.0</v>
      </c>
      <c r="D77" s="7" t="s">
        <v>371</v>
      </c>
      <c r="E77" s="7">
        <v>2.4330031600011E13</v>
      </c>
      <c r="F77" s="8">
        <v>43571.0</v>
      </c>
      <c r="G77" s="7" t="s">
        <v>515</v>
      </c>
      <c r="H77" s="7">
        <v>8.1752354100016E13</v>
      </c>
      <c r="I77" s="7" t="s">
        <v>546</v>
      </c>
      <c r="J77" s="7" t="s">
        <v>16</v>
      </c>
      <c r="K77" s="7" t="s">
        <v>13</v>
      </c>
      <c r="L77" s="7" t="s">
        <v>547</v>
      </c>
      <c r="M77" s="8">
        <f>IFERROR(__xludf.DUMMYFUNCTION("SPLIT(L77,""/"")"),43571.0)</f>
        <v>43571</v>
      </c>
      <c r="N77" s="8">
        <f>IFERROR(__xludf.DUMMYFUNCTION("""COMPUTED_VALUE"""),43754.0)</f>
        <v>43754</v>
      </c>
      <c r="O77" s="7" t="s">
        <v>18</v>
      </c>
      <c r="P77" s="7" t="s">
        <v>19</v>
      </c>
      <c r="Q77" s="7">
        <v>1.0</v>
      </c>
    </row>
    <row r="78">
      <c r="A78" s="7" t="s">
        <v>151</v>
      </c>
      <c r="B78" s="7">
        <v>45000.0</v>
      </c>
      <c r="C78" s="8">
        <v>43724.0</v>
      </c>
      <c r="D78" s="7" t="s">
        <v>371</v>
      </c>
      <c r="E78" s="7">
        <v>2.4330031600011E13</v>
      </c>
      <c r="F78" s="8">
        <v>43642.0</v>
      </c>
      <c r="G78" s="7" t="s">
        <v>431</v>
      </c>
      <c r="H78" s="7">
        <v>3.4975346700043E13</v>
      </c>
      <c r="I78" s="7" t="s">
        <v>467</v>
      </c>
      <c r="J78" s="7" t="s">
        <v>16</v>
      </c>
      <c r="K78" s="7" t="s">
        <v>13</v>
      </c>
      <c r="L78" s="7" t="s">
        <v>432</v>
      </c>
      <c r="M78" s="8">
        <f>IFERROR(__xludf.DUMMYFUNCTION("SPLIT(L78,""/"")"),43642.0)</f>
        <v>43642</v>
      </c>
      <c r="N78" s="8">
        <f>IFERROR(__xludf.DUMMYFUNCTION("""COMPUTED_VALUE"""),43825.0)</f>
        <v>43825</v>
      </c>
      <c r="O78" s="7" t="s">
        <v>18</v>
      </c>
      <c r="P78" s="7" t="s">
        <v>19</v>
      </c>
      <c r="Q78" s="7">
        <v>1.0</v>
      </c>
    </row>
    <row r="79">
      <c r="A79" s="7" t="s">
        <v>151</v>
      </c>
      <c r="B79" s="7">
        <v>45000.0</v>
      </c>
      <c r="C79" s="8">
        <v>43724.0</v>
      </c>
      <c r="D79" s="7" t="s">
        <v>371</v>
      </c>
      <c r="E79" s="7">
        <v>2.4330031600011E13</v>
      </c>
      <c r="F79" s="8">
        <v>43642.0</v>
      </c>
      <c r="G79" s="7" t="s">
        <v>431</v>
      </c>
      <c r="H79" s="7">
        <v>3.4975346700043E13</v>
      </c>
      <c r="I79" s="7" t="s">
        <v>68</v>
      </c>
      <c r="J79" s="7" t="s">
        <v>16</v>
      </c>
      <c r="K79" s="7" t="s">
        <v>13</v>
      </c>
      <c r="L79" s="7" t="s">
        <v>432</v>
      </c>
      <c r="M79" s="8">
        <f>IFERROR(__xludf.DUMMYFUNCTION("SPLIT(L79,""/"")"),43642.0)</f>
        <v>43642</v>
      </c>
      <c r="N79" s="8">
        <f>IFERROR(__xludf.DUMMYFUNCTION("""COMPUTED_VALUE"""),43825.0)</f>
        <v>43825</v>
      </c>
      <c r="O79" s="7" t="s">
        <v>18</v>
      </c>
      <c r="P79" s="7" t="s">
        <v>19</v>
      </c>
      <c r="Q79" s="7">
        <v>1.0</v>
      </c>
    </row>
    <row r="80">
      <c r="A80" s="7" t="s">
        <v>239</v>
      </c>
      <c r="B80" s="7">
        <v>17500.0</v>
      </c>
      <c r="C80" s="8">
        <v>43636.0</v>
      </c>
      <c r="D80" s="7" t="s">
        <v>371</v>
      </c>
      <c r="E80" s="7">
        <v>2.4330031600011E13</v>
      </c>
      <c r="F80" s="8">
        <v>43620.0</v>
      </c>
      <c r="G80" s="7" t="s">
        <v>548</v>
      </c>
      <c r="H80" s="7">
        <v>3.8389023300026E13</v>
      </c>
      <c r="I80" s="7" t="s">
        <v>68</v>
      </c>
      <c r="J80" s="7" t="s">
        <v>16</v>
      </c>
      <c r="K80" s="7" t="s">
        <v>13</v>
      </c>
      <c r="L80" s="7" t="s">
        <v>513</v>
      </c>
      <c r="M80" s="8">
        <f>IFERROR(__xludf.DUMMYFUNCTION("SPLIT(L80,""/"")"),43620.0)</f>
        <v>43620</v>
      </c>
      <c r="N80" s="8">
        <f>IFERROR(__xludf.DUMMYFUNCTION("""COMPUTED_VALUE"""),43803.0)</f>
        <v>43803</v>
      </c>
      <c r="O80" s="7" t="s">
        <v>18</v>
      </c>
      <c r="P80" s="7" t="s">
        <v>19</v>
      </c>
      <c r="Q80" s="7">
        <v>1.0</v>
      </c>
    </row>
    <row r="81">
      <c r="A81" s="7" t="s">
        <v>32</v>
      </c>
      <c r="B81" s="7">
        <v>487775.0</v>
      </c>
      <c r="C81" s="8">
        <v>43636.0</v>
      </c>
      <c r="D81" s="7" t="s">
        <v>371</v>
      </c>
      <c r="E81" s="7">
        <v>2.4330031600011E13</v>
      </c>
      <c r="F81" s="8">
        <v>43621.0</v>
      </c>
      <c r="G81" s="7" t="s">
        <v>549</v>
      </c>
      <c r="H81" s="7">
        <v>4.091998170005E13</v>
      </c>
      <c r="I81" s="7" t="s">
        <v>68</v>
      </c>
      <c r="J81" s="7" t="s">
        <v>16</v>
      </c>
      <c r="K81" s="7" t="s">
        <v>13</v>
      </c>
      <c r="L81" s="7" t="s">
        <v>550</v>
      </c>
      <c r="M81" s="8">
        <f>IFERROR(__xludf.DUMMYFUNCTION("SPLIT(L81,""/"")"),43621.0)</f>
        <v>43621</v>
      </c>
      <c r="N81" s="8">
        <f>IFERROR(__xludf.DUMMYFUNCTION("""COMPUTED_VALUE"""),43804.0)</f>
        <v>43804</v>
      </c>
      <c r="O81" s="7" t="s">
        <v>18</v>
      </c>
      <c r="P81" s="7" t="s">
        <v>19</v>
      </c>
      <c r="Q81" s="7">
        <v>1.0</v>
      </c>
    </row>
    <row r="82">
      <c r="A82" s="7" t="s">
        <v>551</v>
      </c>
      <c r="B82" s="7">
        <v>34000.0</v>
      </c>
      <c r="C82" s="8">
        <v>43557.0</v>
      </c>
      <c r="D82" s="7" t="s">
        <v>371</v>
      </c>
      <c r="E82" s="7">
        <v>2.4330031600011E13</v>
      </c>
      <c r="F82" s="8">
        <v>43523.0</v>
      </c>
      <c r="G82" s="10">
        <v>43647.0</v>
      </c>
      <c r="H82" s="7">
        <v>4.2052348000016E13</v>
      </c>
      <c r="I82" s="7" t="s">
        <v>552</v>
      </c>
      <c r="J82" s="7" t="s">
        <v>16</v>
      </c>
      <c r="K82" s="7" t="s">
        <v>13</v>
      </c>
      <c r="L82" s="7" t="s">
        <v>553</v>
      </c>
      <c r="M82" s="8">
        <f>IFERROR(__xludf.DUMMYFUNCTION("SPLIT(L82,""/"")"),43523.0)</f>
        <v>43523</v>
      </c>
      <c r="N82" s="8">
        <f>IFERROR(__xludf.DUMMYFUNCTION("""COMPUTED_VALUE"""),43704.0)</f>
        <v>43704</v>
      </c>
      <c r="O82" s="7" t="s">
        <v>18</v>
      </c>
      <c r="P82" s="7" t="s">
        <v>19</v>
      </c>
      <c r="Q82" s="7">
        <v>1.0</v>
      </c>
    </row>
    <row r="83">
      <c r="A83" s="7" t="s">
        <v>554</v>
      </c>
      <c r="B83" s="7">
        <v>6600.0</v>
      </c>
      <c r="C83" s="8">
        <v>43636.0</v>
      </c>
      <c r="D83" s="7" t="s">
        <v>371</v>
      </c>
      <c r="E83" s="7">
        <v>2.4330031600011E13</v>
      </c>
      <c r="F83" s="8">
        <v>43628.0</v>
      </c>
      <c r="G83" s="7" t="s">
        <v>388</v>
      </c>
      <c r="H83" s="7">
        <v>8.2155741000015E13</v>
      </c>
      <c r="I83" s="7" t="s">
        <v>389</v>
      </c>
      <c r="J83" s="7" t="s">
        <v>16</v>
      </c>
      <c r="K83" s="7" t="s">
        <v>13</v>
      </c>
      <c r="L83" s="7" t="s">
        <v>417</v>
      </c>
      <c r="M83" s="8">
        <f>IFERROR(__xludf.DUMMYFUNCTION("SPLIT(L83,""/"")"),43628.0)</f>
        <v>43628</v>
      </c>
      <c r="N83" s="8">
        <f>IFERROR(__xludf.DUMMYFUNCTION("""COMPUTED_VALUE"""),43811.0)</f>
        <v>43811</v>
      </c>
      <c r="O83" s="7" t="s">
        <v>18</v>
      </c>
      <c r="P83" s="7" t="s">
        <v>19</v>
      </c>
      <c r="Q83" s="7">
        <v>1.0</v>
      </c>
    </row>
    <row r="84">
      <c r="A84" s="7" t="s">
        <v>555</v>
      </c>
      <c r="B84" s="7">
        <v>4000.0</v>
      </c>
      <c r="C84" s="8">
        <v>43724.0</v>
      </c>
      <c r="D84" s="7" t="s">
        <v>371</v>
      </c>
      <c r="E84" s="7">
        <v>2.4330031600011E13</v>
      </c>
      <c r="F84" s="8">
        <v>43677.0</v>
      </c>
      <c r="G84" s="7" t="s">
        <v>382</v>
      </c>
      <c r="H84" s="7">
        <v>3.3483378700011E13</v>
      </c>
      <c r="I84" s="7" t="s">
        <v>68</v>
      </c>
      <c r="J84" s="7" t="s">
        <v>16</v>
      </c>
      <c r="K84" s="7" t="s">
        <v>380</v>
      </c>
      <c r="L84" s="7" t="s">
        <v>383</v>
      </c>
      <c r="M84" s="8">
        <f>IFERROR(__xludf.DUMMYFUNCTION("SPLIT(L84,""/"")"),43677.0)</f>
        <v>43677</v>
      </c>
      <c r="N84" s="8">
        <f>IFERROR(__xludf.DUMMYFUNCTION("""COMPUTED_VALUE"""),43861.0)</f>
        <v>43861</v>
      </c>
      <c r="O84" s="7" t="s">
        <v>18</v>
      </c>
      <c r="P84" s="7" t="s">
        <v>19</v>
      </c>
      <c r="Q84" s="7">
        <v>1.0</v>
      </c>
    </row>
    <row r="85">
      <c r="A85" s="7" t="s">
        <v>556</v>
      </c>
      <c r="B85" s="7">
        <v>15000.0</v>
      </c>
      <c r="C85" s="8">
        <v>43636.0</v>
      </c>
      <c r="D85" s="7" t="s">
        <v>371</v>
      </c>
      <c r="E85" s="7">
        <v>2.4330031600011E13</v>
      </c>
      <c r="F85" s="8">
        <v>43606.0</v>
      </c>
      <c r="G85" s="7" t="s">
        <v>388</v>
      </c>
      <c r="H85" s="7">
        <v>8.0016249700039E13</v>
      </c>
      <c r="I85" s="7" t="s">
        <v>389</v>
      </c>
      <c r="J85" s="7" t="s">
        <v>16</v>
      </c>
      <c r="K85" s="7" t="s">
        <v>13</v>
      </c>
      <c r="L85" s="7" t="s">
        <v>501</v>
      </c>
      <c r="M85" s="8">
        <f>IFERROR(__xludf.DUMMYFUNCTION("SPLIT(L85,""/"")"),43606.0)</f>
        <v>43606</v>
      </c>
      <c r="N85" s="8">
        <f>IFERROR(__xludf.DUMMYFUNCTION("""COMPUTED_VALUE"""),43790.0)</f>
        <v>43790</v>
      </c>
      <c r="O85" s="7" t="s">
        <v>18</v>
      </c>
      <c r="P85" s="7" t="s">
        <v>19</v>
      </c>
      <c r="Q85" s="7">
        <v>1.0</v>
      </c>
    </row>
    <row r="86">
      <c r="A86" s="7" t="s">
        <v>304</v>
      </c>
      <c r="B86" s="7">
        <v>12500.0</v>
      </c>
      <c r="C86" s="8">
        <v>43636.0</v>
      </c>
      <c r="D86" s="7" t="s">
        <v>371</v>
      </c>
      <c r="E86" s="7">
        <v>2.4330031600011E13</v>
      </c>
      <c r="F86" s="8">
        <v>43619.0</v>
      </c>
      <c r="G86" s="7" t="s">
        <v>388</v>
      </c>
      <c r="H86" s="7">
        <v>8.2469850000017E13</v>
      </c>
      <c r="I86" s="7" t="s">
        <v>389</v>
      </c>
      <c r="J86" s="7" t="s">
        <v>16</v>
      </c>
      <c r="K86" s="7" t="s">
        <v>13</v>
      </c>
      <c r="L86" s="7" t="s">
        <v>394</v>
      </c>
      <c r="M86" s="8">
        <f>IFERROR(__xludf.DUMMYFUNCTION("SPLIT(L86,""/"")"),43619.0)</f>
        <v>43619</v>
      </c>
      <c r="N86" s="8">
        <f>IFERROR(__xludf.DUMMYFUNCTION("""COMPUTED_VALUE"""),43802.0)</f>
        <v>43802</v>
      </c>
      <c r="O86" s="7" t="s">
        <v>18</v>
      </c>
      <c r="P86" s="7" t="s">
        <v>19</v>
      </c>
      <c r="Q86" s="7">
        <v>1.0</v>
      </c>
    </row>
    <row r="87">
      <c r="A87" s="7" t="s">
        <v>557</v>
      </c>
      <c r="B87" s="7">
        <v>27500.0</v>
      </c>
      <c r="C87" s="8">
        <v>43636.0</v>
      </c>
      <c r="D87" s="7" t="s">
        <v>371</v>
      </c>
      <c r="E87" s="7">
        <v>2.4330031600011E13</v>
      </c>
      <c r="F87" s="8">
        <v>43557.0</v>
      </c>
      <c r="G87" s="7" t="s">
        <v>558</v>
      </c>
      <c r="H87" s="7">
        <v>8.4474944000013E13</v>
      </c>
      <c r="I87" s="7" t="s">
        <v>559</v>
      </c>
      <c r="J87" s="7" t="s">
        <v>16</v>
      </c>
      <c r="K87" s="7" t="s">
        <v>13</v>
      </c>
      <c r="L87" s="7" t="s">
        <v>560</v>
      </c>
      <c r="M87" s="8">
        <f>IFERROR(__xludf.DUMMYFUNCTION("SPLIT(L87,""/"")"),43557.0)</f>
        <v>43557</v>
      </c>
      <c r="N87" s="8">
        <f>IFERROR(__xludf.DUMMYFUNCTION("""COMPUTED_VALUE"""),43740.0)</f>
        <v>43740</v>
      </c>
      <c r="O87" s="7" t="s">
        <v>18</v>
      </c>
      <c r="P87" s="7" t="s">
        <v>19</v>
      </c>
      <c r="Q87" s="7">
        <v>1.0</v>
      </c>
    </row>
    <row r="88">
      <c r="A88" s="7" t="s">
        <v>561</v>
      </c>
      <c r="B88" s="7">
        <v>14500.0</v>
      </c>
      <c r="C88" s="8">
        <v>43502.0</v>
      </c>
      <c r="D88" s="7" t="s">
        <v>371</v>
      </c>
      <c r="E88" s="7">
        <v>2.4330031600011E13</v>
      </c>
      <c r="F88" s="8">
        <v>43452.0</v>
      </c>
      <c r="G88" s="7" t="s">
        <v>562</v>
      </c>
      <c r="H88" s="7">
        <v>5.2539664400011E13</v>
      </c>
      <c r="I88" s="7" t="s">
        <v>563</v>
      </c>
      <c r="J88" s="7" t="s">
        <v>16</v>
      </c>
      <c r="K88" s="7" t="s">
        <v>380</v>
      </c>
      <c r="L88" s="7" t="s">
        <v>564</v>
      </c>
      <c r="M88" s="8">
        <f>IFERROR(__xludf.DUMMYFUNCTION("SPLIT(L88,""/"")"),43452.0)</f>
        <v>43452</v>
      </c>
      <c r="N88" s="8">
        <f>IFERROR(__xludf.DUMMYFUNCTION("""COMPUTED_VALUE"""),43634.0)</f>
        <v>43634</v>
      </c>
      <c r="O88" s="7" t="s">
        <v>18</v>
      </c>
      <c r="P88" s="7" t="s">
        <v>19</v>
      </c>
      <c r="Q88" s="7">
        <v>1.0</v>
      </c>
    </row>
    <row r="89">
      <c r="A89" s="7" t="s">
        <v>561</v>
      </c>
      <c r="B89" s="7">
        <v>25000.0</v>
      </c>
      <c r="C89" s="8">
        <v>43784.0</v>
      </c>
      <c r="D89" s="7" t="s">
        <v>371</v>
      </c>
      <c r="E89" s="7">
        <v>2.4330031600011E13</v>
      </c>
      <c r="F89" s="8">
        <v>43763.0</v>
      </c>
      <c r="G89" s="7" t="s">
        <v>452</v>
      </c>
      <c r="H89" s="7">
        <v>5.2539664400011E13</v>
      </c>
      <c r="I89" s="7" t="s">
        <v>279</v>
      </c>
      <c r="J89" s="7" t="s">
        <v>16</v>
      </c>
      <c r="K89" s="7" t="s">
        <v>13</v>
      </c>
      <c r="L89" s="7" t="s">
        <v>565</v>
      </c>
      <c r="M89" s="8">
        <f>IFERROR(__xludf.DUMMYFUNCTION("SPLIT(L89,""/"")"),43763.0)</f>
        <v>43763</v>
      </c>
      <c r="N89" s="8">
        <f>IFERROR(__xludf.DUMMYFUNCTION("""COMPUTED_VALUE"""),43946.0)</f>
        <v>43946</v>
      </c>
      <c r="O89" s="7" t="s">
        <v>18</v>
      </c>
      <c r="P89" s="7" t="s">
        <v>19</v>
      </c>
      <c r="Q89" s="7">
        <v>1.0</v>
      </c>
    </row>
    <row r="90">
      <c r="A90" s="7" t="s">
        <v>566</v>
      </c>
      <c r="B90" s="7">
        <v>9000.0</v>
      </c>
      <c r="C90" s="8">
        <v>43636.0</v>
      </c>
      <c r="D90" s="7" t="s">
        <v>371</v>
      </c>
      <c r="E90" s="7">
        <v>2.4330031600011E13</v>
      </c>
      <c r="F90" s="8">
        <v>43613.0</v>
      </c>
      <c r="G90" s="7" t="s">
        <v>388</v>
      </c>
      <c r="H90" s="7">
        <v>4.846680250003E13</v>
      </c>
      <c r="I90" s="7" t="s">
        <v>389</v>
      </c>
      <c r="J90" s="7" t="s">
        <v>16</v>
      </c>
      <c r="K90" s="7" t="s">
        <v>13</v>
      </c>
      <c r="L90" s="7" t="s">
        <v>567</v>
      </c>
      <c r="M90" s="8">
        <f>IFERROR(__xludf.DUMMYFUNCTION("SPLIT(L90,""/"")"),43613.0)</f>
        <v>43613</v>
      </c>
      <c r="N90" s="8">
        <f>IFERROR(__xludf.DUMMYFUNCTION("""COMPUTED_VALUE"""),43797.0)</f>
        <v>43797</v>
      </c>
      <c r="O90" s="7" t="s">
        <v>18</v>
      </c>
      <c r="P90" s="7" t="s">
        <v>19</v>
      </c>
      <c r="Q90" s="7">
        <v>1.0</v>
      </c>
    </row>
    <row r="91">
      <c r="A91" s="7" t="s">
        <v>568</v>
      </c>
      <c r="B91" s="7">
        <v>7000.0</v>
      </c>
      <c r="C91" s="8">
        <v>43557.0</v>
      </c>
      <c r="D91" s="7" t="s">
        <v>371</v>
      </c>
      <c r="E91" s="7">
        <v>2.4330031600011E13</v>
      </c>
      <c r="F91" s="8">
        <v>43532.0</v>
      </c>
      <c r="G91" s="7" t="s">
        <v>569</v>
      </c>
      <c r="H91" s="7">
        <v>8.4217399900017E13</v>
      </c>
      <c r="I91" s="7" t="s">
        <v>570</v>
      </c>
      <c r="J91" s="7" t="s">
        <v>16</v>
      </c>
      <c r="K91" s="7" t="s">
        <v>13</v>
      </c>
      <c r="L91" s="7" t="s">
        <v>401</v>
      </c>
      <c r="M91" s="8">
        <f>IFERROR(__xludf.DUMMYFUNCTION("SPLIT(L91,""/"")"),43532.0)</f>
        <v>43532</v>
      </c>
      <c r="N91" s="8">
        <f>IFERROR(__xludf.DUMMYFUNCTION("""COMPUTED_VALUE"""),43716.0)</f>
        <v>43716</v>
      </c>
      <c r="O91" s="7" t="s">
        <v>18</v>
      </c>
      <c r="P91" s="7" t="s">
        <v>19</v>
      </c>
      <c r="Q91" s="7">
        <v>1.0</v>
      </c>
    </row>
    <row r="92">
      <c r="A92" s="7" t="s">
        <v>571</v>
      </c>
      <c r="B92" s="7">
        <v>15000.0</v>
      </c>
      <c r="C92" s="8">
        <v>43502.0</v>
      </c>
      <c r="D92" s="7" t="s">
        <v>371</v>
      </c>
      <c r="E92" s="7">
        <v>2.4330031600011E13</v>
      </c>
      <c r="F92" s="8">
        <v>43452.0</v>
      </c>
      <c r="G92" s="7" t="s">
        <v>572</v>
      </c>
      <c r="H92" s="7">
        <v>7.9493089100013E13</v>
      </c>
      <c r="I92" s="7" t="s">
        <v>70</v>
      </c>
      <c r="J92" s="7" t="s">
        <v>16</v>
      </c>
      <c r="K92" s="7" t="s">
        <v>13</v>
      </c>
      <c r="L92" s="7" t="s">
        <v>564</v>
      </c>
      <c r="M92" s="8">
        <f>IFERROR(__xludf.DUMMYFUNCTION("SPLIT(L92,""/"")"),43452.0)</f>
        <v>43452</v>
      </c>
      <c r="N92" s="8">
        <f>IFERROR(__xludf.DUMMYFUNCTION("""COMPUTED_VALUE"""),43634.0)</f>
        <v>43634</v>
      </c>
      <c r="O92" s="7" t="s">
        <v>18</v>
      </c>
      <c r="P92" s="7" t="s">
        <v>19</v>
      </c>
      <c r="Q92" s="7">
        <v>1.0</v>
      </c>
    </row>
    <row r="93">
      <c r="A93" s="7" t="s">
        <v>573</v>
      </c>
      <c r="B93" s="7">
        <v>4500.0</v>
      </c>
      <c r="C93" s="8">
        <v>43724.0</v>
      </c>
      <c r="D93" s="7" t="s">
        <v>371</v>
      </c>
      <c r="E93" s="7">
        <v>2.4330031600011E13</v>
      </c>
      <c r="F93" s="8">
        <v>43635.0</v>
      </c>
      <c r="G93" s="7" t="s">
        <v>515</v>
      </c>
      <c r="H93" s="7">
        <v>8.2978181400019E13</v>
      </c>
      <c r="I93" s="7" t="s">
        <v>68</v>
      </c>
      <c r="J93" s="7" t="s">
        <v>16</v>
      </c>
      <c r="K93" s="7" t="s">
        <v>13</v>
      </c>
      <c r="L93" s="7" t="s">
        <v>419</v>
      </c>
      <c r="M93" s="8">
        <f>IFERROR(__xludf.DUMMYFUNCTION("SPLIT(L93,""/"")"),43635.0)</f>
        <v>43635</v>
      </c>
      <c r="N93" s="8">
        <f>IFERROR(__xludf.DUMMYFUNCTION("""COMPUTED_VALUE"""),43818.0)</f>
        <v>43818</v>
      </c>
      <c r="O93" s="7" t="s">
        <v>18</v>
      </c>
      <c r="P93" s="7" t="s">
        <v>19</v>
      </c>
      <c r="Q93" s="7">
        <v>1.0</v>
      </c>
    </row>
    <row r="94">
      <c r="A94" s="7" t="s">
        <v>574</v>
      </c>
      <c r="B94" s="7">
        <v>55000.0</v>
      </c>
      <c r="C94" s="8">
        <v>43636.0</v>
      </c>
      <c r="D94" s="7" t="s">
        <v>371</v>
      </c>
      <c r="E94" s="7">
        <v>2.4330031600011E13</v>
      </c>
      <c r="F94" s="8">
        <v>43585.0</v>
      </c>
      <c r="G94" s="7" t="s">
        <v>575</v>
      </c>
      <c r="H94" s="7">
        <v>8.2959066000017E13</v>
      </c>
      <c r="I94" s="7" t="s">
        <v>68</v>
      </c>
      <c r="J94" s="7" t="s">
        <v>16</v>
      </c>
      <c r="K94" s="7" t="s">
        <v>13</v>
      </c>
      <c r="L94" s="7" t="s">
        <v>576</v>
      </c>
      <c r="M94" s="8">
        <f>IFERROR(__xludf.DUMMYFUNCTION("SPLIT(L94,""/"")"),43585.0)</f>
        <v>43585</v>
      </c>
      <c r="N94" s="8">
        <f>IFERROR(__xludf.DUMMYFUNCTION("""COMPUTED_VALUE"""),43768.0)</f>
        <v>43768</v>
      </c>
      <c r="O94" s="7" t="s">
        <v>18</v>
      </c>
      <c r="P94" s="7" t="s">
        <v>19</v>
      </c>
      <c r="Q94" s="7">
        <v>1.0</v>
      </c>
    </row>
    <row r="95">
      <c r="A95" s="7" t="s">
        <v>253</v>
      </c>
      <c r="B95" s="7">
        <v>15000.0</v>
      </c>
      <c r="C95" s="8">
        <v>43557.0</v>
      </c>
      <c r="D95" s="7" t="s">
        <v>371</v>
      </c>
      <c r="E95" s="7">
        <v>2.4330031600011E13</v>
      </c>
      <c r="F95" s="8">
        <v>43521.0</v>
      </c>
      <c r="G95" s="7" t="s">
        <v>437</v>
      </c>
      <c r="H95" s="7">
        <v>4.3434085700037E13</v>
      </c>
      <c r="I95" s="7" t="s">
        <v>577</v>
      </c>
      <c r="J95" s="7" t="s">
        <v>16</v>
      </c>
      <c r="K95" s="7" t="s">
        <v>13</v>
      </c>
      <c r="L95" s="7" t="s">
        <v>578</v>
      </c>
      <c r="M95" s="8">
        <f>IFERROR(__xludf.DUMMYFUNCTION("SPLIT(L95,""/"")"),43521.0)</f>
        <v>43521</v>
      </c>
      <c r="N95" s="8">
        <f>IFERROR(__xludf.DUMMYFUNCTION("""COMPUTED_VALUE"""),43702.0)</f>
        <v>43702</v>
      </c>
      <c r="O95" s="7" t="s">
        <v>18</v>
      </c>
      <c r="P95" s="7" t="s">
        <v>19</v>
      </c>
      <c r="Q95" s="7">
        <v>1.0</v>
      </c>
    </row>
    <row r="96">
      <c r="A96" s="7" t="s">
        <v>579</v>
      </c>
      <c r="B96" s="7">
        <v>8826.0</v>
      </c>
      <c r="C96" s="8">
        <v>43636.0</v>
      </c>
      <c r="D96" s="7" t="s">
        <v>371</v>
      </c>
      <c r="E96" s="7">
        <v>2.4330031600011E13</v>
      </c>
      <c r="F96" s="8">
        <v>43613.0</v>
      </c>
      <c r="G96" s="7" t="s">
        <v>388</v>
      </c>
      <c r="H96" s="7">
        <v>4.9206573500028E13</v>
      </c>
      <c r="I96" s="7" t="s">
        <v>389</v>
      </c>
      <c r="J96" s="7" t="s">
        <v>16</v>
      </c>
      <c r="K96" s="7" t="s">
        <v>13</v>
      </c>
      <c r="L96" s="7" t="s">
        <v>567</v>
      </c>
      <c r="M96" s="8">
        <f>IFERROR(__xludf.DUMMYFUNCTION("SPLIT(L96,""/"")"),43613.0)</f>
        <v>43613</v>
      </c>
      <c r="N96" s="8">
        <f>IFERROR(__xludf.DUMMYFUNCTION("""COMPUTED_VALUE"""),43797.0)</f>
        <v>43797</v>
      </c>
      <c r="O96" s="7" t="s">
        <v>18</v>
      </c>
      <c r="P96" s="7" t="s">
        <v>19</v>
      </c>
      <c r="Q96" s="7">
        <v>1.0</v>
      </c>
    </row>
    <row r="97">
      <c r="A97" s="7" t="s">
        <v>580</v>
      </c>
      <c r="B97" s="7">
        <v>50000.0</v>
      </c>
      <c r="C97" s="8">
        <v>43724.0</v>
      </c>
      <c r="D97" s="7" t="s">
        <v>371</v>
      </c>
      <c r="E97" s="7">
        <v>2.4330031600011E13</v>
      </c>
      <c r="F97" s="8">
        <v>43699.0</v>
      </c>
      <c r="G97" s="7" t="s">
        <v>581</v>
      </c>
      <c r="H97" s="7">
        <v>8.1292453800018E13</v>
      </c>
      <c r="I97" s="7" t="s">
        <v>582</v>
      </c>
      <c r="J97" s="7" t="s">
        <v>16</v>
      </c>
      <c r="K97" s="7" t="s">
        <v>13</v>
      </c>
      <c r="L97" s="7" t="s">
        <v>583</v>
      </c>
      <c r="M97" s="8">
        <f>IFERROR(__xludf.DUMMYFUNCTION("SPLIT(L97,""/"")"),43699.0)</f>
        <v>43699</v>
      </c>
      <c r="N97" s="8">
        <f>IFERROR(__xludf.DUMMYFUNCTION("""COMPUTED_VALUE"""),43883.0)</f>
        <v>43883</v>
      </c>
      <c r="O97" s="7" t="s">
        <v>18</v>
      </c>
      <c r="P97" s="7" t="s">
        <v>19</v>
      </c>
      <c r="Q97" s="7">
        <v>1.0</v>
      </c>
    </row>
    <row r="98">
      <c r="A98" s="7" t="s">
        <v>584</v>
      </c>
      <c r="B98" s="7">
        <v>25000.0</v>
      </c>
      <c r="C98" s="8">
        <v>43557.0</v>
      </c>
      <c r="D98" s="7" t="s">
        <v>371</v>
      </c>
      <c r="E98" s="7">
        <v>2.4330031600011E13</v>
      </c>
      <c r="F98" s="8">
        <v>43515.0</v>
      </c>
      <c r="G98" s="7" t="s">
        <v>585</v>
      </c>
      <c r="H98" s="7">
        <v>3.3986341700418E13</v>
      </c>
      <c r="I98" s="7" t="s">
        <v>586</v>
      </c>
      <c r="J98" s="7" t="s">
        <v>16</v>
      </c>
      <c r="K98" s="7" t="s">
        <v>13</v>
      </c>
      <c r="L98" s="7" t="s">
        <v>587</v>
      </c>
      <c r="M98" s="8">
        <f>IFERROR(__xludf.DUMMYFUNCTION("SPLIT(L98,""/"")"),43515.0)</f>
        <v>43515</v>
      </c>
      <c r="N98" s="8">
        <f>IFERROR(__xludf.DUMMYFUNCTION("""COMPUTED_VALUE"""),43696.0)</f>
        <v>43696</v>
      </c>
      <c r="O98" s="7" t="s">
        <v>18</v>
      </c>
      <c r="P98" s="7" t="s">
        <v>19</v>
      </c>
      <c r="Q98" s="7">
        <v>1.0</v>
      </c>
    </row>
    <row r="99">
      <c r="A99" s="7" t="s">
        <v>306</v>
      </c>
      <c r="B99" s="7">
        <v>6000.0</v>
      </c>
      <c r="C99" s="8">
        <v>43636.0</v>
      </c>
      <c r="D99" s="7" t="s">
        <v>371</v>
      </c>
      <c r="E99" s="7">
        <v>2.4330031600011E13</v>
      </c>
      <c r="F99" s="8">
        <v>43606.0</v>
      </c>
      <c r="G99" s="7" t="s">
        <v>388</v>
      </c>
      <c r="H99" s="7">
        <v>4.5227479800035E13</v>
      </c>
      <c r="I99" s="7" t="s">
        <v>588</v>
      </c>
      <c r="J99" s="7" t="s">
        <v>16</v>
      </c>
      <c r="K99" s="7" t="s">
        <v>13</v>
      </c>
      <c r="L99" s="7" t="s">
        <v>501</v>
      </c>
      <c r="M99" s="8">
        <f>IFERROR(__xludf.DUMMYFUNCTION("SPLIT(L99,""/"")"),43606.0)</f>
        <v>43606</v>
      </c>
      <c r="N99" s="8">
        <f>IFERROR(__xludf.DUMMYFUNCTION("""COMPUTED_VALUE"""),43790.0)</f>
        <v>43790</v>
      </c>
      <c r="O99" s="7" t="s">
        <v>18</v>
      </c>
      <c r="P99" s="7" t="s">
        <v>19</v>
      </c>
      <c r="Q99" s="7">
        <v>1.0</v>
      </c>
    </row>
    <row r="100">
      <c r="A100" s="7" t="s">
        <v>589</v>
      </c>
      <c r="B100" s="7">
        <v>25000.0</v>
      </c>
      <c r="C100" s="8">
        <v>43724.0</v>
      </c>
      <c r="D100" s="7" t="s">
        <v>371</v>
      </c>
      <c r="E100" s="7">
        <v>2.4330031600011E13</v>
      </c>
      <c r="F100" s="8">
        <v>43677.0</v>
      </c>
      <c r="G100" s="7" t="s">
        <v>395</v>
      </c>
      <c r="H100" s="7">
        <v>4.9058526200069E13</v>
      </c>
      <c r="I100" s="7" t="s">
        <v>68</v>
      </c>
      <c r="J100" s="7" t="s">
        <v>16</v>
      </c>
      <c r="K100" s="7" t="s">
        <v>13</v>
      </c>
      <c r="L100" s="7" t="s">
        <v>383</v>
      </c>
      <c r="M100" s="8">
        <f>IFERROR(__xludf.DUMMYFUNCTION("SPLIT(L100,""/"")"),43677.0)</f>
        <v>43677</v>
      </c>
      <c r="N100" s="8">
        <f>IFERROR(__xludf.DUMMYFUNCTION("""COMPUTED_VALUE"""),43861.0)</f>
        <v>43861</v>
      </c>
      <c r="O100" s="7" t="s">
        <v>18</v>
      </c>
      <c r="P100" s="7" t="s">
        <v>19</v>
      </c>
      <c r="Q100" s="7">
        <v>1.0</v>
      </c>
    </row>
    <row r="101">
      <c r="A101" s="7" t="s">
        <v>590</v>
      </c>
      <c r="B101" s="7">
        <v>230000.0</v>
      </c>
      <c r="C101" s="8">
        <v>43557.0</v>
      </c>
      <c r="D101" s="7" t="s">
        <v>371</v>
      </c>
      <c r="E101" s="7">
        <v>2.4330031600011E13</v>
      </c>
      <c r="F101" s="8">
        <v>43531.0</v>
      </c>
      <c r="G101" s="7" t="s">
        <v>591</v>
      </c>
      <c r="H101" s="7">
        <v>4.9058526200069E13</v>
      </c>
      <c r="I101" s="7" t="s">
        <v>68</v>
      </c>
      <c r="J101" s="7" t="s">
        <v>16</v>
      </c>
      <c r="K101" s="7" t="s">
        <v>13</v>
      </c>
      <c r="L101" s="7" t="s">
        <v>592</v>
      </c>
      <c r="M101" s="8">
        <f>IFERROR(__xludf.DUMMYFUNCTION("SPLIT(L101,""/"")"),43531.0)</f>
        <v>43531</v>
      </c>
      <c r="N101" s="8">
        <f>IFERROR(__xludf.DUMMYFUNCTION("""COMPUTED_VALUE"""),43715.0)</f>
        <v>43715</v>
      </c>
      <c r="O101" s="7" t="s">
        <v>18</v>
      </c>
      <c r="P101" s="7" t="s">
        <v>19</v>
      </c>
      <c r="Q101" s="7">
        <v>1.0</v>
      </c>
    </row>
    <row r="102">
      <c r="A102" s="7" t="s">
        <v>590</v>
      </c>
      <c r="B102" s="7">
        <v>228000.0</v>
      </c>
      <c r="C102" s="8">
        <v>43636.0</v>
      </c>
      <c r="D102" s="7" t="s">
        <v>371</v>
      </c>
      <c r="E102" s="7">
        <v>2.4330031600011E13</v>
      </c>
      <c r="F102" s="8">
        <v>43620.0</v>
      </c>
      <c r="G102" s="7" t="s">
        <v>372</v>
      </c>
      <c r="H102" s="7">
        <v>4.9058526200069E13</v>
      </c>
      <c r="I102" s="7" t="s">
        <v>273</v>
      </c>
      <c r="J102" s="7" t="s">
        <v>16</v>
      </c>
      <c r="K102" s="7" t="s">
        <v>13</v>
      </c>
      <c r="L102" s="7" t="s">
        <v>513</v>
      </c>
      <c r="M102" s="8">
        <f>IFERROR(__xludf.DUMMYFUNCTION("SPLIT(L102,""/"")"),43620.0)</f>
        <v>43620</v>
      </c>
      <c r="N102" s="8">
        <f>IFERROR(__xludf.DUMMYFUNCTION("""COMPUTED_VALUE"""),43803.0)</f>
        <v>43803</v>
      </c>
      <c r="O102" s="7" t="s">
        <v>18</v>
      </c>
      <c r="P102" s="7" t="s">
        <v>19</v>
      </c>
      <c r="Q102" s="7">
        <v>1.0</v>
      </c>
    </row>
    <row r="103">
      <c r="A103" s="7" t="s">
        <v>593</v>
      </c>
      <c r="B103" s="7">
        <v>56400.0</v>
      </c>
      <c r="C103" s="8">
        <v>43784.0</v>
      </c>
      <c r="D103" s="7" t="s">
        <v>371</v>
      </c>
      <c r="E103" s="7">
        <v>2.4330031600011E13</v>
      </c>
      <c r="F103" s="8">
        <v>43759.0</v>
      </c>
      <c r="G103" s="7" t="s">
        <v>594</v>
      </c>
      <c r="H103" s="7">
        <v>5.1779186900012E13</v>
      </c>
      <c r="I103" s="7" t="s">
        <v>68</v>
      </c>
      <c r="J103" s="7" t="s">
        <v>16</v>
      </c>
      <c r="K103" s="7" t="s">
        <v>13</v>
      </c>
      <c r="L103" s="7" t="s">
        <v>595</v>
      </c>
      <c r="M103" s="8">
        <f>IFERROR(__xludf.DUMMYFUNCTION("SPLIT(L103,""/"")"),43759.0)</f>
        <v>43759</v>
      </c>
      <c r="N103" s="8">
        <f>IFERROR(__xludf.DUMMYFUNCTION("""COMPUTED_VALUE"""),43942.0)</f>
        <v>43942</v>
      </c>
      <c r="O103" s="7" t="s">
        <v>18</v>
      </c>
      <c r="P103" s="7" t="s">
        <v>19</v>
      </c>
      <c r="Q103" s="7">
        <v>1.0</v>
      </c>
    </row>
    <row r="104">
      <c r="A104" s="7" t="s">
        <v>596</v>
      </c>
      <c r="B104" s="7">
        <v>8000.0</v>
      </c>
      <c r="C104" s="8">
        <v>43724.0</v>
      </c>
      <c r="D104" s="7" t="s">
        <v>371</v>
      </c>
      <c r="E104" s="7">
        <v>2.4330031600011E13</v>
      </c>
      <c r="F104" s="8">
        <v>43703.0</v>
      </c>
      <c r="G104" s="7" t="s">
        <v>391</v>
      </c>
      <c r="H104" s="7">
        <v>5.2425936300017E13</v>
      </c>
      <c r="I104" s="7" t="s">
        <v>597</v>
      </c>
      <c r="J104" s="7" t="s">
        <v>16</v>
      </c>
      <c r="K104" s="7" t="s">
        <v>13</v>
      </c>
      <c r="L104" s="7" t="s">
        <v>393</v>
      </c>
      <c r="M104" s="8">
        <f>IFERROR(__xludf.DUMMYFUNCTION("SPLIT(L104,""/"")"),43703.0)</f>
        <v>43703</v>
      </c>
      <c r="N104" s="8">
        <f>IFERROR(__xludf.DUMMYFUNCTION("""COMPUTED_VALUE"""),43887.0)</f>
        <v>43887</v>
      </c>
      <c r="O104" s="7" t="s">
        <v>18</v>
      </c>
      <c r="P104" s="7" t="s">
        <v>19</v>
      </c>
      <c r="Q104" s="7">
        <v>1.0</v>
      </c>
    </row>
    <row r="105">
      <c r="A105" s="7" t="s">
        <v>80</v>
      </c>
      <c r="B105" s="7">
        <v>91379.0</v>
      </c>
      <c r="C105" s="8">
        <v>43557.0</v>
      </c>
      <c r="D105" s="7" t="s">
        <v>371</v>
      </c>
      <c r="E105" s="7">
        <v>2.4330031600011E13</v>
      </c>
      <c r="F105" s="8">
        <v>43511.0</v>
      </c>
      <c r="G105" s="7" t="s">
        <v>598</v>
      </c>
      <c r="H105" s="7">
        <v>3.4221545600043E13</v>
      </c>
      <c r="I105" s="7" t="s">
        <v>68</v>
      </c>
      <c r="J105" s="7" t="s">
        <v>16</v>
      </c>
      <c r="K105" s="7" t="s">
        <v>13</v>
      </c>
      <c r="L105" s="7" t="s">
        <v>599</v>
      </c>
      <c r="M105" s="8">
        <f>IFERROR(__xludf.DUMMYFUNCTION("SPLIT(L105,""/"")"),43511.0)</f>
        <v>43511</v>
      </c>
      <c r="N105" s="8">
        <f>IFERROR(__xludf.DUMMYFUNCTION("""COMPUTED_VALUE"""),43692.0)</f>
        <v>43692</v>
      </c>
      <c r="O105" s="7" t="s">
        <v>18</v>
      </c>
      <c r="P105" s="7" t="s">
        <v>19</v>
      </c>
      <c r="Q105" s="7">
        <v>1.0</v>
      </c>
    </row>
    <row r="106">
      <c r="A106" s="7" t="s">
        <v>600</v>
      </c>
      <c r="B106" s="7">
        <v>6700.0</v>
      </c>
      <c r="C106" s="8">
        <v>43636.0</v>
      </c>
      <c r="D106" s="7" t="s">
        <v>371</v>
      </c>
      <c r="E106" s="7">
        <v>2.4330031600011E13</v>
      </c>
      <c r="F106" s="8">
        <v>43613.0</v>
      </c>
      <c r="G106" s="7" t="s">
        <v>388</v>
      </c>
      <c r="H106" s="7">
        <v>5.1066013700033E13</v>
      </c>
      <c r="I106" s="7" t="s">
        <v>389</v>
      </c>
      <c r="J106" s="7" t="s">
        <v>16</v>
      </c>
      <c r="K106" s="7" t="s">
        <v>13</v>
      </c>
      <c r="L106" s="7" t="s">
        <v>567</v>
      </c>
      <c r="M106" s="8">
        <f>IFERROR(__xludf.DUMMYFUNCTION("SPLIT(L106,""/"")"),43613.0)</f>
        <v>43613</v>
      </c>
      <c r="N106" s="8">
        <f>IFERROR(__xludf.DUMMYFUNCTION("""COMPUTED_VALUE"""),43797.0)</f>
        <v>43797</v>
      </c>
      <c r="O106" s="7" t="s">
        <v>18</v>
      </c>
      <c r="P106" s="7" t="s">
        <v>19</v>
      </c>
      <c r="Q106" s="7">
        <v>1.0</v>
      </c>
    </row>
    <row r="107">
      <c r="A107" s="7" t="s">
        <v>601</v>
      </c>
      <c r="B107" s="7">
        <v>25000.0</v>
      </c>
      <c r="C107" s="8">
        <v>43557.0</v>
      </c>
      <c r="D107" s="7" t="s">
        <v>371</v>
      </c>
      <c r="E107" s="7">
        <v>2.4330031600011E13</v>
      </c>
      <c r="F107" s="8">
        <v>43508.0</v>
      </c>
      <c r="G107" s="7" t="s">
        <v>437</v>
      </c>
      <c r="H107" s="7">
        <v>3.4169319000033E13</v>
      </c>
      <c r="I107" s="7" t="s">
        <v>602</v>
      </c>
      <c r="J107" s="7" t="s">
        <v>16</v>
      </c>
      <c r="K107" s="7" t="s">
        <v>13</v>
      </c>
      <c r="L107" s="7" t="s">
        <v>603</v>
      </c>
      <c r="M107" s="8">
        <f>IFERROR(__xludf.DUMMYFUNCTION("SPLIT(L107,""/"")"),43508.0)</f>
        <v>43508</v>
      </c>
      <c r="N107" s="8">
        <f>IFERROR(__xludf.DUMMYFUNCTION("""COMPUTED_VALUE"""),43689.0)</f>
        <v>43689</v>
      </c>
      <c r="O107" s="7" t="s">
        <v>18</v>
      </c>
      <c r="P107" s="7" t="s">
        <v>19</v>
      </c>
      <c r="Q107" s="7">
        <v>1.0</v>
      </c>
    </row>
    <row r="108">
      <c r="A108" s="7" t="s">
        <v>601</v>
      </c>
      <c r="B108" s="7">
        <v>33250.0</v>
      </c>
      <c r="C108" s="8">
        <v>43557.0</v>
      </c>
      <c r="D108" s="7" t="s">
        <v>371</v>
      </c>
      <c r="E108" s="7">
        <v>2.4330031600011E13</v>
      </c>
      <c r="F108" s="8">
        <v>43441.0</v>
      </c>
      <c r="G108" s="7" t="s">
        <v>604</v>
      </c>
      <c r="H108" s="7">
        <v>3.4169319000033E13</v>
      </c>
      <c r="I108" s="7" t="s">
        <v>605</v>
      </c>
      <c r="J108" s="7" t="s">
        <v>16</v>
      </c>
      <c r="K108" s="7" t="s">
        <v>13</v>
      </c>
      <c r="L108" s="7" t="s">
        <v>606</v>
      </c>
      <c r="M108" s="8">
        <f>IFERROR(__xludf.DUMMYFUNCTION("SPLIT(L108,""/"")"),43441.0)</f>
        <v>43441</v>
      </c>
      <c r="N108" s="8">
        <f>IFERROR(__xludf.DUMMYFUNCTION("""COMPUTED_VALUE"""),43623.0)</f>
        <v>43623</v>
      </c>
      <c r="O108" s="7" t="s">
        <v>18</v>
      </c>
      <c r="P108" s="7" t="s">
        <v>19</v>
      </c>
      <c r="Q108" s="7">
        <v>1.0</v>
      </c>
    </row>
    <row r="109">
      <c r="A109" s="7" t="s">
        <v>601</v>
      </c>
      <c r="B109" s="7">
        <v>40000.0</v>
      </c>
      <c r="C109" s="8">
        <v>43636.0</v>
      </c>
      <c r="D109" s="7" t="s">
        <v>371</v>
      </c>
      <c r="E109" s="7">
        <v>2.4330031600011E13</v>
      </c>
      <c r="F109" s="8">
        <v>43621.0</v>
      </c>
      <c r="G109" s="7" t="s">
        <v>388</v>
      </c>
      <c r="H109" s="7">
        <v>3.4169319000033E13</v>
      </c>
      <c r="I109" s="7" t="s">
        <v>389</v>
      </c>
      <c r="J109" s="7" t="s">
        <v>16</v>
      </c>
      <c r="K109" s="7" t="s">
        <v>13</v>
      </c>
      <c r="L109" s="7" t="s">
        <v>550</v>
      </c>
      <c r="M109" s="8">
        <f>IFERROR(__xludf.DUMMYFUNCTION("SPLIT(L109,""/"")"),43621.0)</f>
        <v>43621</v>
      </c>
      <c r="N109" s="8">
        <f>IFERROR(__xludf.DUMMYFUNCTION("""COMPUTED_VALUE"""),43804.0)</f>
        <v>43804</v>
      </c>
      <c r="O109" s="7" t="s">
        <v>18</v>
      </c>
      <c r="P109" s="7" t="s">
        <v>19</v>
      </c>
      <c r="Q109" s="7">
        <v>1.0</v>
      </c>
    </row>
    <row r="110">
      <c r="A110" s="7" t="s">
        <v>607</v>
      </c>
      <c r="B110" s="7">
        <v>225000.0</v>
      </c>
      <c r="C110" s="8">
        <v>43502.0</v>
      </c>
      <c r="D110" s="7" t="s">
        <v>371</v>
      </c>
      <c r="E110" s="7">
        <v>2.4330031600011E13</v>
      </c>
      <c r="F110" s="8">
        <v>43444.0</v>
      </c>
      <c r="G110" s="7" t="s">
        <v>608</v>
      </c>
      <c r="H110" s="7">
        <v>8.1195928700012E13</v>
      </c>
      <c r="I110" s="7" t="s">
        <v>609</v>
      </c>
      <c r="J110" s="7" t="s">
        <v>16</v>
      </c>
      <c r="K110" s="7" t="s">
        <v>13</v>
      </c>
      <c r="L110" s="7" t="s">
        <v>610</v>
      </c>
      <c r="M110" s="8">
        <f>IFERROR(__xludf.DUMMYFUNCTION("SPLIT(L110,""/"")"),43444.0)</f>
        <v>43444</v>
      </c>
      <c r="N110" s="8">
        <f>IFERROR(__xludf.DUMMYFUNCTION("""COMPUTED_VALUE"""),43626.0)</f>
        <v>43626</v>
      </c>
      <c r="O110" s="7" t="s">
        <v>18</v>
      </c>
      <c r="P110" s="7" t="s">
        <v>19</v>
      </c>
      <c r="Q110" s="7">
        <v>1.0</v>
      </c>
    </row>
    <row r="111">
      <c r="A111" s="7" t="s">
        <v>611</v>
      </c>
      <c r="B111" s="7">
        <v>3000000.0</v>
      </c>
      <c r="C111" s="8">
        <v>43557.0</v>
      </c>
      <c r="D111" s="7" t="s">
        <v>371</v>
      </c>
      <c r="E111" s="7">
        <v>2.4330031600011E13</v>
      </c>
      <c r="F111" s="8">
        <v>43532.0</v>
      </c>
      <c r="G111" s="7" t="s">
        <v>612</v>
      </c>
      <c r="H111" s="7">
        <v>7.8180455400017E13</v>
      </c>
      <c r="I111" s="7" t="s">
        <v>68</v>
      </c>
      <c r="J111" s="7" t="s">
        <v>16</v>
      </c>
      <c r="K111" s="7" t="s">
        <v>13</v>
      </c>
      <c r="L111" s="7" t="s">
        <v>401</v>
      </c>
      <c r="M111" s="8">
        <f>IFERROR(__xludf.DUMMYFUNCTION("SPLIT(L111,""/"")"),43532.0)</f>
        <v>43532</v>
      </c>
      <c r="N111" s="8">
        <f>IFERROR(__xludf.DUMMYFUNCTION("""COMPUTED_VALUE"""),43716.0)</f>
        <v>43716</v>
      </c>
      <c r="O111" s="7" t="s">
        <v>18</v>
      </c>
      <c r="P111" s="7" t="s">
        <v>19</v>
      </c>
      <c r="Q111" s="7">
        <v>1.0</v>
      </c>
    </row>
    <row r="112">
      <c r="A112" s="7" t="s">
        <v>611</v>
      </c>
      <c r="B112" s="7">
        <v>141000.0</v>
      </c>
      <c r="C112" s="8">
        <v>43724.0</v>
      </c>
      <c r="D112" s="7" t="s">
        <v>371</v>
      </c>
      <c r="E112" s="7">
        <v>2.4330031600011E13</v>
      </c>
      <c r="F112" s="8">
        <v>43651.0</v>
      </c>
      <c r="G112" s="7" t="s">
        <v>613</v>
      </c>
      <c r="H112" s="7">
        <v>7.8180455400017E13</v>
      </c>
      <c r="I112" s="7" t="s">
        <v>614</v>
      </c>
      <c r="J112" s="7" t="s">
        <v>16</v>
      </c>
      <c r="K112" s="7" t="s">
        <v>13</v>
      </c>
      <c r="L112" s="7" t="s">
        <v>374</v>
      </c>
      <c r="M112" s="8">
        <f>IFERROR(__xludf.DUMMYFUNCTION("SPLIT(L112,""/"")"),43651.0)</f>
        <v>43651</v>
      </c>
      <c r="N112" s="8">
        <f>IFERROR(__xludf.DUMMYFUNCTION("""COMPUTED_VALUE"""),43835.0)</f>
        <v>43835</v>
      </c>
      <c r="O112" s="7" t="s">
        <v>18</v>
      </c>
      <c r="P112" s="7" t="s">
        <v>19</v>
      </c>
      <c r="Q112" s="7">
        <v>1.0</v>
      </c>
    </row>
    <row r="113">
      <c r="A113" s="7" t="s">
        <v>615</v>
      </c>
      <c r="B113" s="7">
        <v>5800.0</v>
      </c>
      <c r="C113" s="8">
        <v>43724.0</v>
      </c>
      <c r="D113" s="7" t="s">
        <v>371</v>
      </c>
      <c r="E113" s="7">
        <v>2.4330031600011E13</v>
      </c>
      <c r="F113" s="8">
        <v>43684.0</v>
      </c>
      <c r="G113" s="7" t="s">
        <v>388</v>
      </c>
      <c r="H113" s="7">
        <v>7.9981016300011E13</v>
      </c>
      <c r="I113" s="7" t="s">
        <v>68</v>
      </c>
      <c r="J113" s="7" t="s">
        <v>16</v>
      </c>
      <c r="K113" s="7" t="s">
        <v>13</v>
      </c>
      <c r="L113" s="7" t="s">
        <v>616</v>
      </c>
      <c r="M113" s="8">
        <f>IFERROR(__xludf.DUMMYFUNCTION("SPLIT(L113,""/"")"),43684.0)</f>
        <v>43684</v>
      </c>
      <c r="N113" s="8">
        <f>IFERROR(__xludf.DUMMYFUNCTION("""COMPUTED_VALUE"""),43868.0)</f>
        <v>43868</v>
      </c>
      <c r="O113" s="7" t="s">
        <v>18</v>
      </c>
      <c r="P113" s="7" t="s">
        <v>19</v>
      </c>
      <c r="Q113" s="7">
        <v>1.0</v>
      </c>
    </row>
    <row r="114">
      <c r="A114" s="7" t="s">
        <v>617</v>
      </c>
      <c r="B114" s="7">
        <v>15000.0</v>
      </c>
      <c r="C114" s="8">
        <v>43557.0</v>
      </c>
      <c r="D114" s="7" t="s">
        <v>371</v>
      </c>
      <c r="E114" s="7">
        <v>2.4330031600011E13</v>
      </c>
      <c r="F114" s="8">
        <v>43500.0</v>
      </c>
      <c r="G114" s="7" t="s">
        <v>437</v>
      </c>
      <c r="H114" s="7">
        <v>3.5011886500017E13</v>
      </c>
      <c r="I114" s="7" t="s">
        <v>618</v>
      </c>
      <c r="J114" s="7" t="s">
        <v>16</v>
      </c>
      <c r="K114" s="7" t="s">
        <v>13</v>
      </c>
      <c r="L114" s="7" t="s">
        <v>619</v>
      </c>
      <c r="M114" s="8">
        <f>IFERROR(__xludf.DUMMYFUNCTION("SPLIT(L114,""/"")"),43500.0)</f>
        <v>43500</v>
      </c>
      <c r="N114" s="8">
        <f>IFERROR(__xludf.DUMMYFUNCTION("""COMPUTED_VALUE"""),43681.0)</f>
        <v>43681</v>
      </c>
      <c r="O114" s="7" t="s">
        <v>18</v>
      </c>
      <c r="P114" s="7" t="s">
        <v>19</v>
      </c>
      <c r="Q114" s="7">
        <v>1.0</v>
      </c>
    </row>
    <row r="115">
      <c r="A115" s="7" t="s">
        <v>243</v>
      </c>
      <c r="B115" s="7">
        <v>15200.0</v>
      </c>
      <c r="C115" s="8">
        <v>43636.0</v>
      </c>
      <c r="D115" s="7" t="s">
        <v>371</v>
      </c>
      <c r="E115" s="7">
        <v>2.4330031600011E13</v>
      </c>
      <c r="F115" s="8">
        <v>43633.0</v>
      </c>
      <c r="G115" s="7" t="s">
        <v>620</v>
      </c>
      <c r="H115" s="7">
        <v>4.8438218900021E13</v>
      </c>
      <c r="I115" s="7" t="s">
        <v>621</v>
      </c>
      <c r="J115" s="7" t="s">
        <v>16</v>
      </c>
      <c r="K115" s="7" t="s">
        <v>13</v>
      </c>
      <c r="L115" s="7" t="s">
        <v>622</v>
      </c>
      <c r="M115" s="8">
        <f>IFERROR(__xludf.DUMMYFUNCTION("SPLIT(L115,""/"")"),43633.0)</f>
        <v>43633</v>
      </c>
      <c r="N115" s="8">
        <f>IFERROR(__xludf.DUMMYFUNCTION("""COMPUTED_VALUE"""),43816.0)</f>
        <v>43816</v>
      </c>
      <c r="O115" s="7" t="s">
        <v>18</v>
      </c>
      <c r="P115" s="7" t="s">
        <v>19</v>
      </c>
      <c r="Q115" s="7">
        <v>1.0</v>
      </c>
    </row>
    <row r="116">
      <c r="A116" s="7" t="s">
        <v>623</v>
      </c>
      <c r="B116" s="7">
        <v>114000.0</v>
      </c>
      <c r="C116" s="8">
        <v>43557.0</v>
      </c>
      <c r="D116" s="7" t="s">
        <v>371</v>
      </c>
      <c r="E116" s="7">
        <v>2.4330031600011E13</v>
      </c>
      <c r="F116" s="8">
        <v>43516.0</v>
      </c>
      <c r="G116" s="7" t="s">
        <v>437</v>
      </c>
      <c r="H116" s="7">
        <v>4.443375880004E13</v>
      </c>
      <c r="I116" s="7" t="s">
        <v>68</v>
      </c>
      <c r="J116" s="7" t="s">
        <v>16</v>
      </c>
      <c r="K116" s="7" t="s">
        <v>13</v>
      </c>
      <c r="L116" s="7" t="s">
        <v>507</v>
      </c>
      <c r="M116" s="8">
        <f>IFERROR(__xludf.DUMMYFUNCTION("SPLIT(L116,""/"")"),43516.0)</f>
        <v>43516</v>
      </c>
      <c r="N116" s="8">
        <f>IFERROR(__xludf.DUMMYFUNCTION("""COMPUTED_VALUE"""),43697.0)</f>
        <v>43697</v>
      </c>
      <c r="O116" s="7" t="s">
        <v>18</v>
      </c>
      <c r="P116" s="7" t="s">
        <v>19</v>
      </c>
      <c r="Q116" s="7">
        <v>1.0</v>
      </c>
    </row>
    <row r="117">
      <c r="A117" s="7" t="s">
        <v>624</v>
      </c>
      <c r="B117" s="7">
        <v>25000.0</v>
      </c>
      <c r="C117" s="8">
        <v>43784.0</v>
      </c>
      <c r="D117" s="7" t="s">
        <v>371</v>
      </c>
      <c r="E117" s="7">
        <v>2.4330031600011E13</v>
      </c>
      <c r="F117" s="8">
        <v>43762.0</v>
      </c>
      <c r="G117" s="7" t="s">
        <v>452</v>
      </c>
      <c r="H117" s="7">
        <v>3.7954994200025E13</v>
      </c>
      <c r="I117" s="7" t="s">
        <v>68</v>
      </c>
      <c r="J117" s="7" t="s">
        <v>16</v>
      </c>
      <c r="K117" s="7" t="s">
        <v>13</v>
      </c>
      <c r="L117" s="7" t="s">
        <v>625</v>
      </c>
      <c r="M117" s="8">
        <f>IFERROR(__xludf.DUMMYFUNCTION("SPLIT(L117,""/"")"),43762.0)</f>
        <v>43762</v>
      </c>
      <c r="N117" s="8">
        <f>IFERROR(__xludf.DUMMYFUNCTION("""COMPUTED_VALUE"""),43945.0)</f>
        <v>43945</v>
      </c>
      <c r="O117" s="7" t="s">
        <v>18</v>
      </c>
      <c r="P117" s="7" t="s">
        <v>19</v>
      </c>
      <c r="Q117" s="7">
        <v>1.0</v>
      </c>
    </row>
    <row r="118">
      <c r="A118" s="7" t="s">
        <v>626</v>
      </c>
      <c r="B118" s="7">
        <v>5000.0</v>
      </c>
      <c r="C118" s="8">
        <v>43636.0</v>
      </c>
      <c r="D118" s="7" t="s">
        <v>371</v>
      </c>
      <c r="E118" s="7">
        <v>2.4330031600011E13</v>
      </c>
      <c r="F118" s="8">
        <v>43579.0</v>
      </c>
      <c r="G118" s="7" t="s">
        <v>627</v>
      </c>
      <c r="H118" s="7">
        <v>4.8428659600032E13</v>
      </c>
      <c r="I118" s="7" t="s">
        <v>628</v>
      </c>
      <c r="J118" s="7" t="s">
        <v>16</v>
      </c>
      <c r="K118" s="7" t="s">
        <v>13</v>
      </c>
      <c r="L118" s="7" t="s">
        <v>629</v>
      </c>
      <c r="M118" s="8">
        <f>IFERROR(__xludf.DUMMYFUNCTION("SPLIT(L118,""/"")"),43579.0)</f>
        <v>43579</v>
      </c>
      <c r="N118" s="8">
        <f>IFERROR(__xludf.DUMMYFUNCTION("""COMPUTED_VALUE"""),43762.0)</f>
        <v>43762</v>
      </c>
      <c r="O118" s="7" t="s">
        <v>18</v>
      </c>
      <c r="P118" s="7" t="s">
        <v>19</v>
      </c>
      <c r="Q118" s="7">
        <v>1.0</v>
      </c>
    </row>
    <row r="119">
      <c r="A119" s="7" t="s">
        <v>198</v>
      </c>
      <c r="B119" s="7">
        <v>26000.0</v>
      </c>
      <c r="C119" s="8">
        <v>43724.0</v>
      </c>
      <c r="D119" s="7" t="s">
        <v>371</v>
      </c>
      <c r="E119" s="7">
        <v>2.4330031600011E13</v>
      </c>
      <c r="F119" s="8">
        <v>43703.0</v>
      </c>
      <c r="G119" s="7" t="s">
        <v>391</v>
      </c>
      <c r="H119" s="7">
        <v>5.3389682500023E13</v>
      </c>
      <c r="I119" s="7" t="s">
        <v>630</v>
      </c>
      <c r="J119" s="7" t="s">
        <v>16</v>
      </c>
      <c r="K119" s="7" t="s">
        <v>13</v>
      </c>
      <c r="L119" s="7" t="s">
        <v>393</v>
      </c>
      <c r="M119" s="8">
        <f>IFERROR(__xludf.DUMMYFUNCTION("SPLIT(L119,""/"")"),43703.0)</f>
        <v>43703</v>
      </c>
      <c r="N119" s="8">
        <f>IFERROR(__xludf.DUMMYFUNCTION("""COMPUTED_VALUE"""),43887.0)</f>
        <v>43887</v>
      </c>
      <c r="O119" s="7" t="s">
        <v>18</v>
      </c>
      <c r="P119" s="7" t="s">
        <v>19</v>
      </c>
      <c r="Q119" s="7">
        <v>1.0</v>
      </c>
    </row>
    <row r="120">
      <c r="A120" s="7" t="s">
        <v>631</v>
      </c>
      <c r="B120" s="7">
        <v>400000.0</v>
      </c>
      <c r="C120" s="8">
        <v>43502.0</v>
      </c>
      <c r="D120" s="7" t="s">
        <v>371</v>
      </c>
      <c r="E120" s="7">
        <v>2.4330031600011E13</v>
      </c>
      <c r="F120" s="8">
        <v>43367.0</v>
      </c>
      <c r="G120" s="7" t="s">
        <v>632</v>
      </c>
      <c r="H120" s="7">
        <v>3.2852574600017E13</v>
      </c>
      <c r="I120" s="7" t="s">
        <v>633</v>
      </c>
      <c r="J120" s="7" t="s">
        <v>16</v>
      </c>
      <c r="K120" s="7" t="s">
        <v>13</v>
      </c>
      <c r="L120" s="7" t="s">
        <v>634</v>
      </c>
      <c r="M120" s="8">
        <f>IFERROR(__xludf.DUMMYFUNCTION("SPLIT(L120,""/"")"),43367.0)</f>
        <v>43367</v>
      </c>
      <c r="N120" s="8">
        <f>IFERROR(__xludf.DUMMYFUNCTION("""COMPUTED_VALUE"""),43548.0)</f>
        <v>43548</v>
      </c>
      <c r="O120" s="7" t="s">
        <v>18</v>
      </c>
      <c r="P120" s="7" t="s">
        <v>19</v>
      </c>
      <c r="Q120" s="7">
        <v>1.0</v>
      </c>
    </row>
    <row r="121">
      <c r="A121" s="7" t="s">
        <v>635</v>
      </c>
      <c r="B121" s="7">
        <v>216000.0</v>
      </c>
      <c r="C121" s="8">
        <v>43502.0</v>
      </c>
      <c r="D121" s="7" t="s">
        <v>371</v>
      </c>
      <c r="E121" s="7">
        <v>2.4330031600011E13</v>
      </c>
      <c r="F121" s="8">
        <v>43454.0</v>
      </c>
      <c r="G121" s="7" t="s">
        <v>636</v>
      </c>
      <c r="H121" s="7">
        <v>7.8184854400032E13</v>
      </c>
      <c r="I121" s="7" t="s">
        <v>68</v>
      </c>
      <c r="J121" s="7" t="s">
        <v>16</v>
      </c>
      <c r="K121" s="7" t="s">
        <v>13</v>
      </c>
      <c r="L121" s="7" t="s">
        <v>637</v>
      </c>
      <c r="M121" s="8">
        <f>IFERROR(__xludf.DUMMYFUNCTION("SPLIT(L121,""/"")"),43454.0)</f>
        <v>43454</v>
      </c>
      <c r="N121" s="8">
        <f>IFERROR(__xludf.DUMMYFUNCTION("""COMPUTED_VALUE"""),43636.0)</f>
        <v>43636</v>
      </c>
      <c r="O121" s="7" t="s">
        <v>18</v>
      </c>
      <c r="P121" s="7" t="s">
        <v>19</v>
      </c>
      <c r="Q121" s="7">
        <v>1.0</v>
      </c>
    </row>
    <row r="122">
      <c r="A122" s="7" t="s">
        <v>638</v>
      </c>
      <c r="B122" s="7">
        <v>10000.0</v>
      </c>
      <c r="C122" s="8">
        <v>43502.0</v>
      </c>
      <c r="D122" s="7" t="s">
        <v>371</v>
      </c>
      <c r="E122" s="7">
        <v>2.4330031600011E13</v>
      </c>
      <c r="F122" s="8">
        <v>43363.0</v>
      </c>
      <c r="G122" s="7" t="s">
        <v>639</v>
      </c>
      <c r="H122" s="7">
        <v>4.8782378300013E13</v>
      </c>
      <c r="I122" s="7" t="s">
        <v>543</v>
      </c>
      <c r="J122" s="7" t="s">
        <v>16</v>
      </c>
      <c r="K122" s="7" t="s">
        <v>380</v>
      </c>
      <c r="L122" s="7" t="s">
        <v>640</v>
      </c>
      <c r="M122" s="8">
        <f>IFERROR(__xludf.DUMMYFUNCTION("SPLIT(L122,""/"")"),43363.0)</f>
        <v>43363</v>
      </c>
      <c r="N122" s="8">
        <f>IFERROR(__xludf.DUMMYFUNCTION("""COMPUTED_VALUE"""),43544.0)</f>
        <v>43544</v>
      </c>
      <c r="O122" s="7" t="s">
        <v>18</v>
      </c>
      <c r="P122" s="7" t="s">
        <v>19</v>
      </c>
      <c r="Q122" s="7">
        <v>1.0</v>
      </c>
    </row>
    <row r="123">
      <c r="A123" s="7" t="s">
        <v>641</v>
      </c>
      <c r="B123" s="7">
        <v>165000.0</v>
      </c>
      <c r="C123" s="8">
        <v>43557.0</v>
      </c>
      <c r="D123" s="7" t="s">
        <v>371</v>
      </c>
      <c r="E123" s="7">
        <v>2.4330031600011E13</v>
      </c>
      <c r="F123" s="8">
        <v>43510.0</v>
      </c>
      <c r="G123" s="7" t="s">
        <v>642</v>
      </c>
      <c r="H123" s="7">
        <v>4.1892140900011E13</v>
      </c>
      <c r="I123" s="7" t="s">
        <v>68</v>
      </c>
      <c r="J123" s="7" t="s">
        <v>16</v>
      </c>
      <c r="K123" s="7" t="s">
        <v>13</v>
      </c>
      <c r="L123" s="7" t="s">
        <v>471</v>
      </c>
      <c r="M123" s="8">
        <f>IFERROR(__xludf.DUMMYFUNCTION("SPLIT(L123,""/"")"),43510.0)</f>
        <v>43510</v>
      </c>
      <c r="N123" s="8">
        <f>IFERROR(__xludf.DUMMYFUNCTION("""COMPUTED_VALUE"""),43691.0)</f>
        <v>43691</v>
      </c>
      <c r="O123" s="7" t="s">
        <v>18</v>
      </c>
      <c r="P123" s="7" t="s">
        <v>19</v>
      </c>
      <c r="Q123" s="7">
        <v>1.0</v>
      </c>
    </row>
    <row r="124">
      <c r="A124" s="7" t="s">
        <v>643</v>
      </c>
      <c r="B124" s="7">
        <v>49000.0</v>
      </c>
      <c r="C124" s="8">
        <v>43636.0</v>
      </c>
      <c r="D124" s="7" t="s">
        <v>371</v>
      </c>
      <c r="E124" s="7">
        <v>2.4330031600011E13</v>
      </c>
      <c r="F124" s="8">
        <v>43488.0</v>
      </c>
      <c r="G124" s="7" t="s">
        <v>644</v>
      </c>
      <c r="H124" s="7">
        <v>3.9819156900142E13</v>
      </c>
      <c r="I124" s="7" t="s">
        <v>645</v>
      </c>
      <c r="J124" s="7" t="s">
        <v>16</v>
      </c>
      <c r="K124" s="7" t="s">
        <v>13</v>
      </c>
      <c r="L124" s="7" t="s">
        <v>646</v>
      </c>
      <c r="M124" s="8">
        <f>IFERROR(__xludf.DUMMYFUNCTION("SPLIT(L124,""/"")"),43488.0)</f>
        <v>43488</v>
      </c>
      <c r="N124" s="8">
        <f>IFERROR(__xludf.DUMMYFUNCTION("""COMPUTED_VALUE"""),43669.0)</f>
        <v>43669</v>
      </c>
      <c r="O124" s="7" t="s">
        <v>18</v>
      </c>
      <c r="P124" s="7" t="s">
        <v>19</v>
      </c>
      <c r="Q124" s="7">
        <v>1.0</v>
      </c>
    </row>
    <row r="125">
      <c r="A125" s="7" t="s">
        <v>643</v>
      </c>
      <c r="B125" s="7">
        <v>1000.0</v>
      </c>
      <c r="C125" s="8">
        <v>43636.0</v>
      </c>
      <c r="D125" s="7" t="s">
        <v>371</v>
      </c>
      <c r="E125" s="7">
        <v>2.4330031600011E13</v>
      </c>
      <c r="F125" s="8">
        <v>43620.0</v>
      </c>
      <c r="G125" s="7" t="s">
        <v>515</v>
      </c>
      <c r="H125" s="7">
        <v>3.9819156900142E13</v>
      </c>
      <c r="I125" s="7" t="s">
        <v>546</v>
      </c>
      <c r="J125" s="7" t="s">
        <v>16</v>
      </c>
      <c r="K125" s="7" t="s">
        <v>13</v>
      </c>
      <c r="L125" s="7" t="s">
        <v>513</v>
      </c>
      <c r="M125" s="8">
        <f>IFERROR(__xludf.DUMMYFUNCTION("SPLIT(L125,""/"")"),43620.0)</f>
        <v>43620</v>
      </c>
      <c r="N125" s="8">
        <f>IFERROR(__xludf.DUMMYFUNCTION("""COMPUTED_VALUE"""),43803.0)</f>
        <v>43803</v>
      </c>
      <c r="O125" s="7" t="s">
        <v>18</v>
      </c>
      <c r="P125" s="7" t="s">
        <v>19</v>
      </c>
      <c r="Q125" s="7">
        <v>1.0</v>
      </c>
    </row>
    <row r="126">
      <c r="A126" s="7" t="s">
        <v>643</v>
      </c>
      <c r="B126" s="7">
        <v>8000.0</v>
      </c>
      <c r="C126" s="8">
        <v>43724.0</v>
      </c>
      <c r="D126" s="7" t="s">
        <v>371</v>
      </c>
      <c r="E126" s="7">
        <v>2.4330031600011E13</v>
      </c>
      <c r="F126" s="8">
        <v>43679.0</v>
      </c>
      <c r="G126" s="7" t="s">
        <v>382</v>
      </c>
      <c r="H126" s="7">
        <v>3.9819156900142E13</v>
      </c>
      <c r="I126" s="7" t="s">
        <v>68</v>
      </c>
      <c r="J126" s="7" t="s">
        <v>16</v>
      </c>
      <c r="K126" s="7" t="s">
        <v>380</v>
      </c>
      <c r="L126" s="7" t="s">
        <v>647</v>
      </c>
      <c r="M126" s="8">
        <f>IFERROR(__xludf.DUMMYFUNCTION("SPLIT(L126,""/"")"),43679.0)</f>
        <v>43679</v>
      </c>
      <c r="N126" s="8">
        <f>IFERROR(__xludf.DUMMYFUNCTION("""COMPUTED_VALUE"""),43863.0)</f>
        <v>43863</v>
      </c>
      <c r="O126" s="7" t="s">
        <v>18</v>
      </c>
      <c r="P126" s="7" t="s">
        <v>19</v>
      </c>
      <c r="Q126" s="7">
        <v>1.0</v>
      </c>
    </row>
    <row r="127">
      <c r="A127" s="7" t="s">
        <v>648</v>
      </c>
      <c r="B127" s="7">
        <v>69000.0</v>
      </c>
      <c r="C127" s="8">
        <v>43784.0</v>
      </c>
      <c r="D127" s="7" t="s">
        <v>371</v>
      </c>
      <c r="E127" s="7">
        <v>2.4330031600011E13</v>
      </c>
      <c r="F127" s="8">
        <v>43755.0</v>
      </c>
      <c r="G127" s="7" t="s">
        <v>649</v>
      </c>
      <c r="H127" s="7">
        <v>8.2791162900018E13</v>
      </c>
      <c r="I127" s="7" t="s">
        <v>68</v>
      </c>
      <c r="J127" s="7" t="s">
        <v>16</v>
      </c>
      <c r="K127" s="7" t="s">
        <v>13</v>
      </c>
      <c r="L127" s="7" t="s">
        <v>650</v>
      </c>
      <c r="M127" s="8">
        <f>IFERROR(__xludf.DUMMYFUNCTION("SPLIT(L127,""/"")"),43755.0)</f>
        <v>43755</v>
      </c>
      <c r="N127" s="8">
        <f>IFERROR(__xludf.DUMMYFUNCTION("""COMPUTED_VALUE"""),43938.0)</f>
        <v>43938</v>
      </c>
      <c r="O127" s="7" t="s">
        <v>18</v>
      </c>
      <c r="P127" s="7" t="s">
        <v>19</v>
      </c>
      <c r="Q127" s="7">
        <v>1.0</v>
      </c>
    </row>
    <row r="128">
      <c r="A128" s="7" t="s">
        <v>123</v>
      </c>
      <c r="B128" s="7">
        <v>5000.0</v>
      </c>
      <c r="C128" s="8">
        <v>43636.0</v>
      </c>
      <c r="D128" s="7" t="s">
        <v>371</v>
      </c>
      <c r="E128" s="7">
        <v>2.4330031600011E13</v>
      </c>
      <c r="F128" s="8">
        <v>43600.0</v>
      </c>
      <c r="G128" s="7" t="s">
        <v>651</v>
      </c>
      <c r="H128" s="7">
        <v>4.3288382500031E13</v>
      </c>
      <c r="I128" s="7" t="s">
        <v>652</v>
      </c>
      <c r="J128" s="7" t="s">
        <v>16</v>
      </c>
      <c r="K128" s="7" t="s">
        <v>380</v>
      </c>
      <c r="L128" s="7" t="s">
        <v>461</v>
      </c>
      <c r="M128" s="8">
        <f>IFERROR(__xludf.DUMMYFUNCTION("SPLIT(L128,""/"")"),43600.0)</f>
        <v>43600</v>
      </c>
      <c r="N128" s="8">
        <f>IFERROR(__xludf.DUMMYFUNCTION("""COMPUTED_VALUE"""),43784.0)</f>
        <v>43784</v>
      </c>
      <c r="O128" s="7" t="s">
        <v>18</v>
      </c>
      <c r="P128" s="7" t="s">
        <v>19</v>
      </c>
      <c r="Q128" s="7">
        <v>1.0</v>
      </c>
    </row>
    <row r="129">
      <c r="A129" s="7" t="s">
        <v>653</v>
      </c>
      <c r="B129" s="7">
        <v>25000.0</v>
      </c>
      <c r="C129" s="8">
        <v>43724.0</v>
      </c>
      <c r="D129" s="7" t="s">
        <v>371</v>
      </c>
      <c r="E129" s="7">
        <v>2.4330031600011E13</v>
      </c>
      <c r="F129" s="8">
        <v>43655.0</v>
      </c>
      <c r="G129" s="7" t="s">
        <v>654</v>
      </c>
      <c r="H129" s="7">
        <v>7.818761150001E13</v>
      </c>
      <c r="I129" s="7" t="s">
        <v>68</v>
      </c>
      <c r="J129" s="7" t="s">
        <v>16</v>
      </c>
      <c r="K129" s="7" t="s">
        <v>13</v>
      </c>
      <c r="L129" s="7" t="s">
        <v>503</v>
      </c>
      <c r="M129" s="8">
        <f>IFERROR(__xludf.DUMMYFUNCTION("SPLIT(L129,""/"")"),43655.0)</f>
        <v>43655</v>
      </c>
      <c r="N129" s="8">
        <f>IFERROR(__xludf.DUMMYFUNCTION("""COMPUTED_VALUE"""),43839.0)</f>
        <v>43839</v>
      </c>
      <c r="O129" s="7" t="s">
        <v>18</v>
      </c>
      <c r="P129" s="7" t="s">
        <v>19</v>
      </c>
      <c r="Q129" s="7">
        <v>1.0</v>
      </c>
    </row>
    <row r="130">
      <c r="A130" s="7" t="s">
        <v>655</v>
      </c>
      <c r="B130" s="7">
        <v>55000.0</v>
      </c>
      <c r="C130" s="8">
        <v>43502.0</v>
      </c>
      <c r="D130" s="7" t="s">
        <v>371</v>
      </c>
      <c r="E130" s="7">
        <v>2.4330031600011E13</v>
      </c>
      <c r="F130" s="8">
        <v>43489.0</v>
      </c>
      <c r="G130" s="7" t="s">
        <v>627</v>
      </c>
      <c r="H130" s="7">
        <v>4.2213614300068E13</v>
      </c>
      <c r="I130" s="7" t="s">
        <v>656</v>
      </c>
      <c r="J130" s="7" t="s">
        <v>16</v>
      </c>
      <c r="K130" s="7" t="s">
        <v>13</v>
      </c>
      <c r="L130" s="7" t="s">
        <v>657</v>
      </c>
      <c r="M130" s="8">
        <f>IFERROR(__xludf.DUMMYFUNCTION("SPLIT(L130,""/"")"),43489.0)</f>
        <v>43489</v>
      </c>
      <c r="N130" s="8">
        <f>IFERROR(__xludf.DUMMYFUNCTION("""COMPUTED_VALUE"""),43670.0)</f>
        <v>43670</v>
      </c>
      <c r="O130" s="7" t="s">
        <v>18</v>
      </c>
      <c r="P130" s="7" t="s">
        <v>19</v>
      </c>
      <c r="Q130" s="7">
        <v>1.0</v>
      </c>
    </row>
    <row r="131">
      <c r="A131" s="7" t="s">
        <v>658</v>
      </c>
      <c r="B131" s="7">
        <v>10000.0</v>
      </c>
      <c r="C131" s="8">
        <v>43636.0</v>
      </c>
      <c r="D131" s="7" t="s">
        <v>371</v>
      </c>
      <c r="E131" s="7">
        <v>2.4330031600011E13</v>
      </c>
      <c r="F131" s="8">
        <v>43606.0</v>
      </c>
      <c r="G131" s="7" t="s">
        <v>388</v>
      </c>
      <c r="H131" s="7">
        <v>7.8942066800012E13</v>
      </c>
      <c r="I131" s="7" t="s">
        <v>389</v>
      </c>
      <c r="J131" s="7" t="s">
        <v>16</v>
      </c>
      <c r="K131" s="7" t="s">
        <v>13</v>
      </c>
      <c r="L131" s="7" t="s">
        <v>501</v>
      </c>
      <c r="M131" s="8">
        <f>IFERROR(__xludf.DUMMYFUNCTION("SPLIT(L131,""/"")"),43606.0)</f>
        <v>43606</v>
      </c>
      <c r="N131" s="8">
        <f>IFERROR(__xludf.DUMMYFUNCTION("""COMPUTED_VALUE"""),43790.0)</f>
        <v>43790</v>
      </c>
      <c r="O131" s="7" t="s">
        <v>18</v>
      </c>
      <c r="P131" s="7" t="s">
        <v>19</v>
      </c>
      <c r="Q131" s="7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9.25"/>
    <col customWidth="1" min="2" max="2" width="18.38"/>
    <col customWidth="1" min="3" max="3" width="14.5"/>
  </cols>
  <sheetData>
    <row r="1" ht="27.0" customHeight="1">
      <c r="A1" s="11" t="s">
        <v>659</v>
      </c>
      <c r="B1" s="11" t="s">
        <v>660</v>
      </c>
      <c r="C1" s="11" t="s">
        <v>661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201</v>
      </c>
      <c r="B2" s="13">
        <v>25000.0</v>
      </c>
      <c r="C2" s="13">
        <v>12500.0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13" t="s">
        <v>355</v>
      </c>
      <c r="B3" s="13">
        <v>2100.0</v>
      </c>
      <c r="C3" s="13">
        <v>0.0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>
      <c r="A4" s="13" t="s">
        <v>89</v>
      </c>
      <c r="B4" s="13">
        <v>87400.0</v>
      </c>
      <c r="C4" s="13">
        <v>0.0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>
      <c r="A5" s="13" t="s">
        <v>109</v>
      </c>
      <c r="B5" s="13">
        <v>58000.0</v>
      </c>
      <c r="C5" s="13">
        <v>58000.0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>
      <c r="A6" s="13" t="s">
        <v>222</v>
      </c>
      <c r="B6" s="13">
        <v>24000.0</v>
      </c>
      <c r="C6" s="13">
        <v>0.0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>
      <c r="A7" s="13" t="s">
        <v>149</v>
      </c>
      <c r="B7" s="13">
        <v>45000.0</v>
      </c>
      <c r="C7" s="13">
        <v>15000.0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>
      <c r="A8" s="13" t="s">
        <v>328</v>
      </c>
      <c r="B8" s="13">
        <v>7190.0</v>
      </c>
      <c r="C8" s="13">
        <v>0.0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>
      <c r="A9" s="13" t="s">
        <v>77</v>
      </c>
      <c r="B9" s="13">
        <v>97740.0</v>
      </c>
      <c r="C9" s="13">
        <v>0.0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>
      <c r="A10" s="13" t="s">
        <v>384</v>
      </c>
      <c r="B10" s="13">
        <v>0.0</v>
      </c>
      <c r="C10" s="13">
        <v>97740.0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>
      <c r="A11" s="13" t="s">
        <v>387</v>
      </c>
      <c r="B11" s="13">
        <v>0.0</v>
      </c>
      <c r="C11" s="13">
        <v>20000.0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>
      <c r="A12" s="13" t="s">
        <v>163</v>
      </c>
      <c r="B12" s="13">
        <v>40000.0</v>
      </c>
      <c r="C12" s="13">
        <v>0.0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>
      <c r="A13" s="13" t="s">
        <v>205</v>
      </c>
      <c r="B13" s="13">
        <v>25000.0</v>
      </c>
      <c r="C13" s="13">
        <v>14500.0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>
      <c r="A14" s="13" t="s">
        <v>86</v>
      </c>
      <c r="B14" s="13">
        <v>90000.0</v>
      </c>
      <c r="C14" s="13">
        <v>90000.0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>
      <c r="A15" s="13" t="s">
        <v>101</v>
      </c>
      <c r="B15" s="13">
        <v>60000.0</v>
      </c>
      <c r="C15" s="13">
        <v>58000.0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>
      <c r="A16" s="13" t="s">
        <v>265</v>
      </c>
      <c r="B16" s="13">
        <v>14250.0</v>
      </c>
      <c r="C16" s="13">
        <v>0.0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>
      <c r="A17" s="13" t="s">
        <v>402</v>
      </c>
      <c r="B17" s="13">
        <v>0.0</v>
      </c>
      <c r="C17" s="13">
        <v>14250.0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>
      <c r="A18" s="13" t="s">
        <v>45</v>
      </c>
      <c r="B18" s="13">
        <v>180000.0</v>
      </c>
      <c r="C18" s="13">
        <v>0.0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>
      <c r="A19" s="13" t="s">
        <v>406</v>
      </c>
      <c r="B19" s="13">
        <v>0.0</v>
      </c>
      <c r="C19" s="13">
        <v>180000.0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>
      <c r="A20" s="13" t="s">
        <v>409</v>
      </c>
      <c r="B20" s="13">
        <v>0.0</v>
      </c>
      <c r="C20" s="13">
        <v>49000.0</v>
      </c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>
      <c r="A21" s="13" t="s">
        <v>413</v>
      </c>
      <c r="B21" s="13">
        <v>0.0</v>
      </c>
      <c r="C21" s="13">
        <v>82800.0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>
      <c r="A22" s="13" t="s">
        <v>62</v>
      </c>
      <c r="B22" s="13">
        <v>137000.0</v>
      </c>
      <c r="C22" s="13">
        <v>0.0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>
      <c r="A23" s="13" t="s">
        <v>113</v>
      </c>
      <c r="B23" s="13">
        <v>57000.0</v>
      </c>
      <c r="C23" s="13">
        <v>57000.0</v>
      </c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>
      <c r="A24" s="13" t="s">
        <v>332</v>
      </c>
      <c r="B24" s="13">
        <v>6500.0</v>
      </c>
      <c r="C24" s="13">
        <v>6500.0</v>
      </c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>
      <c r="A25" s="13" t="s">
        <v>422</v>
      </c>
      <c r="B25" s="13">
        <v>0.0</v>
      </c>
      <c r="C25" s="13">
        <v>20000.0</v>
      </c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>
      <c r="A26" s="13" t="s">
        <v>134</v>
      </c>
      <c r="B26" s="13">
        <v>33250.0</v>
      </c>
      <c r="C26" s="13">
        <v>0.0</v>
      </c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>
      <c r="A27" s="13" t="s">
        <v>426</v>
      </c>
      <c r="B27" s="13">
        <v>0.0</v>
      </c>
      <c r="C27" s="13">
        <v>26000.0</v>
      </c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>
      <c r="A28" s="13" t="s">
        <v>29</v>
      </c>
      <c r="B28" s="13">
        <v>407253.0</v>
      </c>
      <c r="C28" s="13">
        <v>407253.0</v>
      </c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>
      <c r="A29" s="13" t="s">
        <v>430</v>
      </c>
      <c r="B29" s="13">
        <v>0.0</v>
      </c>
      <c r="C29" s="13">
        <v>47500.0</v>
      </c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>
      <c r="A30" s="13" t="s">
        <v>142</v>
      </c>
      <c r="B30" s="13">
        <v>47500.0</v>
      </c>
      <c r="C30" s="13">
        <v>0.0</v>
      </c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>
      <c r="A31" s="13" t="s">
        <v>305</v>
      </c>
      <c r="B31" s="13">
        <v>9610.0</v>
      </c>
      <c r="C31" s="13">
        <v>0.0</v>
      </c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>
      <c r="A32" s="13" t="s">
        <v>320</v>
      </c>
      <c r="B32" s="13">
        <v>7900.0</v>
      </c>
      <c r="C32" s="13">
        <v>0.0</v>
      </c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>
      <c r="A33" s="13" t="s">
        <v>433</v>
      </c>
      <c r="B33" s="13">
        <v>0.0</v>
      </c>
      <c r="C33" s="13">
        <v>30000.0</v>
      </c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>
      <c r="A34" s="13" t="s">
        <v>53</v>
      </c>
      <c r="B34" s="13">
        <v>150000.0</v>
      </c>
      <c r="C34" s="13">
        <v>0.0</v>
      </c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>
      <c r="A35" s="13" t="s">
        <v>436</v>
      </c>
      <c r="B35" s="13">
        <v>0.0</v>
      </c>
      <c r="C35" s="13">
        <v>40000.0</v>
      </c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>
      <c r="A36" s="13" t="s">
        <v>440</v>
      </c>
      <c r="B36" s="13">
        <v>0.0</v>
      </c>
      <c r="C36" s="13">
        <v>25000.0</v>
      </c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>
      <c r="A37" s="13" t="s">
        <v>225</v>
      </c>
      <c r="B37" s="13">
        <v>23500.0</v>
      </c>
      <c r="C37" s="13">
        <v>0.0</v>
      </c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>
      <c r="A38" s="13" t="s">
        <v>444</v>
      </c>
      <c r="B38" s="13">
        <v>0.0</v>
      </c>
      <c r="C38" s="13">
        <v>150000.0</v>
      </c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>
      <c r="A39" s="13" t="s">
        <v>167</v>
      </c>
      <c r="B39" s="13">
        <v>40000.0</v>
      </c>
      <c r="C39" s="13">
        <v>0.0</v>
      </c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>
      <c r="A40" s="13" t="s">
        <v>154</v>
      </c>
      <c r="B40" s="13">
        <v>42750.0</v>
      </c>
      <c r="C40" s="13">
        <v>42750.0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>
      <c r="A41" s="13" t="s">
        <v>12</v>
      </c>
      <c r="B41" s="13">
        <v>4372007.0</v>
      </c>
      <c r="C41" s="13">
        <v>4372000.0</v>
      </c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>
      <c r="A42" s="13" t="s">
        <v>208</v>
      </c>
      <c r="B42" s="13">
        <v>25000.0</v>
      </c>
      <c r="C42" s="13">
        <v>0.0</v>
      </c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>
      <c r="A43" s="13" t="s">
        <v>451</v>
      </c>
      <c r="B43" s="13">
        <v>0.0</v>
      </c>
      <c r="C43" s="13">
        <v>25000.0</v>
      </c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>
      <c r="A44" s="13" t="s">
        <v>454</v>
      </c>
      <c r="B44" s="13">
        <v>0.0</v>
      </c>
      <c r="C44" s="13">
        <v>88000.0</v>
      </c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>
      <c r="A45" s="13" t="s">
        <v>457</v>
      </c>
      <c r="B45" s="13">
        <v>0.0</v>
      </c>
      <c r="C45" s="13">
        <v>8000.0</v>
      </c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>
      <c r="A46" s="13" t="s">
        <v>233</v>
      </c>
      <c r="B46" s="13">
        <v>19025.0</v>
      </c>
      <c r="C46" s="13">
        <v>0.0</v>
      </c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>
      <c r="A47" s="13" t="s">
        <v>41</v>
      </c>
      <c r="B47" s="13">
        <v>200000.0</v>
      </c>
      <c r="C47" s="13">
        <v>0.0</v>
      </c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>
      <c r="A48" s="13" t="s">
        <v>290</v>
      </c>
      <c r="B48" s="13">
        <v>10000.0</v>
      </c>
      <c r="C48" s="13">
        <v>10000.0</v>
      </c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>
      <c r="A49" s="13" t="s">
        <v>336</v>
      </c>
      <c r="B49" s="13">
        <v>5000.0</v>
      </c>
      <c r="C49" s="13">
        <v>8000.0</v>
      </c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>
      <c r="A50" s="13" t="s">
        <v>26</v>
      </c>
      <c r="B50" s="13">
        <v>420000.0</v>
      </c>
      <c r="C50" s="13">
        <v>440000.0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>
      <c r="A51" s="13" t="s">
        <v>59</v>
      </c>
      <c r="B51" s="13">
        <v>139000.0</v>
      </c>
      <c r="C51" s="13">
        <v>125000.0</v>
      </c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>
      <c r="A52" s="13" t="s">
        <v>348</v>
      </c>
      <c r="B52" s="13">
        <v>3500.0</v>
      </c>
      <c r="C52" s="13">
        <v>0.0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>
      <c r="A53" s="13" t="s">
        <v>65</v>
      </c>
      <c r="B53" s="13">
        <v>133663.21</v>
      </c>
      <c r="C53" s="13">
        <v>0.0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>
      <c r="A54" s="13" t="s">
        <v>35</v>
      </c>
      <c r="B54" s="13">
        <v>320000.0</v>
      </c>
      <c r="C54" s="13">
        <v>120000.0</v>
      </c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>
      <c r="A55" s="13" t="s">
        <v>474</v>
      </c>
      <c r="B55" s="13">
        <v>0.0</v>
      </c>
      <c r="C55" s="13">
        <v>18000.0</v>
      </c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>
      <c r="A56" s="13" t="s">
        <v>477</v>
      </c>
      <c r="B56" s="13">
        <v>0.0</v>
      </c>
      <c r="C56" s="13">
        <v>500000.0</v>
      </c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>
      <c r="A57" s="13" t="s">
        <v>310</v>
      </c>
      <c r="B57" s="13">
        <v>8500.0</v>
      </c>
      <c r="C57" s="13">
        <v>0.0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>
      <c r="A58" s="13" t="s">
        <v>325</v>
      </c>
      <c r="B58" s="13">
        <v>7500.0</v>
      </c>
      <c r="C58" s="13">
        <v>0.0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>
      <c r="A59" s="13" t="s">
        <v>176</v>
      </c>
      <c r="B59" s="13">
        <v>30000.0</v>
      </c>
      <c r="C59" s="13">
        <v>35000.0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>
      <c r="A60" s="13" t="s">
        <v>288</v>
      </c>
      <c r="B60" s="13">
        <v>10300.0</v>
      </c>
      <c r="C60" s="13">
        <v>8500.0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>
      <c r="A61" s="13" t="s">
        <v>248</v>
      </c>
      <c r="B61" s="13">
        <v>15000.0</v>
      </c>
      <c r="C61" s="13">
        <v>0.0</v>
      </c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>
      <c r="A62" s="13" t="s">
        <v>187</v>
      </c>
      <c r="B62" s="13">
        <v>32000.0</v>
      </c>
      <c r="C62" s="13">
        <v>0.0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>
      <c r="A63" s="13" t="s">
        <v>193</v>
      </c>
      <c r="B63" s="13">
        <v>29000.0</v>
      </c>
      <c r="C63" s="13">
        <v>33000.0</v>
      </c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>
      <c r="A64" s="13" t="s">
        <v>487</v>
      </c>
      <c r="B64" s="13">
        <v>0.0</v>
      </c>
      <c r="C64" s="13">
        <v>30000.0</v>
      </c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>
      <c r="A65" s="13" t="s">
        <v>491</v>
      </c>
      <c r="B65" s="13">
        <v>0.0</v>
      </c>
      <c r="C65" s="13">
        <v>25000.0</v>
      </c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>
      <c r="A66" s="13" t="s">
        <v>211</v>
      </c>
      <c r="B66" s="13">
        <v>25000.0</v>
      </c>
      <c r="C66" s="13">
        <v>0.0</v>
      </c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>
      <c r="A67" s="13" t="s">
        <v>268</v>
      </c>
      <c r="B67" s="13">
        <v>14250.0</v>
      </c>
      <c r="C67" s="13">
        <v>14250.0</v>
      </c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>
      <c r="A68" s="13" t="s">
        <v>495</v>
      </c>
      <c r="B68" s="13">
        <v>0.0</v>
      </c>
      <c r="C68" s="13">
        <v>29000.0</v>
      </c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>
      <c r="A69" s="13" t="s">
        <v>497</v>
      </c>
      <c r="B69" s="13">
        <v>0.0</v>
      </c>
      <c r="C69" s="13">
        <v>15000.0</v>
      </c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>
      <c r="A70" s="13" t="s">
        <v>500</v>
      </c>
      <c r="B70" s="13">
        <v>0.0</v>
      </c>
      <c r="C70" s="13">
        <v>23500.0</v>
      </c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>
      <c r="A71" s="13" t="s">
        <v>83</v>
      </c>
      <c r="B71" s="13">
        <v>95932.0</v>
      </c>
      <c r="C71" s="13">
        <v>0.0</v>
      </c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>
      <c r="A72" s="13" t="s">
        <v>126</v>
      </c>
      <c r="B72" s="13">
        <v>54000.0</v>
      </c>
      <c r="C72" s="13">
        <v>52000.0</v>
      </c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>
      <c r="A73" s="13" t="s">
        <v>504</v>
      </c>
      <c r="B73" s="13">
        <v>0.0</v>
      </c>
      <c r="C73" s="13">
        <v>1680000.0</v>
      </c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>
      <c r="A74" s="13" t="s">
        <v>23</v>
      </c>
      <c r="B74" s="13">
        <v>1680000.0</v>
      </c>
      <c r="C74" s="13">
        <v>0.0</v>
      </c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>
      <c r="A75" s="13" t="s">
        <v>144</v>
      </c>
      <c r="B75" s="13">
        <v>47500.0</v>
      </c>
      <c r="C75" s="13">
        <v>47500.0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>
      <c r="A76" s="13" t="s">
        <v>351</v>
      </c>
      <c r="B76" s="13">
        <v>3000.0</v>
      </c>
      <c r="C76" s="13">
        <v>10000.0</v>
      </c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>
      <c r="A77" s="13" t="s">
        <v>511</v>
      </c>
      <c r="B77" s="13">
        <v>0.0</v>
      </c>
      <c r="C77" s="13">
        <v>4350.0</v>
      </c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>
      <c r="A78" s="13" t="s">
        <v>514</v>
      </c>
      <c r="B78" s="13">
        <v>0.0</v>
      </c>
      <c r="C78" s="13">
        <v>3500.0</v>
      </c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>
      <c r="A79" s="13" t="s">
        <v>517</v>
      </c>
      <c r="B79" s="13">
        <v>0.0</v>
      </c>
      <c r="C79" s="13">
        <v>38000.0</v>
      </c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>
      <c r="A80" s="13" t="s">
        <v>173</v>
      </c>
      <c r="B80" s="13">
        <v>38000.0</v>
      </c>
      <c r="C80" s="13">
        <v>0.0</v>
      </c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>
      <c r="A81" s="13" t="s">
        <v>175</v>
      </c>
      <c r="B81" s="13">
        <v>38000.0</v>
      </c>
      <c r="C81" s="13">
        <v>0.0</v>
      </c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>
      <c r="A82" s="13" t="s">
        <v>116</v>
      </c>
      <c r="B82" s="13">
        <v>55000.0</v>
      </c>
      <c r="C82" s="13">
        <v>0.0</v>
      </c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>
      <c r="A83" s="13" t="s">
        <v>315</v>
      </c>
      <c r="B83" s="13">
        <v>8000.0</v>
      </c>
      <c r="C83" s="13">
        <v>0.0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>
      <c r="A84" s="13" t="s">
        <v>213</v>
      </c>
      <c r="B84" s="13">
        <v>25000.0</v>
      </c>
      <c r="C84" s="13">
        <v>25000.0</v>
      </c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>
      <c r="A85" s="13" t="s">
        <v>323</v>
      </c>
      <c r="B85" s="13">
        <v>7700.0</v>
      </c>
      <c r="C85" s="13">
        <v>0.0</v>
      </c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>
      <c r="A86" s="13" t="s">
        <v>520</v>
      </c>
      <c r="B86" s="13">
        <v>0.0</v>
      </c>
      <c r="C86" s="13">
        <v>20000.0</v>
      </c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>
      <c r="A87" s="13" t="s">
        <v>523</v>
      </c>
      <c r="B87" s="13">
        <v>0.0</v>
      </c>
      <c r="C87" s="13">
        <v>150000.0</v>
      </c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>
      <c r="A88" s="13" t="s">
        <v>57</v>
      </c>
      <c r="B88" s="13">
        <v>150000.0</v>
      </c>
      <c r="C88" s="13">
        <v>0.0</v>
      </c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>
      <c r="A89" s="13" t="s">
        <v>229</v>
      </c>
      <c r="B89" s="13">
        <v>20000.0</v>
      </c>
      <c r="C89" s="13">
        <v>20000.0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>
      <c r="A90" s="13" t="s">
        <v>120</v>
      </c>
      <c r="B90" s="13">
        <v>3000.0</v>
      </c>
      <c r="C90" s="13">
        <v>0.0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>
      <c r="A91" s="13" t="s">
        <v>71</v>
      </c>
      <c r="B91" s="13">
        <v>114000.0</v>
      </c>
      <c r="C91" s="13">
        <v>0.0</v>
      </c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>
      <c r="A92" s="13" t="s">
        <v>250</v>
      </c>
      <c r="B92" s="13">
        <v>15000.0</v>
      </c>
      <c r="C92" s="13">
        <v>14250.0</v>
      </c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>
      <c r="A93" s="13" t="s">
        <v>529</v>
      </c>
      <c r="B93" s="13">
        <v>0.0</v>
      </c>
      <c r="C93" s="13">
        <v>160000.0</v>
      </c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>
      <c r="A94" s="13" t="s">
        <v>49</v>
      </c>
      <c r="B94" s="13">
        <v>160000.0</v>
      </c>
      <c r="C94" s="13">
        <v>0.0</v>
      </c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>
      <c r="A95" s="13" t="s">
        <v>137</v>
      </c>
      <c r="B95" s="13">
        <v>50000.0</v>
      </c>
      <c r="C95" s="13">
        <v>50000.0</v>
      </c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>
      <c r="A96" s="13" t="s">
        <v>534</v>
      </c>
      <c r="B96" s="13">
        <v>0.0</v>
      </c>
      <c r="C96" s="13">
        <v>41250.0</v>
      </c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>
      <c r="A97" s="13" t="s">
        <v>47</v>
      </c>
      <c r="B97" s="13">
        <v>180000.0</v>
      </c>
      <c r="C97" s="13">
        <v>0.0</v>
      </c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>
      <c r="A98" s="13" t="s">
        <v>536</v>
      </c>
      <c r="B98" s="13">
        <v>0.0</v>
      </c>
      <c r="C98" s="13">
        <v>204000.0</v>
      </c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>
      <c r="A99" s="13" t="s">
        <v>538</v>
      </c>
      <c r="B99" s="13">
        <v>0.0</v>
      </c>
      <c r="C99" s="13">
        <v>22310.0</v>
      </c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>
      <c r="A100" s="13" t="s">
        <v>190</v>
      </c>
      <c r="B100" s="13">
        <v>30000.0</v>
      </c>
      <c r="C100" s="13">
        <v>0.0</v>
      </c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>
      <c r="A101" s="13" t="s">
        <v>541</v>
      </c>
      <c r="B101" s="13">
        <v>0.0</v>
      </c>
      <c r="C101" s="13">
        <v>5000.0</v>
      </c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>
      <c r="A102" s="13" t="s">
        <v>293</v>
      </c>
      <c r="B102" s="13">
        <v>10000.0</v>
      </c>
      <c r="C102" s="13">
        <v>0.0</v>
      </c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>
      <c r="A103" s="13" t="s">
        <v>130</v>
      </c>
      <c r="B103" s="13">
        <v>52500.0</v>
      </c>
      <c r="C103" s="13">
        <v>0.0</v>
      </c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>
      <c r="A104" s="13" t="s">
        <v>545</v>
      </c>
      <c r="B104" s="13">
        <v>0.0</v>
      </c>
      <c r="C104" s="13">
        <v>3000.0</v>
      </c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3" t="s">
        <v>151</v>
      </c>
      <c r="B105" s="13">
        <v>45000.0</v>
      </c>
      <c r="C105" s="13">
        <v>45000.0</v>
      </c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>
      <c r="A106" s="13" t="s">
        <v>239</v>
      </c>
      <c r="B106" s="13">
        <v>17500.0</v>
      </c>
      <c r="C106" s="13">
        <v>17500.0</v>
      </c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>
      <c r="A107" s="13" t="s">
        <v>32</v>
      </c>
      <c r="B107" s="13">
        <v>332775.0</v>
      </c>
      <c r="C107" s="13">
        <v>487775.0</v>
      </c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>
      <c r="A108" s="13" t="s">
        <v>296</v>
      </c>
      <c r="B108" s="13">
        <v>10000.0</v>
      </c>
      <c r="C108" s="13">
        <v>0.0</v>
      </c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>
      <c r="A109" s="13" t="s">
        <v>181</v>
      </c>
      <c r="B109" s="13">
        <v>34000.0</v>
      </c>
      <c r="C109" s="13">
        <v>0.0</v>
      </c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>
      <c r="A110" s="13" t="s">
        <v>551</v>
      </c>
      <c r="B110" s="13">
        <v>0.0</v>
      </c>
      <c r="C110" s="13">
        <v>34000.0</v>
      </c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>
      <c r="A111" s="13" t="s">
        <v>554</v>
      </c>
      <c r="B111" s="13">
        <v>0.0</v>
      </c>
      <c r="C111" s="13">
        <v>6600.0</v>
      </c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>
      <c r="A112" s="13" t="s">
        <v>555</v>
      </c>
      <c r="B112" s="13">
        <v>0.0</v>
      </c>
      <c r="C112" s="13">
        <v>4000.0</v>
      </c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>
      <c r="A113" s="13" t="s">
        <v>339</v>
      </c>
      <c r="B113" s="13">
        <v>5000.0</v>
      </c>
      <c r="C113" s="13">
        <v>0.0</v>
      </c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>
      <c r="A114" s="13" t="s">
        <v>316</v>
      </c>
      <c r="B114" s="13">
        <v>8000.0</v>
      </c>
      <c r="C114" s="13">
        <v>0.0</v>
      </c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>
      <c r="A115" s="13" t="s">
        <v>556</v>
      </c>
      <c r="B115" s="13">
        <v>0.0</v>
      </c>
      <c r="C115" s="13">
        <v>15000.0</v>
      </c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>
      <c r="A116" s="13" t="s">
        <v>304</v>
      </c>
      <c r="B116" s="13">
        <v>9900.0</v>
      </c>
      <c r="C116" s="13">
        <v>12500.0</v>
      </c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>
      <c r="A117" s="13" t="s">
        <v>557</v>
      </c>
      <c r="B117" s="13">
        <v>0.0</v>
      </c>
      <c r="C117" s="13">
        <v>27500.0</v>
      </c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>
      <c r="A118" s="13" t="s">
        <v>561</v>
      </c>
      <c r="B118" s="13">
        <v>0.0</v>
      </c>
      <c r="C118" s="13">
        <v>14500.0</v>
      </c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>
      <c r="A119" s="13" t="s">
        <v>146</v>
      </c>
      <c r="B119" s="13">
        <v>13000.0</v>
      </c>
      <c r="C119" s="13">
        <v>0.0</v>
      </c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>
      <c r="A120" s="13" t="s">
        <v>566</v>
      </c>
      <c r="B120" s="13">
        <v>0.0</v>
      </c>
      <c r="C120" s="13">
        <v>9000.0</v>
      </c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>
      <c r="A121" s="13" t="s">
        <v>568</v>
      </c>
      <c r="B121" s="13">
        <v>0.0</v>
      </c>
      <c r="C121" s="13">
        <v>7000.0</v>
      </c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>
      <c r="A122" s="13" t="s">
        <v>571</v>
      </c>
      <c r="B122" s="13">
        <v>0.0</v>
      </c>
      <c r="C122" s="13">
        <v>15000.0</v>
      </c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>
      <c r="A123" s="13" t="s">
        <v>340</v>
      </c>
      <c r="B123" s="13">
        <v>5000.0</v>
      </c>
      <c r="C123" s="13">
        <v>0.0</v>
      </c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>
      <c r="A124" s="13" t="s">
        <v>573</v>
      </c>
      <c r="B124" s="13">
        <v>0.0</v>
      </c>
      <c r="C124" s="13">
        <v>4500.0</v>
      </c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>
      <c r="A125" s="13" t="s">
        <v>574</v>
      </c>
      <c r="B125" s="13">
        <v>0.0</v>
      </c>
      <c r="C125" s="13">
        <v>55000.0</v>
      </c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>
      <c r="A126" s="13" t="s">
        <v>253</v>
      </c>
      <c r="B126" s="13">
        <v>15000.0</v>
      </c>
      <c r="C126" s="13">
        <v>15000.0</v>
      </c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>
      <c r="A127" s="13" t="s">
        <v>579</v>
      </c>
      <c r="B127" s="13">
        <v>0.0</v>
      </c>
      <c r="C127" s="13">
        <v>8826.0</v>
      </c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>
      <c r="A128" s="13" t="s">
        <v>275</v>
      </c>
      <c r="B128" s="13">
        <v>14000.0</v>
      </c>
      <c r="C128" s="13">
        <v>0.0</v>
      </c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>
      <c r="A129" s="13" t="s">
        <v>580</v>
      </c>
      <c r="B129" s="13">
        <v>0.0</v>
      </c>
      <c r="C129" s="13">
        <v>50000.0</v>
      </c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>
      <c r="A130" s="13" t="s">
        <v>329</v>
      </c>
      <c r="B130" s="13">
        <v>7000.0</v>
      </c>
      <c r="C130" s="13">
        <v>0.0</v>
      </c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>
      <c r="A131" s="13" t="s">
        <v>584</v>
      </c>
      <c r="B131" s="13">
        <v>0.0</v>
      </c>
      <c r="C131" s="13">
        <v>25000.0</v>
      </c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>
      <c r="A132" s="13" t="s">
        <v>216</v>
      </c>
      <c r="B132" s="13">
        <v>25000.0</v>
      </c>
      <c r="C132" s="13">
        <v>0.0</v>
      </c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>
      <c r="A133" s="13" t="s">
        <v>306</v>
      </c>
      <c r="B133" s="13">
        <v>5000.0</v>
      </c>
      <c r="C133" s="13">
        <v>6000.0</v>
      </c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>
      <c r="A134" s="13" t="s">
        <v>38</v>
      </c>
      <c r="B134" s="13">
        <v>230000.0</v>
      </c>
      <c r="C134" s="13">
        <v>0.0</v>
      </c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>
      <c r="A135" s="13" t="s">
        <v>589</v>
      </c>
      <c r="B135" s="13">
        <v>0.0</v>
      </c>
      <c r="C135" s="13">
        <v>25000.0</v>
      </c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>
      <c r="A136" s="13" t="s">
        <v>590</v>
      </c>
      <c r="B136" s="13">
        <v>0.0</v>
      </c>
      <c r="C136" s="13">
        <v>230000.0</v>
      </c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>
      <c r="A137" s="13" t="s">
        <v>217</v>
      </c>
      <c r="B137" s="13">
        <v>20000.0</v>
      </c>
      <c r="C137" s="13">
        <v>0.0</v>
      </c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>
      <c r="A138" s="13" t="s">
        <v>593</v>
      </c>
      <c r="B138" s="13">
        <v>0.0</v>
      </c>
      <c r="C138" s="13">
        <v>56400.0</v>
      </c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>
      <c r="A139" s="13" t="s">
        <v>107</v>
      </c>
      <c r="B139" s="13">
        <v>59400.0</v>
      </c>
      <c r="C139" s="13">
        <v>0.0</v>
      </c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>
      <c r="A140" s="13" t="s">
        <v>280</v>
      </c>
      <c r="B140" s="13">
        <v>12600.0</v>
      </c>
      <c r="C140" s="13">
        <v>0.0</v>
      </c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>
      <c r="A141" s="13" t="s">
        <v>317</v>
      </c>
      <c r="B141" s="13">
        <v>8000.0</v>
      </c>
      <c r="C141" s="13">
        <v>0.0</v>
      </c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>
      <c r="A142" s="13" t="s">
        <v>596</v>
      </c>
      <c r="B142" s="13">
        <v>0.0</v>
      </c>
      <c r="C142" s="13">
        <v>8000.0</v>
      </c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>
      <c r="A143" s="13" t="s">
        <v>80</v>
      </c>
      <c r="B143" s="13">
        <v>96187.5</v>
      </c>
      <c r="C143" s="13">
        <v>91379.0</v>
      </c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>
      <c r="A144" s="13" t="s">
        <v>300</v>
      </c>
      <c r="B144" s="13">
        <v>10000.0</v>
      </c>
      <c r="C144" s="13">
        <v>0.0</v>
      </c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>
      <c r="A145" s="13" t="s">
        <v>600</v>
      </c>
      <c r="B145" s="13">
        <v>0.0</v>
      </c>
      <c r="C145" s="13">
        <v>6700.0</v>
      </c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>
      <c r="A146" s="13" t="s">
        <v>171</v>
      </c>
      <c r="B146" s="13">
        <v>40000.0</v>
      </c>
      <c r="C146" s="13">
        <v>0.0</v>
      </c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>
      <c r="A147" s="13" t="s">
        <v>601</v>
      </c>
      <c r="B147" s="13">
        <v>0.0</v>
      </c>
      <c r="C147" s="13">
        <v>25000.0</v>
      </c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>
      <c r="A148" s="13" t="s">
        <v>177</v>
      </c>
      <c r="B148" s="13">
        <v>35000.0</v>
      </c>
      <c r="C148" s="13">
        <v>0.0</v>
      </c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>
      <c r="A149" s="13" t="s">
        <v>607</v>
      </c>
      <c r="B149" s="13">
        <v>0.0</v>
      </c>
      <c r="C149" s="13">
        <v>225000.0</v>
      </c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>
      <c r="A150" s="13" t="s">
        <v>356</v>
      </c>
      <c r="B150" s="13">
        <v>2000.0</v>
      </c>
      <c r="C150" s="13">
        <v>0.0</v>
      </c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>
      <c r="A151" s="13" t="s">
        <v>611</v>
      </c>
      <c r="B151" s="13">
        <v>0.0</v>
      </c>
      <c r="C151" s="13">
        <v>3000000.0</v>
      </c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>
      <c r="A152" s="13" t="s">
        <v>20</v>
      </c>
      <c r="B152" s="13">
        <v>3000000.0</v>
      </c>
      <c r="C152" s="13">
        <v>0.0</v>
      </c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>
      <c r="A153" s="13" t="s">
        <v>615</v>
      </c>
      <c r="B153" s="13">
        <v>0.0</v>
      </c>
      <c r="C153" s="13">
        <v>5800.0</v>
      </c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>
      <c r="A154" s="13" t="s">
        <v>103</v>
      </c>
      <c r="B154" s="13">
        <v>60000.0</v>
      </c>
      <c r="C154" s="13">
        <v>0.0</v>
      </c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>
      <c r="A155" s="13" t="s">
        <v>617</v>
      </c>
      <c r="B155" s="13">
        <v>0.0</v>
      </c>
      <c r="C155" s="13">
        <v>15000.0</v>
      </c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>
      <c r="A156" s="13" t="s">
        <v>255</v>
      </c>
      <c r="B156" s="13">
        <v>15000.0</v>
      </c>
      <c r="C156" s="13">
        <v>0.0</v>
      </c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>
      <c r="A157" s="13" t="s">
        <v>243</v>
      </c>
      <c r="B157" s="13">
        <v>15200.0</v>
      </c>
      <c r="C157" s="13">
        <v>15200.0</v>
      </c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>
      <c r="A158" s="13" t="s">
        <v>334</v>
      </c>
      <c r="B158" s="13">
        <v>5800.0</v>
      </c>
      <c r="C158" s="13">
        <v>0.0</v>
      </c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>
      <c r="A159" s="13" t="s">
        <v>623</v>
      </c>
      <c r="B159" s="13">
        <v>0.0</v>
      </c>
      <c r="C159" s="13">
        <v>114000.0</v>
      </c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>
      <c r="A160" s="13" t="s">
        <v>318</v>
      </c>
      <c r="B160" s="13">
        <v>8000.0</v>
      </c>
      <c r="C160" s="13">
        <v>0.0</v>
      </c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>
      <c r="A161" s="13" t="s">
        <v>262</v>
      </c>
      <c r="B161" s="13">
        <v>14825.0</v>
      </c>
      <c r="C161" s="13">
        <v>0.0</v>
      </c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>
      <c r="A162" s="13" t="s">
        <v>624</v>
      </c>
      <c r="B162" s="13">
        <v>0.0</v>
      </c>
      <c r="C162" s="13">
        <v>25000.0</v>
      </c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>
      <c r="A163" s="13" t="s">
        <v>257</v>
      </c>
      <c r="B163" s="13">
        <v>15000.0</v>
      </c>
      <c r="C163" s="13">
        <v>0.0</v>
      </c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>
      <c r="A164" s="13" t="s">
        <v>626</v>
      </c>
      <c r="B164" s="13">
        <v>0.0</v>
      </c>
      <c r="C164" s="13">
        <v>5000.0</v>
      </c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>
      <c r="A165" s="13" t="s">
        <v>198</v>
      </c>
      <c r="B165" s="13">
        <v>15000.0</v>
      </c>
      <c r="C165" s="13">
        <v>26000.0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>
      <c r="A166" s="13" t="s">
        <v>235</v>
      </c>
      <c r="B166" s="13">
        <v>17940.0</v>
      </c>
      <c r="C166" s="13">
        <v>0.0</v>
      </c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>
      <c r="A167" s="13" t="s">
        <v>631</v>
      </c>
      <c r="B167" s="13">
        <v>0.0</v>
      </c>
      <c r="C167" s="13">
        <v>400000.0</v>
      </c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>
      <c r="A168" s="13" t="s">
        <v>635</v>
      </c>
      <c r="B168" s="13">
        <v>0.0</v>
      </c>
      <c r="C168" s="13">
        <v>216000.0</v>
      </c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>
      <c r="A169" s="13" t="s">
        <v>98</v>
      </c>
      <c r="B169" s="13">
        <v>65000.0</v>
      </c>
      <c r="C169" s="13">
        <v>0.0</v>
      </c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>
      <c r="A170" s="13" t="s">
        <v>219</v>
      </c>
      <c r="B170" s="13">
        <v>24176.0</v>
      </c>
      <c r="C170" s="13">
        <v>0.0</v>
      </c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>
      <c r="A171" s="13" t="s">
        <v>157</v>
      </c>
      <c r="B171" s="13">
        <v>42700.0</v>
      </c>
      <c r="C171" s="13">
        <v>0.0</v>
      </c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>
      <c r="A172" s="13" t="s">
        <v>638</v>
      </c>
      <c r="B172" s="13">
        <v>0.0</v>
      </c>
      <c r="C172" s="13">
        <v>10000.0</v>
      </c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>
      <c r="A173" s="13" t="s">
        <v>285</v>
      </c>
      <c r="B173" s="13">
        <v>11000.0</v>
      </c>
      <c r="C173" s="13">
        <v>0.0</v>
      </c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>
      <c r="A174" s="13" t="s">
        <v>302</v>
      </c>
      <c r="B174" s="13">
        <v>10000.0</v>
      </c>
      <c r="C174" s="13">
        <v>0.0</v>
      </c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>
      <c r="A175" s="13" t="s">
        <v>92</v>
      </c>
      <c r="B175" s="13">
        <v>77000.0</v>
      </c>
      <c r="C175" s="13">
        <v>0.0</v>
      </c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>
      <c r="A176" s="13" t="s">
        <v>286</v>
      </c>
      <c r="B176" s="13">
        <v>10870.0</v>
      </c>
      <c r="C176" s="13">
        <v>0.0</v>
      </c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>
      <c r="A177" s="13" t="s">
        <v>641</v>
      </c>
      <c r="B177" s="13">
        <v>0.0</v>
      </c>
      <c r="C177" s="13">
        <v>165000.0</v>
      </c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>
      <c r="A178" s="13" t="s">
        <v>643</v>
      </c>
      <c r="B178" s="13">
        <v>0.0</v>
      </c>
      <c r="C178" s="13">
        <v>49000.0</v>
      </c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>
      <c r="A179" s="13" t="s">
        <v>139</v>
      </c>
      <c r="B179" s="13">
        <v>49000.0</v>
      </c>
      <c r="C179" s="13">
        <v>0.0</v>
      </c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>
      <c r="A180" s="13" t="s">
        <v>341</v>
      </c>
      <c r="B180" s="13">
        <v>5000.0</v>
      </c>
      <c r="C180" s="13">
        <v>0.0</v>
      </c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>
      <c r="A181" s="13" t="s">
        <v>95</v>
      </c>
      <c r="B181" s="13">
        <v>72200.0</v>
      </c>
      <c r="C181" s="13">
        <v>0.0</v>
      </c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>
      <c r="A182" s="13" t="s">
        <v>648</v>
      </c>
      <c r="B182" s="13">
        <v>0.0</v>
      </c>
      <c r="C182" s="13">
        <v>69000.0</v>
      </c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>
      <c r="A183" s="13" t="s">
        <v>123</v>
      </c>
      <c r="B183" s="13">
        <v>5000.0</v>
      </c>
      <c r="C183" s="13">
        <v>5000.0</v>
      </c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>
      <c r="A184" s="13" t="s">
        <v>653</v>
      </c>
      <c r="B184" s="13">
        <v>0.0</v>
      </c>
      <c r="C184" s="13">
        <v>25000.0</v>
      </c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>
      <c r="A185" s="13" t="s">
        <v>655</v>
      </c>
      <c r="B185" s="13">
        <v>0.0</v>
      </c>
      <c r="C185" s="13">
        <v>55000.0</v>
      </c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>
      <c r="A186" s="13" t="s">
        <v>658</v>
      </c>
      <c r="B186" s="13">
        <v>0.0</v>
      </c>
      <c r="C186" s="13">
        <v>10000.0</v>
      </c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</sheetData>
  <drawing r:id="rId1"/>
</worksheet>
</file>